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Hondt\"/>
    </mc:Choice>
  </mc:AlternateContent>
  <xr:revisionPtr revIDLastSave="0" documentId="13_ncr:1_{F9D814B4-9727-4C8E-9690-71D4A2A9E852}" xr6:coauthVersionLast="47" xr6:coauthVersionMax="47" xr10:uidLastSave="{00000000-0000-0000-0000-000000000000}"/>
  <bookViews>
    <workbookView xWindow="-120" yWindow="-120" windowWidth="20640" windowHeight="11760" xr2:uid="{9E11353A-C1AD-4303-8E93-48D82F5424D0}"/>
  </bookViews>
  <sheets>
    <sheet name="Hoja" sheetId="12" r:id="rId1"/>
    <sheet name="Hoja2" sheetId="9" r:id="rId2"/>
    <sheet name="Hoja1" sheetId="1" r:id="rId3"/>
    <sheet name="Datos delta" sheetId="7" r:id="rId4"/>
    <sheet name="Datos Protegidos" sheetId="2" r:id="rId5"/>
    <sheet name="PARTIDOS" sheetId="5" r:id="rId6"/>
    <sheet name="INC_PARTIC" sheetId="6" r:id="rId7"/>
    <sheet name="Votos" sheetId="11" r:id="rId8"/>
  </sheets>
  <functionGroups builtInGroupCount="19"/>
  <externalReferences>
    <externalReference r:id="rId9"/>
  </externalReferences>
  <definedNames>
    <definedName name="_xlnm._FilterDatabase" localSheetId="6" hidden="1">INC_PARTIC!$A$1:$I$134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T53" i="12" l="1"/>
  <c r="ET52" i="12"/>
  <c r="ET51" i="12"/>
  <c r="ET50" i="12"/>
  <c r="ET49" i="12"/>
  <c r="ET48" i="12"/>
  <c r="ET47" i="12"/>
  <c r="ET46" i="12"/>
  <c r="ET45" i="12"/>
  <c r="ET44" i="12"/>
  <c r="ET43" i="12"/>
  <c r="ET42" i="12"/>
  <c r="ET41" i="12"/>
  <c r="ET40" i="12"/>
  <c r="ET39" i="12"/>
  <c r="ET38" i="12"/>
  <c r="ET37" i="12"/>
  <c r="ET36" i="12"/>
  <c r="ET35" i="12"/>
  <c r="ET34" i="12"/>
  <c r="ET33" i="12"/>
  <c r="ET32" i="12"/>
  <c r="ET31" i="12"/>
  <c r="ET30" i="12"/>
  <c r="ET29" i="12"/>
  <c r="ET28" i="12"/>
  <c r="ET27" i="12"/>
  <c r="ET26" i="12"/>
  <c r="ET25" i="12"/>
  <c r="ET24" i="12"/>
  <c r="ET23" i="12"/>
  <c r="ET22" i="12"/>
  <c r="ET21" i="12"/>
  <c r="ET20" i="12"/>
  <c r="ET19" i="12"/>
  <c r="ET18" i="12"/>
  <c r="ET17" i="12"/>
  <c r="ET16" i="12"/>
  <c r="ET15" i="12"/>
  <c r="ET14" i="12"/>
  <c r="ET13" i="12"/>
  <c r="ET12" i="12"/>
  <c r="ET11" i="12"/>
  <c r="ET10" i="12"/>
  <c r="ET9" i="12"/>
  <c r="ET8" i="12"/>
  <c r="ET7" i="12"/>
  <c r="ET6" i="12"/>
  <c r="ET5" i="12"/>
  <c r="ET4" i="12"/>
  <c r="ET3" i="12"/>
  <c r="ET2" i="12"/>
  <c r="ER53" i="12"/>
  <c r="ER52" i="12"/>
  <c r="ER51" i="12"/>
  <c r="ER50" i="12"/>
  <c r="ER49" i="12"/>
  <c r="ER48" i="12"/>
  <c r="ER47" i="12"/>
  <c r="ER46" i="12"/>
  <c r="ER45" i="12"/>
  <c r="ER44" i="12"/>
  <c r="ER43" i="12"/>
  <c r="ER42" i="12"/>
  <c r="ER41" i="12"/>
  <c r="ER40" i="12"/>
  <c r="ER39" i="12"/>
  <c r="ER38" i="12"/>
  <c r="ER37" i="12"/>
  <c r="ER36" i="12"/>
  <c r="ER35" i="12"/>
  <c r="ER34" i="12"/>
  <c r="ER33" i="12"/>
  <c r="ER32" i="12"/>
  <c r="ER31" i="12"/>
  <c r="ER30" i="12"/>
  <c r="ER29" i="12"/>
  <c r="ER28" i="12"/>
  <c r="ER27" i="12"/>
  <c r="ER26" i="12"/>
  <c r="ER25" i="12"/>
  <c r="ER24" i="12"/>
  <c r="ER23" i="12"/>
  <c r="ER22" i="12"/>
  <c r="ER21" i="12"/>
  <c r="ER20" i="12"/>
  <c r="ER19" i="12"/>
  <c r="ER18" i="12"/>
  <c r="ER17" i="12"/>
  <c r="ER16" i="12"/>
  <c r="ER15" i="12"/>
  <c r="ER14" i="12"/>
  <c r="ER13" i="12"/>
  <c r="ER12" i="12"/>
  <c r="ER11" i="12"/>
  <c r="ER10" i="12"/>
  <c r="ER9" i="12"/>
  <c r="ER8" i="12"/>
  <c r="ER7" i="12"/>
  <c r="ER6" i="12"/>
  <c r="ER5" i="12"/>
  <c r="ER4" i="12"/>
  <c r="ER3" i="12"/>
  <c r="ER2" i="12"/>
  <c r="EP53" i="12"/>
  <c r="EP52" i="12"/>
  <c r="EP51" i="12"/>
  <c r="EP50" i="12"/>
  <c r="EP49" i="12"/>
  <c r="EP48" i="12"/>
  <c r="EP47" i="12"/>
  <c r="EP46" i="12"/>
  <c r="EP45" i="12"/>
  <c r="EP44" i="12"/>
  <c r="EP43" i="12"/>
  <c r="EP42" i="12"/>
  <c r="EP41" i="12"/>
  <c r="EP40" i="12"/>
  <c r="EP39" i="12"/>
  <c r="EP38" i="12"/>
  <c r="EP37" i="12"/>
  <c r="EP36" i="12"/>
  <c r="EP35" i="12"/>
  <c r="EP34" i="12"/>
  <c r="EP33" i="12"/>
  <c r="EP32" i="12"/>
  <c r="EP31" i="12"/>
  <c r="EP30" i="12"/>
  <c r="EP29" i="12"/>
  <c r="EP28" i="12"/>
  <c r="EP27" i="12"/>
  <c r="EP26" i="12"/>
  <c r="EP25" i="12"/>
  <c r="EP24" i="12"/>
  <c r="EP23" i="12"/>
  <c r="EP22" i="12"/>
  <c r="EP21" i="12"/>
  <c r="EP20" i="12"/>
  <c r="EP19" i="12"/>
  <c r="EP18" i="12"/>
  <c r="EP17" i="12"/>
  <c r="EP16" i="12"/>
  <c r="EP15" i="12"/>
  <c r="EP14" i="12"/>
  <c r="EP13" i="12"/>
  <c r="EP12" i="12"/>
  <c r="EP11" i="12"/>
  <c r="EP10" i="12"/>
  <c r="EP9" i="12"/>
  <c r="EP8" i="12"/>
  <c r="EP7" i="12"/>
  <c r="EP6" i="12"/>
  <c r="EP5" i="12"/>
  <c r="EP4" i="12"/>
  <c r="EP3" i="12"/>
  <c r="EP2" i="12"/>
  <c r="EN53" i="12"/>
  <c r="EN52" i="12"/>
  <c r="EN51" i="12"/>
  <c r="EN50" i="12"/>
  <c r="EN49" i="12"/>
  <c r="EN48" i="12"/>
  <c r="EN47" i="12"/>
  <c r="EN46" i="12"/>
  <c r="EN45" i="12"/>
  <c r="EN44" i="12"/>
  <c r="EN43" i="12"/>
  <c r="EN42" i="12"/>
  <c r="EN41" i="12"/>
  <c r="EN40" i="12"/>
  <c r="EN39" i="12"/>
  <c r="EN38" i="12"/>
  <c r="EN37" i="12"/>
  <c r="EN36" i="12"/>
  <c r="EN35" i="12"/>
  <c r="EN34" i="12"/>
  <c r="EN33" i="12"/>
  <c r="EN32" i="12"/>
  <c r="EN31" i="12"/>
  <c r="EN30" i="12"/>
  <c r="EN29" i="12"/>
  <c r="EN28" i="12"/>
  <c r="EN27" i="12"/>
  <c r="EN26" i="12"/>
  <c r="EN25" i="12"/>
  <c r="EN24" i="12"/>
  <c r="EN23" i="12"/>
  <c r="EN22" i="12"/>
  <c r="EN21" i="12"/>
  <c r="EN20" i="12"/>
  <c r="EN19" i="12"/>
  <c r="EN18" i="12"/>
  <c r="EN17" i="12"/>
  <c r="EN16" i="12"/>
  <c r="EN15" i="12"/>
  <c r="EN14" i="12"/>
  <c r="EN13" i="12"/>
  <c r="EN12" i="12"/>
  <c r="EN11" i="12"/>
  <c r="EN10" i="12"/>
  <c r="EN9" i="12"/>
  <c r="EN8" i="12"/>
  <c r="EN7" i="12"/>
  <c r="EN6" i="12"/>
  <c r="EN5" i="12"/>
  <c r="EN4" i="12"/>
  <c r="EN3" i="12"/>
  <c r="EN2" i="12"/>
  <c r="EL53" i="12"/>
  <c r="EL52" i="12"/>
  <c r="EL51" i="12"/>
  <c r="EL50" i="12"/>
  <c r="EL49" i="12"/>
  <c r="EL48" i="12"/>
  <c r="EL47" i="12"/>
  <c r="EL46" i="12"/>
  <c r="EL45" i="12"/>
  <c r="EL44" i="12"/>
  <c r="EL43" i="12"/>
  <c r="EL42" i="12"/>
  <c r="EL41" i="12"/>
  <c r="EL40" i="12"/>
  <c r="EL39" i="12"/>
  <c r="EL38" i="12"/>
  <c r="EL37" i="12"/>
  <c r="EL36" i="12"/>
  <c r="EL35" i="12"/>
  <c r="EL34" i="12"/>
  <c r="EL33" i="12"/>
  <c r="EL32" i="12"/>
  <c r="EL31" i="12"/>
  <c r="EL30" i="12"/>
  <c r="EL29" i="12"/>
  <c r="EL28" i="12"/>
  <c r="EL27" i="12"/>
  <c r="EL26" i="12"/>
  <c r="EL25" i="12"/>
  <c r="EL24" i="12"/>
  <c r="EL23" i="12"/>
  <c r="EL22" i="12"/>
  <c r="EL21" i="12"/>
  <c r="EL20" i="12"/>
  <c r="EL19" i="12"/>
  <c r="EL18" i="12"/>
  <c r="EL17" i="12"/>
  <c r="EL16" i="12"/>
  <c r="EL15" i="12"/>
  <c r="EL14" i="12"/>
  <c r="EL13" i="12"/>
  <c r="EL12" i="12"/>
  <c r="EL11" i="12"/>
  <c r="EL10" i="12"/>
  <c r="EL9" i="12"/>
  <c r="EL8" i="12"/>
  <c r="EL7" i="12"/>
  <c r="EL6" i="12"/>
  <c r="EL5" i="12"/>
  <c r="EL4" i="12"/>
  <c r="EL3" i="12"/>
  <c r="EL2" i="12"/>
  <c r="EJ53" i="12"/>
  <c r="EJ52" i="12"/>
  <c r="EJ51" i="12"/>
  <c r="EJ50" i="12"/>
  <c r="EJ49" i="12"/>
  <c r="EJ48" i="12"/>
  <c r="EJ47" i="12"/>
  <c r="EJ46" i="12"/>
  <c r="EJ45" i="12"/>
  <c r="EJ44" i="12"/>
  <c r="EJ43" i="12"/>
  <c r="EJ42" i="12"/>
  <c r="EJ41" i="12"/>
  <c r="EJ40" i="12"/>
  <c r="EJ39" i="12"/>
  <c r="EJ38" i="12"/>
  <c r="EJ37" i="12"/>
  <c r="EJ36" i="12"/>
  <c r="EJ35" i="12"/>
  <c r="EJ34" i="12"/>
  <c r="EJ33" i="12"/>
  <c r="EJ32" i="12"/>
  <c r="EJ31" i="12"/>
  <c r="EJ30" i="12"/>
  <c r="EJ29" i="12"/>
  <c r="EJ28" i="12"/>
  <c r="EJ27" i="12"/>
  <c r="EJ26" i="12"/>
  <c r="EJ25" i="12"/>
  <c r="EJ24" i="12"/>
  <c r="EJ23" i="12"/>
  <c r="EJ22" i="12"/>
  <c r="EJ21" i="12"/>
  <c r="EJ20" i="12"/>
  <c r="EJ19" i="12"/>
  <c r="EJ18" i="12"/>
  <c r="EJ17" i="12"/>
  <c r="EJ16" i="12"/>
  <c r="EJ15" i="12"/>
  <c r="EJ14" i="12"/>
  <c r="EJ13" i="12"/>
  <c r="EJ12" i="12"/>
  <c r="EJ11" i="12"/>
  <c r="EJ10" i="12"/>
  <c r="EJ9" i="12"/>
  <c r="EJ8" i="12"/>
  <c r="EJ7" i="12"/>
  <c r="EJ6" i="12"/>
  <c r="EJ5" i="12"/>
  <c r="EJ4" i="12"/>
  <c r="EJ3" i="12"/>
  <c r="EJ2" i="12"/>
  <c r="EH53" i="12"/>
  <c r="EH52" i="12"/>
  <c r="EH51" i="12"/>
  <c r="EH50" i="12"/>
  <c r="EH49" i="12"/>
  <c r="EH48" i="12"/>
  <c r="EH47" i="12"/>
  <c r="EH46" i="12"/>
  <c r="EH45" i="12"/>
  <c r="EH44" i="12"/>
  <c r="EH43" i="12"/>
  <c r="EH42" i="12"/>
  <c r="EH41" i="12"/>
  <c r="EH40" i="12"/>
  <c r="EH39" i="12"/>
  <c r="EH38" i="12"/>
  <c r="EH37" i="12"/>
  <c r="EH36" i="12"/>
  <c r="EH35" i="12"/>
  <c r="EH34" i="12"/>
  <c r="EH33" i="12"/>
  <c r="EH32" i="12"/>
  <c r="EH31" i="12"/>
  <c r="EH30" i="12"/>
  <c r="EH29" i="12"/>
  <c r="EH28" i="12"/>
  <c r="EH27" i="12"/>
  <c r="EH26" i="12"/>
  <c r="EH25" i="12"/>
  <c r="EH24" i="12"/>
  <c r="EH23" i="12"/>
  <c r="EH22" i="12"/>
  <c r="EH21" i="12"/>
  <c r="EH20" i="12"/>
  <c r="EH19" i="12"/>
  <c r="EH18" i="12"/>
  <c r="EH17" i="12"/>
  <c r="EH16" i="12"/>
  <c r="EH15" i="12"/>
  <c r="EH14" i="12"/>
  <c r="EH13" i="12"/>
  <c r="EH12" i="12"/>
  <c r="EH11" i="12"/>
  <c r="EH10" i="12"/>
  <c r="EH9" i="12"/>
  <c r="EH8" i="12"/>
  <c r="EH7" i="12"/>
  <c r="EH6" i="12"/>
  <c r="EH5" i="12"/>
  <c r="EH4" i="12"/>
  <c r="EH3" i="12"/>
  <c r="EH2" i="12"/>
  <c r="EF53" i="12"/>
  <c r="EF52" i="12"/>
  <c r="EF51" i="12"/>
  <c r="EF50" i="12"/>
  <c r="EF49" i="12"/>
  <c r="EF48" i="12"/>
  <c r="EF47" i="12"/>
  <c r="EF46" i="12"/>
  <c r="EF45" i="12"/>
  <c r="EF44" i="12"/>
  <c r="EF43" i="12"/>
  <c r="EF42" i="12"/>
  <c r="EF41" i="12"/>
  <c r="EF40" i="12"/>
  <c r="EF39" i="12"/>
  <c r="EF38" i="12"/>
  <c r="EF37" i="12"/>
  <c r="EF36" i="12"/>
  <c r="EF35" i="12"/>
  <c r="EF34" i="12"/>
  <c r="EF33" i="12"/>
  <c r="EF32" i="12"/>
  <c r="EF31" i="12"/>
  <c r="EF30" i="12"/>
  <c r="EF29" i="12"/>
  <c r="EF28" i="12"/>
  <c r="EF27" i="12"/>
  <c r="EF26" i="12"/>
  <c r="EF25" i="12"/>
  <c r="EF24" i="12"/>
  <c r="EF23" i="12"/>
  <c r="EF22" i="12"/>
  <c r="EF21" i="12"/>
  <c r="EF20" i="12"/>
  <c r="EF19" i="12"/>
  <c r="EF18" i="12"/>
  <c r="EF17" i="12"/>
  <c r="EF16" i="12"/>
  <c r="EF15" i="12"/>
  <c r="EF14" i="12"/>
  <c r="EF13" i="12"/>
  <c r="EF12" i="12"/>
  <c r="EF11" i="12"/>
  <c r="EF10" i="12"/>
  <c r="EF9" i="12"/>
  <c r="EF8" i="12"/>
  <c r="EF7" i="12"/>
  <c r="EF6" i="12"/>
  <c r="EF5" i="12"/>
  <c r="EF4" i="12"/>
  <c r="EF3" i="12"/>
  <c r="EF2" i="12"/>
  <c r="ED53" i="12"/>
  <c r="ED52" i="12"/>
  <c r="ED51" i="12"/>
  <c r="ED50" i="12"/>
  <c r="ED49" i="12"/>
  <c r="ED48" i="12"/>
  <c r="ED47" i="12"/>
  <c r="ED46" i="12"/>
  <c r="ED45" i="12"/>
  <c r="ED44" i="12"/>
  <c r="ED43" i="12"/>
  <c r="ED42" i="12"/>
  <c r="ED41" i="12"/>
  <c r="ED40" i="12"/>
  <c r="ED39" i="12"/>
  <c r="ED38" i="12"/>
  <c r="ED37" i="12"/>
  <c r="ED36" i="12"/>
  <c r="ED35" i="12"/>
  <c r="ED34" i="12"/>
  <c r="ED33" i="12"/>
  <c r="ED32" i="12"/>
  <c r="ED31" i="12"/>
  <c r="ED30" i="12"/>
  <c r="ED29" i="12"/>
  <c r="ED28" i="12"/>
  <c r="ED27" i="12"/>
  <c r="ED26" i="12"/>
  <c r="ED25" i="12"/>
  <c r="ED24" i="12"/>
  <c r="ED23" i="12"/>
  <c r="ED22" i="12"/>
  <c r="ED21" i="12"/>
  <c r="ED20" i="12"/>
  <c r="ED19" i="12"/>
  <c r="ED18" i="12"/>
  <c r="ED17" i="12"/>
  <c r="ED16" i="12"/>
  <c r="ED15" i="12"/>
  <c r="ED14" i="12"/>
  <c r="ED13" i="12"/>
  <c r="ED12" i="12"/>
  <c r="ED11" i="12"/>
  <c r="ED10" i="12"/>
  <c r="ED9" i="12"/>
  <c r="ED8" i="12"/>
  <c r="ED7" i="12"/>
  <c r="ED6" i="12"/>
  <c r="ED5" i="12"/>
  <c r="ED4" i="12"/>
  <c r="ED3" i="12"/>
  <c r="ED2" i="12"/>
  <c r="EB53" i="12"/>
  <c r="EB52" i="12"/>
  <c r="EB51" i="12"/>
  <c r="EB50" i="12"/>
  <c r="EB49" i="12"/>
  <c r="EB48" i="12"/>
  <c r="EB47" i="12"/>
  <c r="EB46" i="12"/>
  <c r="EB45" i="12"/>
  <c r="EB44" i="12"/>
  <c r="EB43" i="12"/>
  <c r="EB42" i="12"/>
  <c r="EB41" i="12"/>
  <c r="EB40" i="12"/>
  <c r="EB39" i="12"/>
  <c r="EB38" i="12"/>
  <c r="EB37" i="12"/>
  <c r="EB36" i="12"/>
  <c r="EB35" i="12"/>
  <c r="EB34" i="12"/>
  <c r="EB33" i="12"/>
  <c r="EB32" i="12"/>
  <c r="EB31" i="12"/>
  <c r="EB30" i="12"/>
  <c r="EB29" i="12"/>
  <c r="EB28" i="12"/>
  <c r="EB27" i="12"/>
  <c r="EB26" i="12"/>
  <c r="EB25" i="12"/>
  <c r="EB24" i="12"/>
  <c r="EB23" i="12"/>
  <c r="EB22" i="12"/>
  <c r="EB21" i="12"/>
  <c r="EB20" i="12"/>
  <c r="EB19" i="12"/>
  <c r="EB18" i="12"/>
  <c r="EB17" i="12"/>
  <c r="EB16" i="12"/>
  <c r="EB15" i="12"/>
  <c r="EB14" i="12"/>
  <c r="EB13" i="12"/>
  <c r="EB12" i="12"/>
  <c r="EB11" i="12"/>
  <c r="EB10" i="12"/>
  <c r="EB9" i="12"/>
  <c r="EB8" i="12"/>
  <c r="EB7" i="12"/>
  <c r="EB6" i="12"/>
  <c r="EB5" i="12"/>
  <c r="EB4" i="12"/>
  <c r="EB3" i="12"/>
  <c r="EB2" i="12"/>
  <c r="DZ53" i="12"/>
  <c r="DZ52" i="12"/>
  <c r="DZ51" i="12"/>
  <c r="DZ50" i="12"/>
  <c r="DZ49" i="12"/>
  <c r="DZ48" i="12"/>
  <c r="DZ47" i="12"/>
  <c r="DZ46" i="12"/>
  <c r="DZ45" i="12"/>
  <c r="DZ44" i="12"/>
  <c r="DZ43" i="12"/>
  <c r="DZ42" i="12"/>
  <c r="DZ41" i="12"/>
  <c r="DZ40" i="12"/>
  <c r="DZ39" i="12"/>
  <c r="DZ38" i="12"/>
  <c r="DZ37" i="12"/>
  <c r="DZ36" i="12"/>
  <c r="DZ35" i="12"/>
  <c r="DZ34" i="12"/>
  <c r="DZ33" i="12"/>
  <c r="DZ32" i="12"/>
  <c r="DZ31" i="12"/>
  <c r="DZ30" i="12"/>
  <c r="DZ29" i="12"/>
  <c r="DZ28" i="12"/>
  <c r="DZ27" i="12"/>
  <c r="DZ26" i="12"/>
  <c r="DZ25" i="12"/>
  <c r="DZ24" i="12"/>
  <c r="DZ23" i="12"/>
  <c r="DZ22" i="12"/>
  <c r="DZ21" i="12"/>
  <c r="DZ20" i="12"/>
  <c r="DZ19" i="12"/>
  <c r="DZ18" i="12"/>
  <c r="DZ17" i="12"/>
  <c r="DZ16" i="12"/>
  <c r="DZ15" i="12"/>
  <c r="DZ14" i="12"/>
  <c r="DZ13" i="12"/>
  <c r="DZ12" i="12"/>
  <c r="DZ11" i="12"/>
  <c r="DZ10" i="12"/>
  <c r="DZ9" i="12"/>
  <c r="DZ8" i="12"/>
  <c r="DZ7" i="12"/>
  <c r="DZ6" i="12"/>
  <c r="DZ5" i="12"/>
  <c r="DZ4" i="12"/>
  <c r="DZ3" i="12"/>
  <c r="DZ2" i="12"/>
  <c r="DX53" i="12"/>
  <c r="DX52" i="12"/>
  <c r="DX51" i="12"/>
  <c r="DX50" i="12"/>
  <c r="DX49" i="12"/>
  <c r="DX48" i="12"/>
  <c r="DX47" i="12"/>
  <c r="DX46" i="12"/>
  <c r="DX45" i="12"/>
  <c r="DX44" i="12"/>
  <c r="DX43" i="12"/>
  <c r="DX42" i="12"/>
  <c r="DX41" i="12"/>
  <c r="DX40" i="12"/>
  <c r="DX39" i="12"/>
  <c r="DX38" i="12"/>
  <c r="DX37" i="12"/>
  <c r="DX36" i="12"/>
  <c r="DX35" i="12"/>
  <c r="DX34" i="12"/>
  <c r="DX33" i="12"/>
  <c r="DX32" i="12"/>
  <c r="DX31" i="12"/>
  <c r="DX30" i="12"/>
  <c r="DX29" i="12"/>
  <c r="DX28" i="12"/>
  <c r="DX27" i="12"/>
  <c r="DX26" i="12"/>
  <c r="DX25" i="12"/>
  <c r="DX24" i="12"/>
  <c r="DX23" i="12"/>
  <c r="DX22" i="12"/>
  <c r="DX21" i="12"/>
  <c r="DX20" i="12"/>
  <c r="DX19" i="12"/>
  <c r="DX18" i="12"/>
  <c r="DX17" i="12"/>
  <c r="DX16" i="12"/>
  <c r="DX15" i="12"/>
  <c r="DX14" i="12"/>
  <c r="DX13" i="12"/>
  <c r="DX12" i="12"/>
  <c r="DX11" i="12"/>
  <c r="DX10" i="12"/>
  <c r="DX9" i="12"/>
  <c r="DX8" i="12"/>
  <c r="DX7" i="12"/>
  <c r="DX6" i="12"/>
  <c r="DX5" i="12"/>
  <c r="DX4" i="12"/>
  <c r="DX3" i="12"/>
  <c r="DX2" i="12"/>
  <c r="DV53" i="12"/>
  <c r="DV52" i="12"/>
  <c r="DV51" i="12"/>
  <c r="DV50" i="12"/>
  <c r="DV49" i="12"/>
  <c r="DV48" i="12"/>
  <c r="DV47" i="12"/>
  <c r="DV46" i="12"/>
  <c r="DV45" i="12"/>
  <c r="DV44" i="12"/>
  <c r="DV43" i="12"/>
  <c r="DV42" i="12"/>
  <c r="DV41" i="12"/>
  <c r="DV40" i="12"/>
  <c r="DV39" i="12"/>
  <c r="DV38" i="12"/>
  <c r="DV37" i="12"/>
  <c r="DV36" i="12"/>
  <c r="DV35" i="12"/>
  <c r="DV34" i="12"/>
  <c r="DV33" i="12"/>
  <c r="DV32" i="12"/>
  <c r="DV31" i="12"/>
  <c r="DV30" i="12"/>
  <c r="DV29" i="12"/>
  <c r="DV28" i="12"/>
  <c r="DV27" i="12"/>
  <c r="DV26" i="12"/>
  <c r="DV25" i="12"/>
  <c r="DV24" i="12"/>
  <c r="DV23" i="12"/>
  <c r="DV22" i="12"/>
  <c r="DV21" i="12"/>
  <c r="DV20" i="12"/>
  <c r="DV19" i="12"/>
  <c r="DV18" i="12"/>
  <c r="DV17" i="12"/>
  <c r="DV16" i="12"/>
  <c r="DV15" i="12"/>
  <c r="DV14" i="12"/>
  <c r="DV13" i="12"/>
  <c r="DV12" i="12"/>
  <c r="DV11" i="12"/>
  <c r="DV10" i="12"/>
  <c r="DV9" i="12"/>
  <c r="DV8" i="12"/>
  <c r="DV7" i="12"/>
  <c r="DV6" i="12"/>
  <c r="DV5" i="12"/>
  <c r="DV4" i="12"/>
  <c r="DV3" i="12"/>
  <c r="DV2" i="12"/>
  <c r="DT53" i="12"/>
  <c r="DT52" i="12"/>
  <c r="DT51" i="12"/>
  <c r="DT50" i="12"/>
  <c r="DT49" i="12"/>
  <c r="DT48" i="12"/>
  <c r="DT47" i="12"/>
  <c r="DT46" i="12"/>
  <c r="DT45" i="12"/>
  <c r="DT44" i="12"/>
  <c r="DT43" i="12"/>
  <c r="DT42" i="12"/>
  <c r="DT41" i="12"/>
  <c r="DT40" i="12"/>
  <c r="DT39" i="12"/>
  <c r="DT38" i="12"/>
  <c r="DT37" i="12"/>
  <c r="DT36" i="12"/>
  <c r="DT35" i="12"/>
  <c r="DT34" i="12"/>
  <c r="DT33" i="12"/>
  <c r="DT32" i="12"/>
  <c r="DT31" i="12"/>
  <c r="DT30" i="12"/>
  <c r="DT29" i="12"/>
  <c r="DT28" i="12"/>
  <c r="DT27" i="12"/>
  <c r="DT26" i="12"/>
  <c r="DT25" i="12"/>
  <c r="DT24" i="12"/>
  <c r="DT23" i="12"/>
  <c r="DT22" i="12"/>
  <c r="DT21" i="12"/>
  <c r="DT20" i="12"/>
  <c r="DT19" i="12"/>
  <c r="DT18" i="12"/>
  <c r="DT17" i="12"/>
  <c r="DT16" i="12"/>
  <c r="DT15" i="12"/>
  <c r="DT14" i="12"/>
  <c r="DT13" i="12"/>
  <c r="DT12" i="12"/>
  <c r="DT11" i="12"/>
  <c r="DT10" i="12"/>
  <c r="DT9" i="12"/>
  <c r="DT8" i="12"/>
  <c r="DT7" i="12"/>
  <c r="DT6" i="12"/>
  <c r="DT5" i="12"/>
  <c r="DT4" i="12"/>
  <c r="DT3" i="12"/>
  <c r="DT2" i="12"/>
  <c r="DR53" i="12"/>
  <c r="DR52" i="12"/>
  <c r="DR51" i="12"/>
  <c r="DR50" i="12"/>
  <c r="DR49" i="12"/>
  <c r="DR48" i="12"/>
  <c r="DR47" i="12"/>
  <c r="DR46" i="12"/>
  <c r="DR45" i="12"/>
  <c r="DR44" i="12"/>
  <c r="DR43" i="12"/>
  <c r="DR42" i="12"/>
  <c r="DR41" i="12"/>
  <c r="DR40" i="12"/>
  <c r="DR39" i="12"/>
  <c r="DR38" i="12"/>
  <c r="DR37" i="12"/>
  <c r="DR36" i="12"/>
  <c r="DR35" i="12"/>
  <c r="DR34" i="12"/>
  <c r="DR33" i="12"/>
  <c r="DR32" i="12"/>
  <c r="DR31" i="12"/>
  <c r="DR30" i="12"/>
  <c r="DR29" i="12"/>
  <c r="DR28" i="12"/>
  <c r="DR27" i="12"/>
  <c r="DR26" i="12"/>
  <c r="DR25" i="12"/>
  <c r="DR24" i="12"/>
  <c r="DR23" i="12"/>
  <c r="DR22" i="12"/>
  <c r="DR21" i="12"/>
  <c r="DR20" i="12"/>
  <c r="DR19" i="12"/>
  <c r="DR18" i="12"/>
  <c r="DR17" i="12"/>
  <c r="DR16" i="12"/>
  <c r="DR15" i="12"/>
  <c r="DR14" i="12"/>
  <c r="DR13" i="12"/>
  <c r="DR12" i="12"/>
  <c r="DR11" i="12"/>
  <c r="DR10" i="12"/>
  <c r="DR9" i="12"/>
  <c r="DR8" i="12"/>
  <c r="DR7" i="12"/>
  <c r="DR6" i="12"/>
  <c r="DR5" i="12"/>
  <c r="DR4" i="12"/>
  <c r="DR3" i="12"/>
  <c r="DR2" i="12"/>
  <c r="DP53" i="12"/>
  <c r="DP52" i="12"/>
  <c r="DP51" i="12"/>
  <c r="DP50" i="12"/>
  <c r="DP49" i="12"/>
  <c r="DP48" i="12"/>
  <c r="DP47" i="12"/>
  <c r="DP46" i="12"/>
  <c r="DP45" i="12"/>
  <c r="DP44" i="12"/>
  <c r="DP43" i="12"/>
  <c r="DP42" i="12"/>
  <c r="DP41" i="12"/>
  <c r="DP40" i="12"/>
  <c r="DP39" i="12"/>
  <c r="DP38" i="12"/>
  <c r="DP37" i="12"/>
  <c r="DP36" i="12"/>
  <c r="DP35" i="12"/>
  <c r="DP34" i="12"/>
  <c r="DP33" i="12"/>
  <c r="DP32" i="12"/>
  <c r="DP31" i="12"/>
  <c r="DP30" i="12"/>
  <c r="DP29" i="12"/>
  <c r="DP28" i="12"/>
  <c r="DP27" i="12"/>
  <c r="DP26" i="12"/>
  <c r="DP25" i="12"/>
  <c r="DP24" i="12"/>
  <c r="DP23" i="12"/>
  <c r="DP22" i="12"/>
  <c r="DP21" i="12"/>
  <c r="DP20" i="12"/>
  <c r="DP19" i="12"/>
  <c r="DP18" i="12"/>
  <c r="DP17" i="12"/>
  <c r="DP16" i="12"/>
  <c r="DP15" i="12"/>
  <c r="DP14" i="12"/>
  <c r="DP13" i="12"/>
  <c r="DP12" i="12"/>
  <c r="DP11" i="12"/>
  <c r="DP10" i="12"/>
  <c r="DP9" i="12"/>
  <c r="DP8" i="12"/>
  <c r="DP7" i="12"/>
  <c r="DP6" i="12"/>
  <c r="DP5" i="12"/>
  <c r="DP4" i="12"/>
  <c r="DP3" i="12"/>
  <c r="DP2" i="12"/>
  <c r="DN53" i="12"/>
  <c r="DN52" i="12"/>
  <c r="DN51" i="12"/>
  <c r="DN50" i="12"/>
  <c r="DN49" i="12"/>
  <c r="DN48" i="12"/>
  <c r="DN47" i="12"/>
  <c r="DN46" i="12"/>
  <c r="DN45" i="12"/>
  <c r="DN44" i="12"/>
  <c r="DN43" i="12"/>
  <c r="DN42" i="12"/>
  <c r="DN41" i="12"/>
  <c r="DN40" i="12"/>
  <c r="DN39" i="12"/>
  <c r="DN38" i="12"/>
  <c r="DN37" i="12"/>
  <c r="DN36" i="12"/>
  <c r="DN35" i="12"/>
  <c r="DN34" i="12"/>
  <c r="DN33" i="12"/>
  <c r="DN32" i="12"/>
  <c r="DN31" i="12"/>
  <c r="DN30" i="12"/>
  <c r="DN29" i="12"/>
  <c r="DN28" i="12"/>
  <c r="DN27" i="12"/>
  <c r="DN26" i="12"/>
  <c r="DN25" i="12"/>
  <c r="DN24" i="12"/>
  <c r="DN23" i="12"/>
  <c r="DN22" i="12"/>
  <c r="DN21" i="12"/>
  <c r="DN20" i="12"/>
  <c r="DN19" i="12"/>
  <c r="DN18" i="12"/>
  <c r="DN17" i="12"/>
  <c r="DN16" i="12"/>
  <c r="DN15" i="12"/>
  <c r="DN14" i="12"/>
  <c r="DN13" i="12"/>
  <c r="DN12" i="12"/>
  <c r="DN11" i="12"/>
  <c r="DN10" i="12"/>
  <c r="DN9" i="12"/>
  <c r="DN8" i="12"/>
  <c r="DN7" i="12"/>
  <c r="DN6" i="12"/>
  <c r="DN5" i="12"/>
  <c r="DN4" i="12"/>
  <c r="DN3" i="12"/>
  <c r="DN2" i="12"/>
  <c r="DL53" i="12"/>
  <c r="DL52" i="12"/>
  <c r="DL51" i="12"/>
  <c r="DL50" i="12"/>
  <c r="DL49" i="12"/>
  <c r="DL48" i="12"/>
  <c r="DL47" i="12"/>
  <c r="DL46" i="12"/>
  <c r="DL45" i="12"/>
  <c r="DL44" i="12"/>
  <c r="DL43" i="12"/>
  <c r="DL42" i="12"/>
  <c r="DL41" i="12"/>
  <c r="DL40" i="12"/>
  <c r="DL39" i="12"/>
  <c r="DL38" i="12"/>
  <c r="DL37" i="12"/>
  <c r="DL36" i="12"/>
  <c r="DL35" i="12"/>
  <c r="DL34" i="12"/>
  <c r="DL33" i="12"/>
  <c r="DL32" i="12"/>
  <c r="DL31" i="12"/>
  <c r="DL30" i="12"/>
  <c r="DL29" i="12"/>
  <c r="DL28" i="12"/>
  <c r="DL27" i="12"/>
  <c r="DL26" i="12"/>
  <c r="DL25" i="12"/>
  <c r="DL24" i="12"/>
  <c r="DL23" i="12"/>
  <c r="DL22" i="12"/>
  <c r="DL21" i="12"/>
  <c r="DL20" i="12"/>
  <c r="DL19" i="12"/>
  <c r="DL18" i="12"/>
  <c r="DL17" i="12"/>
  <c r="DL16" i="12"/>
  <c r="DL15" i="12"/>
  <c r="DL14" i="12"/>
  <c r="DL13" i="12"/>
  <c r="DL12" i="12"/>
  <c r="DL11" i="12"/>
  <c r="DL10" i="12"/>
  <c r="DL9" i="12"/>
  <c r="DL8" i="12"/>
  <c r="DL7" i="12"/>
  <c r="DL6" i="12"/>
  <c r="DL5" i="12"/>
  <c r="DL4" i="12"/>
  <c r="DL3" i="12"/>
  <c r="DL2" i="12"/>
  <c r="DJ53" i="12"/>
  <c r="DJ52" i="12"/>
  <c r="DJ51" i="12"/>
  <c r="DJ50" i="12"/>
  <c r="DJ49" i="12"/>
  <c r="DJ48" i="12"/>
  <c r="DJ47" i="12"/>
  <c r="DJ46" i="12"/>
  <c r="DJ45" i="12"/>
  <c r="DJ44" i="12"/>
  <c r="DJ43" i="12"/>
  <c r="DJ42" i="12"/>
  <c r="DJ41" i="12"/>
  <c r="DJ40" i="12"/>
  <c r="DJ39" i="12"/>
  <c r="DJ38" i="12"/>
  <c r="DJ37" i="12"/>
  <c r="DJ36" i="12"/>
  <c r="DJ35" i="12"/>
  <c r="DJ34" i="12"/>
  <c r="DJ33" i="12"/>
  <c r="DJ32" i="12"/>
  <c r="DJ31" i="12"/>
  <c r="DJ30" i="12"/>
  <c r="DJ29" i="12"/>
  <c r="DJ28" i="12"/>
  <c r="DJ27" i="12"/>
  <c r="DJ26" i="12"/>
  <c r="DJ25" i="12"/>
  <c r="DJ24" i="12"/>
  <c r="DJ23" i="12"/>
  <c r="DJ22" i="12"/>
  <c r="DJ21" i="12"/>
  <c r="DJ20" i="12"/>
  <c r="DJ19" i="12"/>
  <c r="DJ18" i="12"/>
  <c r="DJ17" i="12"/>
  <c r="DJ16" i="12"/>
  <c r="DJ15" i="12"/>
  <c r="DJ14" i="12"/>
  <c r="DJ13" i="12"/>
  <c r="DJ12" i="12"/>
  <c r="DJ11" i="12"/>
  <c r="DJ10" i="12"/>
  <c r="DJ9" i="12"/>
  <c r="DJ8" i="12"/>
  <c r="DJ7" i="12"/>
  <c r="DJ6" i="12"/>
  <c r="DJ5" i="12"/>
  <c r="DJ4" i="12"/>
  <c r="DJ3" i="12"/>
  <c r="DJ2" i="12"/>
  <c r="DH53" i="12"/>
  <c r="DH52" i="12"/>
  <c r="DH51" i="12"/>
  <c r="DH50" i="12"/>
  <c r="DH49" i="12"/>
  <c r="DH48" i="12"/>
  <c r="DH47" i="12"/>
  <c r="DH46" i="12"/>
  <c r="DH45" i="12"/>
  <c r="DH44" i="12"/>
  <c r="DH43" i="12"/>
  <c r="DH42" i="12"/>
  <c r="DH41" i="12"/>
  <c r="DH40" i="12"/>
  <c r="DH39" i="12"/>
  <c r="DH38" i="12"/>
  <c r="DH37" i="12"/>
  <c r="DH36" i="12"/>
  <c r="DH35" i="12"/>
  <c r="DH34" i="12"/>
  <c r="DH33" i="12"/>
  <c r="DH32" i="12"/>
  <c r="DH31" i="12"/>
  <c r="DH30" i="12"/>
  <c r="DH29" i="12"/>
  <c r="DH28" i="12"/>
  <c r="DH27" i="12"/>
  <c r="DH26" i="12"/>
  <c r="DH25" i="12"/>
  <c r="DH24" i="12"/>
  <c r="DH23" i="12"/>
  <c r="DH22" i="12"/>
  <c r="DH21" i="12"/>
  <c r="DH20" i="12"/>
  <c r="DH19" i="12"/>
  <c r="DH18" i="12"/>
  <c r="DH17" i="12"/>
  <c r="DH16" i="12"/>
  <c r="DH15" i="12"/>
  <c r="DH14" i="12"/>
  <c r="DH13" i="12"/>
  <c r="DH12" i="12"/>
  <c r="DH11" i="12"/>
  <c r="DH10" i="12"/>
  <c r="DH9" i="12"/>
  <c r="DH8" i="12"/>
  <c r="DH7" i="12"/>
  <c r="DH6" i="12"/>
  <c r="DH5" i="12"/>
  <c r="DH4" i="12"/>
  <c r="DH3" i="12"/>
  <c r="DH2" i="12"/>
  <c r="DF53" i="12"/>
  <c r="DF52" i="12"/>
  <c r="DF51" i="12"/>
  <c r="DF50" i="12"/>
  <c r="DF49" i="12"/>
  <c r="DF48" i="12"/>
  <c r="DF47" i="12"/>
  <c r="DF46" i="12"/>
  <c r="DF45" i="12"/>
  <c r="DF44" i="12"/>
  <c r="DF43" i="12"/>
  <c r="DF42" i="12"/>
  <c r="DF41" i="12"/>
  <c r="DF40" i="12"/>
  <c r="DF39" i="12"/>
  <c r="DF38" i="12"/>
  <c r="DF37" i="12"/>
  <c r="DF36" i="12"/>
  <c r="DF35" i="12"/>
  <c r="DF34" i="12"/>
  <c r="DF33" i="12"/>
  <c r="DF32" i="12"/>
  <c r="DF31" i="12"/>
  <c r="DF30" i="12"/>
  <c r="DF29" i="12"/>
  <c r="DF28" i="12"/>
  <c r="DF27" i="12"/>
  <c r="DF26" i="12"/>
  <c r="DF25" i="12"/>
  <c r="DF24" i="12"/>
  <c r="DF23" i="12"/>
  <c r="DF22" i="12"/>
  <c r="DF21" i="12"/>
  <c r="DF20" i="12"/>
  <c r="DF19" i="12"/>
  <c r="DF18" i="12"/>
  <c r="DF17" i="12"/>
  <c r="DF16" i="12"/>
  <c r="DF15" i="12"/>
  <c r="DF14" i="12"/>
  <c r="DF13" i="12"/>
  <c r="DF12" i="12"/>
  <c r="DF11" i="12"/>
  <c r="DF10" i="12"/>
  <c r="DF9" i="12"/>
  <c r="DF8" i="12"/>
  <c r="DF7" i="12"/>
  <c r="DF6" i="12"/>
  <c r="DF5" i="12"/>
  <c r="DF4" i="12"/>
  <c r="DF3" i="12"/>
  <c r="DF2" i="12"/>
  <c r="DD53" i="12"/>
  <c r="DD52" i="12"/>
  <c r="DD51" i="12"/>
  <c r="DD50" i="12"/>
  <c r="DD49" i="12"/>
  <c r="DD48" i="12"/>
  <c r="DD47" i="12"/>
  <c r="DD46" i="12"/>
  <c r="DD45" i="12"/>
  <c r="DD44" i="12"/>
  <c r="DD43" i="12"/>
  <c r="DD42" i="12"/>
  <c r="DD41" i="12"/>
  <c r="DD40" i="12"/>
  <c r="DD39" i="12"/>
  <c r="DD38" i="12"/>
  <c r="DD37" i="12"/>
  <c r="DD36" i="12"/>
  <c r="DD35" i="12"/>
  <c r="DD34" i="12"/>
  <c r="DD33" i="12"/>
  <c r="DD32" i="12"/>
  <c r="DD31" i="12"/>
  <c r="DD30" i="12"/>
  <c r="DD29" i="12"/>
  <c r="DD28" i="12"/>
  <c r="DD27" i="12"/>
  <c r="DD26" i="12"/>
  <c r="DD25" i="12"/>
  <c r="DD24" i="12"/>
  <c r="DD23" i="12"/>
  <c r="DD22" i="12"/>
  <c r="DD21" i="12"/>
  <c r="DD20" i="12"/>
  <c r="DD19" i="12"/>
  <c r="DD18" i="12"/>
  <c r="DD17" i="12"/>
  <c r="DD16" i="12"/>
  <c r="DD15" i="12"/>
  <c r="DD14" i="12"/>
  <c r="DD13" i="12"/>
  <c r="DD12" i="12"/>
  <c r="DD11" i="12"/>
  <c r="DD10" i="12"/>
  <c r="DD9" i="12"/>
  <c r="DD8" i="12"/>
  <c r="DD7" i="12"/>
  <c r="DD6" i="12"/>
  <c r="DD5" i="12"/>
  <c r="DD4" i="12"/>
  <c r="DD3" i="12"/>
  <c r="DD2" i="12"/>
  <c r="DB53" i="12"/>
  <c r="DB52" i="12"/>
  <c r="DB51" i="12"/>
  <c r="DB50" i="12"/>
  <c r="DB49" i="12"/>
  <c r="DB48" i="12"/>
  <c r="DB47" i="12"/>
  <c r="DB46" i="12"/>
  <c r="DB45" i="12"/>
  <c r="DB44" i="12"/>
  <c r="DB43" i="12"/>
  <c r="DB42" i="12"/>
  <c r="DB41" i="12"/>
  <c r="DB40" i="12"/>
  <c r="DB39" i="12"/>
  <c r="DB38" i="12"/>
  <c r="DB37" i="12"/>
  <c r="DB36" i="12"/>
  <c r="DB35" i="12"/>
  <c r="DB34" i="12"/>
  <c r="DB33" i="12"/>
  <c r="DB32" i="12"/>
  <c r="DB31" i="12"/>
  <c r="DB30" i="12"/>
  <c r="DB29" i="12"/>
  <c r="DB28" i="12"/>
  <c r="DB27" i="12"/>
  <c r="DB26" i="12"/>
  <c r="DB25" i="12"/>
  <c r="DB24" i="12"/>
  <c r="DB23" i="12"/>
  <c r="DB22" i="12"/>
  <c r="DB21" i="12"/>
  <c r="DB20" i="12"/>
  <c r="DB19" i="12"/>
  <c r="DB18" i="12"/>
  <c r="DB17" i="12"/>
  <c r="DB16" i="12"/>
  <c r="DB15" i="12"/>
  <c r="DB14" i="12"/>
  <c r="DB13" i="12"/>
  <c r="DB12" i="12"/>
  <c r="DB11" i="12"/>
  <c r="DB10" i="12"/>
  <c r="DB9" i="12"/>
  <c r="DB8" i="12"/>
  <c r="DB7" i="12"/>
  <c r="DB6" i="12"/>
  <c r="DB5" i="12"/>
  <c r="DB4" i="12"/>
  <c r="DB3" i="12"/>
  <c r="DB2" i="12"/>
  <c r="CZ53" i="12"/>
  <c r="CZ52" i="12"/>
  <c r="CZ51" i="12"/>
  <c r="CZ50" i="12"/>
  <c r="CZ49" i="12"/>
  <c r="CZ48" i="12"/>
  <c r="CZ47" i="12"/>
  <c r="CZ46" i="12"/>
  <c r="CZ45" i="12"/>
  <c r="CZ44" i="12"/>
  <c r="CZ43" i="12"/>
  <c r="CZ42" i="12"/>
  <c r="CZ41" i="12"/>
  <c r="CZ40" i="12"/>
  <c r="CZ39" i="12"/>
  <c r="CZ38" i="12"/>
  <c r="CZ37" i="12"/>
  <c r="CZ36" i="12"/>
  <c r="CZ35" i="12"/>
  <c r="CZ34" i="12"/>
  <c r="CZ33" i="12"/>
  <c r="CZ32" i="12"/>
  <c r="CZ31" i="12"/>
  <c r="CZ30" i="12"/>
  <c r="CZ29" i="12"/>
  <c r="CZ28" i="12"/>
  <c r="CZ27" i="12"/>
  <c r="CZ26" i="12"/>
  <c r="CZ25" i="12"/>
  <c r="CZ24" i="12"/>
  <c r="CZ23" i="12"/>
  <c r="CZ22" i="12"/>
  <c r="CZ21" i="12"/>
  <c r="CZ20" i="12"/>
  <c r="CZ19" i="12"/>
  <c r="CZ18" i="12"/>
  <c r="CZ17" i="12"/>
  <c r="CZ16" i="12"/>
  <c r="CZ15" i="12"/>
  <c r="CZ14" i="12"/>
  <c r="CZ13" i="12"/>
  <c r="CZ12" i="12"/>
  <c r="CZ11" i="12"/>
  <c r="CZ10" i="12"/>
  <c r="CZ9" i="12"/>
  <c r="CZ8" i="12"/>
  <c r="CZ7" i="12"/>
  <c r="CZ6" i="12"/>
  <c r="CZ5" i="12"/>
  <c r="CZ4" i="12"/>
  <c r="CZ3" i="12"/>
  <c r="CZ2" i="12"/>
  <c r="CX53" i="12"/>
  <c r="CX52" i="12"/>
  <c r="CX51" i="12"/>
  <c r="CX50" i="12"/>
  <c r="CX49" i="12"/>
  <c r="CX48" i="12"/>
  <c r="CX47" i="12"/>
  <c r="CX46" i="12"/>
  <c r="CX45" i="12"/>
  <c r="CX44" i="12"/>
  <c r="CX43" i="12"/>
  <c r="CX42" i="12"/>
  <c r="CX41" i="12"/>
  <c r="CX40" i="12"/>
  <c r="CX39" i="12"/>
  <c r="CX38" i="12"/>
  <c r="CX37" i="12"/>
  <c r="CX36" i="12"/>
  <c r="CX35" i="12"/>
  <c r="CX34" i="12"/>
  <c r="CX33" i="12"/>
  <c r="CX32" i="12"/>
  <c r="CX31" i="12"/>
  <c r="CX30" i="12"/>
  <c r="CX29" i="12"/>
  <c r="CX28" i="12"/>
  <c r="CX27" i="12"/>
  <c r="CX26" i="12"/>
  <c r="CX25" i="12"/>
  <c r="CX24" i="12"/>
  <c r="CX23" i="12"/>
  <c r="CX22" i="12"/>
  <c r="CX21" i="12"/>
  <c r="CX20" i="12"/>
  <c r="CX19" i="12"/>
  <c r="CX18" i="12"/>
  <c r="CX17" i="12"/>
  <c r="CX16" i="12"/>
  <c r="CX15" i="12"/>
  <c r="CX14" i="12"/>
  <c r="CX13" i="12"/>
  <c r="CX12" i="12"/>
  <c r="CX11" i="12"/>
  <c r="CX10" i="12"/>
  <c r="CX9" i="12"/>
  <c r="CX8" i="12"/>
  <c r="CX7" i="12"/>
  <c r="CX6" i="12"/>
  <c r="CX5" i="12"/>
  <c r="CX4" i="12"/>
  <c r="CX3" i="12"/>
  <c r="CX2" i="12"/>
  <c r="CV53" i="12"/>
  <c r="CV52" i="12"/>
  <c r="CV51" i="12"/>
  <c r="CV50" i="12"/>
  <c r="CV49" i="12"/>
  <c r="CV48" i="12"/>
  <c r="CV47" i="12"/>
  <c r="CV46" i="12"/>
  <c r="CV45" i="12"/>
  <c r="CV44" i="12"/>
  <c r="CV43" i="12"/>
  <c r="CV42" i="12"/>
  <c r="CV41" i="12"/>
  <c r="CV40" i="12"/>
  <c r="CV39" i="12"/>
  <c r="CV38" i="12"/>
  <c r="CV37" i="12"/>
  <c r="CV36" i="12"/>
  <c r="CV35" i="12"/>
  <c r="CV34" i="12"/>
  <c r="CV33" i="12"/>
  <c r="CV32" i="12"/>
  <c r="CV31" i="12"/>
  <c r="CV30" i="12"/>
  <c r="CV29" i="12"/>
  <c r="CV28" i="12"/>
  <c r="CV27" i="12"/>
  <c r="CV26" i="12"/>
  <c r="CV25" i="12"/>
  <c r="CV24" i="12"/>
  <c r="CV23" i="12"/>
  <c r="CV22" i="12"/>
  <c r="CV21" i="12"/>
  <c r="CV20" i="12"/>
  <c r="CV19" i="12"/>
  <c r="CV18" i="12"/>
  <c r="CV17" i="12"/>
  <c r="CV16" i="12"/>
  <c r="CV15" i="12"/>
  <c r="CV14" i="12"/>
  <c r="CV13" i="12"/>
  <c r="CV12" i="12"/>
  <c r="CV11" i="12"/>
  <c r="CV10" i="12"/>
  <c r="CV9" i="12"/>
  <c r="CV8" i="12"/>
  <c r="CV7" i="12"/>
  <c r="CV6" i="12"/>
  <c r="CV5" i="12"/>
  <c r="CV4" i="12"/>
  <c r="CV3" i="12"/>
  <c r="CV2" i="12"/>
  <c r="CT53" i="12"/>
  <c r="CT52" i="12"/>
  <c r="CT51" i="12"/>
  <c r="CT50" i="12"/>
  <c r="CT49" i="12"/>
  <c r="CT48" i="12"/>
  <c r="CT47" i="12"/>
  <c r="CT46" i="12"/>
  <c r="CT45" i="12"/>
  <c r="CT44" i="12"/>
  <c r="CT43" i="12"/>
  <c r="CT42" i="12"/>
  <c r="CT41" i="12"/>
  <c r="CT40" i="12"/>
  <c r="CT39" i="12"/>
  <c r="CT38" i="12"/>
  <c r="CT37" i="12"/>
  <c r="CT36" i="12"/>
  <c r="CT35" i="12"/>
  <c r="CT34" i="12"/>
  <c r="CT33" i="12"/>
  <c r="CT32" i="12"/>
  <c r="CT31" i="12"/>
  <c r="CT30" i="12"/>
  <c r="CT29" i="12"/>
  <c r="CT28" i="12"/>
  <c r="CT27" i="12"/>
  <c r="CT26" i="12"/>
  <c r="CT25" i="12"/>
  <c r="CT24" i="12"/>
  <c r="CT23" i="12"/>
  <c r="CT22" i="12"/>
  <c r="CT21" i="12"/>
  <c r="CT20" i="12"/>
  <c r="CT19" i="12"/>
  <c r="CT18" i="12"/>
  <c r="CT17" i="12"/>
  <c r="CT16" i="12"/>
  <c r="CT15" i="12"/>
  <c r="CT14" i="12"/>
  <c r="CT13" i="12"/>
  <c r="CT12" i="12"/>
  <c r="CT11" i="12"/>
  <c r="CT10" i="12"/>
  <c r="CT9" i="12"/>
  <c r="CT8" i="12"/>
  <c r="CT7" i="12"/>
  <c r="CT6" i="12"/>
  <c r="CT5" i="12"/>
  <c r="CT4" i="12"/>
  <c r="CT3" i="12"/>
  <c r="CT2" i="12"/>
  <c r="CR53" i="12"/>
  <c r="CR52" i="12"/>
  <c r="CR51" i="12"/>
  <c r="CR50" i="12"/>
  <c r="CR49" i="12"/>
  <c r="CR48" i="12"/>
  <c r="CR47" i="12"/>
  <c r="CR46" i="12"/>
  <c r="CR45" i="12"/>
  <c r="CR44" i="12"/>
  <c r="CR43" i="12"/>
  <c r="CR42" i="12"/>
  <c r="CR41" i="12"/>
  <c r="CR40" i="12"/>
  <c r="CR39" i="12"/>
  <c r="CR38" i="12"/>
  <c r="CR37" i="12"/>
  <c r="CR36" i="12"/>
  <c r="CR35" i="12"/>
  <c r="CR34" i="12"/>
  <c r="CR33" i="12"/>
  <c r="CR32" i="12"/>
  <c r="CR31" i="12"/>
  <c r="CR30" i="12"/>
  <c r="CR29" i="12"/>
  <c r="CR28" i="12"/>
  <c r="CR27" i="12"/>
  <c r="CR26" i="12"/>
  <c r="CR25" i="12"/>
  <c r="CR24" i="12"/>
  <c r="CR23" i="12"/>
  <c r="CR22" i="12"/>
  <c r="CR21" i="12"/>
  <c r="CR20" i="12"/>
  <c r="CR19" i="12"/>
  <c r="CR18" i="12"/>
  <c r="CR17" i="12"/>
  <c r="CR16" i="12"/>
  <c r="CR15" i="12"/>
  <c r="CR14" i="12"/>
  <c r="CR13" i="12"/>
  <c r="CR12" i="12"/>
  <c r="CR11" i="12"/>
  <c r="CR10" i="12"/>
  <c r="CR9" i="12"/>
  <c r="CR8" i="12"/>
  <c r="CR7" i="12"/>
  <c r="CR6" i="12"/>
  <c r="CR5" i="12"/>
  <c r="CR4" i="12"/>
  <c r="CR3" i="12"/>
  <c r="CR2" i="12"/>
  <c r="CP53" i="12"/>
  <c r="CP52" i="12"/>
  <c r="CP51" i="12"/>
  <c r="CP50" i="12"/>
  <c r="CP49" i="12"/>
  <c r="CP48" i="12"/>
  <c r="CP47" i="12"/>
  <c r="CP46" i="12"/>
  <c r="CP45" i="12"/>
  <c r="CP44" i="12"/>
  <c r="CP43" i="12"/>
  <c r="CP42" i="12"/>
  <c r="CP41" i="12"/>
  <c r="CP40" i="12"/>
  <c r="CP39" i="12"/>
  <c r="CP38" i="12"/>
  <c r="CP37" i="12"/>
  <c r="CP36" i="12"/>
  <c r="CP35" i="12"/>
  <c r="CP34" i="12"/>
  <c r="CP33" i="12"/>
  <c r="CP32" i="12"/>
  <c r="CP31" i="12"/>
  <c r="CP30" i="12"/>
  <c r="CP29" i="12"/>
  <c r="CP28" i="12"/>
  <c r="CP27" i="12"/>
  <c r="CP26" i="12"/>
  <c r="CP25" i="12"/>
  <c r="CP24" i="12"/>
  <c r="CP23" i="12"/>
  <c r="CP22" i="12"/>
  <c r="CP21" i="12"/>
  <c r="CP20" i="12"/>
  <c r="CP19" i="12"/>
  <c r="CP18" i="12"/>
  <c r="CP17" i="12"/>
  <c r="CP16" i="12"/>
  <c r="CP15" i="12"/>
  <c r="CP14" i="12"/>
  <c r="CP13" i="12"/>
  <c r="CP12" i="12"/>
  <c r="CP11" i="12"/>
  <c r="CP10" i="12"/>
  <c r="CP9" i="12"/>
  <c r="CP8" i="12"/>
  <c r="CP7" i="12"/>
  <c r="CP6" i="12"/>
  <c r="CP5" i="12"/>
  <c r="CP4" i="12"/>
  <c r="CP3" i="12"/>
  <c r="CP2" i="12"/>
  <c r="CN53" i="12"/>
  <c r="CN52" i="12"/>
  <c r="CN51" i="12"/>
  <c r="CN50" i="12"/>
  <c r="CN49" i="12"/>
  <c r="CN48" i="12"/>
  <c r="CN47" i="12"/>
  <c r="CN46" i="12"/>
  <c r="CN45" i="12"/>
  <c r="CN44" i="12"/>
  <c r="CN43" i="12"/>
  <c r="CN42" i="12"/>
  <c r="CN41" i="12"/>
  <c r="CN40" i="12"/>
  <c r="CN39" i="12"/>
  <c r="CN38" i="12"/>
  <c r="CN37" i="12"/>
  <c r="CN36" i="12"/>
  <c r="CN35" i="12"/>
  <c r="CN34" i="12"/>
  <c r="CN33" i="12"/>
  <c r="CN32" i="12"/>
  <c r="CN31" i="12"/>
  <c r="CN30" i="12"/>
  <c r="CN29" i="12"/>
  <c r="CN28" i="12"/>
  <c r="CN27" i="12"/>
  <c r="CN26" i="12"/>
  <c r="CN25" i="12"/>
  <c r="CN24" i="12"/>
  <c r="CN23" i="12"/>
  <c r="CN22" i="12"/>
  <c r="CN21" i="12"/>
  <c r="CN20" i="12"/>
  <c r="CN19" i="12"/>
  <c r="CN18" i="12"/>
  <c r="CN17" i="12"/>
  <c r="CN16" i="12"/>
  <c r="CN15" i="12"/>
  <c r="CN14" i="12"/>
  <c r="CN13" i="12"/>
  <c r="CN12" i="12"/>
  <c r="CN11" i="12"/>
  <c r="CN10" i="12"/>
  <c r="CN9" i="12"/>
  <c r="CN8" i="12"/>
  <c r="CN7" i="12"/>
  <c r="CN6" i="12"/>
  <c r="CN5" i="12"/>
  <c r="CN4" i="12"/>
  <c r="CN3" i="12"/>
  <c r="CN2" i="12"/>
  <c r="CL53" i="12"/>
  <c r="CL52" i="12"/>
  <c r="CL51" i="12"/>
  <c r="CL50" i="12"/>
  <c r="CL49" i="12"/>
  <c r="CL48" i="12"/>
  <c r="CL47" i="12"/>
  <c r="CL46" i="12"/>
  <c r="CL45" i="12"/>
  <c r="CL44" i="12"/>
  <c r="CL43" i="12"/>
  <c r="CL42" i="12"/>
  <c r="CL41" i="12"/>
  <c r="CL40" i="12"/>
  <c r="CL39" i="12"/>
  <c r="CL38" i="12"/>
  <c r="CL37" i="12"/>
  <c r="CL36" i="12"/>
  <c r="CL35" i="12"/>
  <c r="CL34" i="12"/>
  <c r="CL33" i="12"/>
  <c r="CL32" i="12"/>
  <c r="CL31" i="12"/>
  <c r="CL30" i="12"/>
  <c r="CL29" i="12"/>
  <c r="CL28" i="12"/>
  <c r="CL27" i="12"/>
  <c r="CL26" i="12"/>
  <c r="CL25" i="12"/>
  <c r="CL24" i="12"/>
  <c r="CL23" i="12"/>
  <c r="CL22" i="12"/>
  <c r="CL21" i="12"/>
  <c r="CL20" i="12"/>
  <c r="CL19" i="12"/>
  <c r="CL18" i="12"/>
  <c r="CL17" i="12"/>
  <c r="CL16" i="12"/>
  <c r="CL15" i="12"/>
  <c r="CL14" i="12"/>
  <c r="CL13" i="12"/>
  <c r="CL12" i="12"/>
  <c r="CL11" i="12"/>
  <c r="CL10" i="12"/>
  <c r="CL9" i="12"/>
  <c r="CL8" i="12"/>
  <c r="CL7" i="12"/>
  <c r="CL6" i="12"/>
  <c r="CL5" i="12"/>
  <c r="CL4" i="12"/>
  <c r="CL3" i="12"/>
  <c r="CL2" i="12"/>
  <c r="CJ53" i="12"/>
  <c r="CJ52" i="12"/>
  <c r="CJ51" i="12"/>
  <c r="CJ50" i="12"/>
  <c r="CJ49" i="12"/>
  <c r="CJ48" i="12"/>
  <c r="CJ47" i="12"/>
  <c r="CJ46" i="12"/>
  <c r="CJ45" i="12"/>
  <c r="CJ44" i="12"/>
  <c r="CJ43" i="12"/>
  <c r="CJ42" i="12"/>
  <c r="CJ41" i="12"/>
  <c r="CJ40" i="12"/>
  <c r="CJ39" i="12"/>
  <c r="CJ38" i="12"/>
  <c r="CJ37" i="12"/>
  <c r="CJ36" i="12"/>
  <c r="CJ35" i="12"/>
  <c r="CJ34" i="12"/>
  <c r="CJ33" i="12"/>
  <c r="CJ32" i="12"/>
  <c r="CJ31" i="12"/>
  <c r="CJ30" i="12"/>
  <c r="CJ29" i="12"/>
  <c r="CJ28" i="12"/>
  <c r="CJ27" i="12"/>
  <c r="CJ26" i="12"/>
  <c r="CJ25" i="12"/>
  <c r="CJ24" i="12"/>
  <c r="CJ23" i="12"/>
  <c r="CJ22" i="12"/>
  <c r="CJ21" i="12"/>
  <c r="CJ20" i="12"/>
  <c r="CJ19" i="12"/>
  <c r="CJ18" i="12"/>
  <c r="CJ17" i="12"/>
  <c r="CJ16" i="12"/>
  <c r="CJ15" i="12"/>
  <c r="CJ14" i="12"/>
  <c r="CJ13" i="12"/>
  <c r="CJ12" i="12"/>
  <c r="CJ11" i="12"/>
  <c r="CJ10" i="12"/>
  <c r="CJ9" i="12"/>
  <c r="CJ8" i="12"/>
  <c r="CJ7" i="12"/>
  <c r="CJ6" i="12"/>
  <c r="CJ5" i="12"/>
  <c r="CJ4" i="12"/>
  <c r="CJ3" i="12"/>
  <c r="CJ2" i="12"/>
  <c r="CH53" i="12"/>
  <c r="CH52" i="12"/>
  <c r="CH51" i="12"/>
  <c r="CH50" i="12"/>
  <c r="CH49" i="12"/>
  <c r="CH48" i="12"/>
  <c r="CH47" i="12"/>
  <c r="CH46" i="12"/>
  <c r="CH45" i="12"/>
  <c r="CH44" i="12"/>
  <c r="CH43" i="12"/>
  <c r="CH42" i="12"/>
  <c r="CH41" i="12"/>
  <c r="CH40" i="12"/>
  <c r="CH39" i="12"/>
  <c r="CH38" i="12"/>
  <c r="CH37" i="12"/>
  <c r="CH36" i="12"/>
  <c r="CH35" i="12"/>
  <c r="CH34" i="12"/>
  <c r="CH33" i="12"/>
  <c r="CH32" i="12"/>
  <c r="CH31" i="12"/>
  <c r="CH30" i="12"/>
  <c r="CH29" i="12"/>
  <c r="CH28" i="12"/>
  <c r="CH27" i="12"/>
  <c r="CH26" i="12"/>
  <c r="CH25" i="12"/>
  <c r="CH24" i="12"/>
  <c r="CH23" i="12"/>
  <c r="CH22" i="12"/>
  <c r="CH21" i="12"/>
  <c r="CH20" i="12"/>
  <c r="CH19" i="12"/>
  <c r="CH18" i="12"/>
  <c r="CH17" i="12"/>
  <c r="CH16" i="12"/>
  <c r="CH15" i="12"/>
  <c r="CH14" i="12"/>
  <c r="CH13" i="12"/>
  <c r="CH12" i="12"/>
  <c r="CH11" i="12"/>
  <c r="CH10" i="12"/>
  <c r="CH9" i="12"/>
  <c r="CH8" i="12"/>
  <c r="CH7" i="12"/>
  <c r="CH6" i="12"/>
  <c r="CH5" i="12"/>
  <c r="CH4" i="12"/>
  <c r="CH3" i="12"/>
  <c r="CH2" i="12"/>
  <c r="CF53" i="12"/>
  <c r="CF52" i="12"/>
  <c r="CF51" i="12"/>
  <c r="CF50" i="12"/>
  <c r="CF49" i="12"/>
  <c r="CF48" i="12"/>
  <c r="CF47" i="12"/>
  <c r="CF46" i="12"/>
  <c r="CF45" i="12"/>
  <c r="CF44" i="12"/>
  <c r="CF43" i="12"/>
  <c r="CF42" i="12"/>
  <c r="CF41" i="12"/>
  <c r="CF40" i="12"/>
  <c r="CF39" i="12"/>
  <c r="CF38" i="12"/>
  <c r="CF37" i="12"/>
  <c r="CF36" i="12"/>
  <c r="CF35" i="12"/>
  <c r="CF34" i="12"/>
  <c r="CF33" i="12"/>
  <c r="CF32" i="12"/>
  <c r="CF31" i="12"/>
  <c r="CF30" i="12"/>
  <c r="CF29" i="12"/>
  <c r="CF28" i="12"/>
  <c r="CF27" i="12"/>
  <c r="CF26" i="12"/>
  <c r="CF25" i="12"/>
  <c r="CF24" i="12"/>
  <c r="CF23" i="12"/>
  <c r="CF22" i="12"/>
  <c r="CF21" i="12"/>
  <c r="CF20" i="12"/>
  <c r="CF19" i="12"/>
  <c r="CF18" i="12"/>
  <c r="CF17" i="12"/>
  <c r="CF16" i="12"/>
  <c r="CF15" i="12"/>
  <c r="CF14" i="12"/>
  <c r="CF13" i="12"/>
  <c r="CF12" i="12"/>
  <c r="CF11" i="12"/>
  <c r="CF10" i="12"/>
  <c r="CF9" i="12"/>
  <c r="CF8" i="12"/>
  <c r="CF7" i="12"/>
  <c r="CF6" i="12"/>
  <c r="CF5" i="12"/>
  <c r="CF4" i="12"/>
  <c r="CF3" i="12"/>
  <c r="CF2" i="12"/>
  <c r="CD53" i="12"/>
  <c r="CD52" i="12"/>
  <c r="CD51" i="12"/>
  <c r="CD50" i="12"/>
  <c r="CD49" i="12"/>
  <c r="CD48" i="12"/>
  <c r="CD47" i="12"/>
  <c r="CD46" i="12"/>
  <c r="CD45" i="12"/>
  <c r="CD44" i="12"/>
  <c r="CD43" i="12"/>
  <c r="CD42" i="12"/>
  <c r="CD41" i="12"/>
  <c r="CD40" i="12"/>
  <c r="CD39" i="12"/>
  <c r="CD38" i="12"/>
  <c r="CD37" i="12"/>
  <c r="CD36" i="12"/>
  <c r="CD35" i="12"/>
  <c r="CD34" i="12"/>
  <c r="CD33" i="12"/>
  <c r="CD32" i="12"/>
  <c r="CD31" i="12"/>
  <c r="CD30" i="12"/>
  <c r="CD29" i="12"/>
  <c r="CD28" i="12"/>
  <c r="CD27" i="12"/>
  <c r="CD26" i="12"/>
  <c r="CD25" i="12"/>
  <c r="CD24" i="12"/>
  <c r="CD23" i="12"/>
  <c r="CD22" i="12"/>
  <c r="CD21" i="12"/>
  <c r="CD20" i="12"/>
  <c r="CD19" i="12"/>
  <c r="CD18" i="12"/>
  <c r="CD17" i="12"/>
  <c r="CD16" i="12"/>
  <c r="CD15" i="12"/>
  <c r="CD14" i="12"/>
  <c r="CD13" i="12"/>
  <c r="CD12" i="12"/>
  <c r="CD11" i="12"/>
  <c r="CD10" i="12"/>
  <c r="CD9" i="12"/>
  <c r="CD8" i="12"/>
  <c r="CD7" i="12"/>
  <c r="CD6" i="12"/>
  <c r="CD5" i="12"/>
  <c r="CD4" i="12"/>
  <c r="CD3" i="12"/>
  <c r="CD2" i="12"/>
  <c r="CB53" i="12"/>
  <c r="CB52" i="12"/>
  <c r="CB51" i="12"/>
  <c r="CB50" i="12"/>
  <c r="CB49" i="12"/>
  <c r="CB48" i="12"/>
  <c r="CB47" i="12"/>
  <c r="CB46" i="12"/>
  <c r="CB45" i="12"/>
  <c r="CB44" i="12"/>
  <c r="CB43" i="12"/>
  <c r="CB42" i="12"/>
  <c r="CB41" i="12"/>
  <c r="CB40" i="12"/>
  <c r="CB39" i="12"/>
  <c r="CB38" i="12"/>
  <c r="CB37" i="12"/>
  <c r="CB36" i="12"/>
  <c r="CB35" i="12"/>
  <c r="CB34" i="12"/>
  <c r="CB33" i="12"/>
  <c r="CB32" i="12"/>
  <c r="CB31" i="12"/>
  <c r="CB30" i="12"/>
  <c r="CB29" i="12"/>
  <c r="CB28" i="12"/>
  <c r="CB27" i="12"/>
  <c r="CB26" i="12"/>
  <c r="CB25" i="12"/>
  <c r="CB24" i="12"/>
  <c r="CB23" i="12"/>
  <c r="CB22" i="12"/>
  <c r="CB21" i="12"/>
  <c r="CB20" i="12"/>
  <c r="CB19" i="12"/>
  <c r="CB18" i="12"/>
  <c r="CB17" i="12"/>
  <c r="CB16" i="12"/>
  <c r="CB15" i="12"/>
  <c r="CB14" i="12"/>
  <c r="CB13" i="12"/>
  <c r="CB12" i="12"/>
  <c r="CB11" i="12"/>
  <c r="CB10" i="12"/>
  <c r="CB9" i="12"/>
  <c r="CB8" i="12"/>
  <c r="CB7" i="12"/>
  <c r="CB6" i="12"/>
  <c r="CB5" i="12"/>
  <c r="CB4" i="12"/>
  <c r="CB3" i="12"/>
  <c r="CB2" i="12"/>
  <c r="BZ53" i="12"/>
  <c r="BZ52" i="12"/>
  <c r="BZ51" i="12"/>
  <c r="BZ50" i="12"/>
  <c r="BZ49" i="12"/>
  <c r="BZ48" i="12"/>
  <c r="BZ47" i="12"/>
  <c r="BZ46" i="12"/>
  <c r="BZ45" i="12"/>
  <c r="BZ44" i="12"/>
  <c r="BZ43" i="12"/>
  <c r="BZ42" i="12"/>
  <c r="BZ41" i="12"/>
  <c r="BZ40" i="12"/>
  <c r="BZ39" i="12"/>
  <c r="BZ38" i="12"/>
  <c r="BZ37" i="12"/>
  <c r="BZ36" i="12"/>
  <c r="BZ35" i="12"/>
  <c r="BZ34" i="12"/>
  <c r="BZ33" i="12"/>
  <c r="BZ32" i="12"/>
  <c r="BZ31" i="12"/>
  <c r="BZ30" i="12"/>
  <c r="BZ29" i="12"/>
  <c r="BZ28" i="12"/>
  <c r="BZ27" i="12"/>
  <c r="BZ26" i="12"/>
  <c r="BZ25" i="12"/>
  <c r="BZ24" i="12"/>
  <c r="BZ23" i="12"/>
  <c r="BZ22" i="12"/>
  <c r="BZ21" i="12"/>
  <c r="BZ20" i="12"/>
  <c r="BZ19" i="12"/>
  <c r="BZ18" i="12"/>
  <c r="BZ17" i="12"/>
  <c r="BZ16" i="12"/>
  <c r="BZ15" i="12"/>
  <c r="BZ14" i="12"/>
  <c r="BZ13" i="12"/>
  <c r="BZ12" i="12"/>
  <c r="BZ11" i="12"/>
  <c r="BZ10" i="12"/>
  <c r="BZ9" i="12"/>
  <c r="BZ8" i="12"/>
  <c r="BZ7" i="12"/>
  <c r="BZ6" i="12"/>
  <c r="BZ5" i="12"/>
  <c r="BZ4" i="12"/>
  <c r="BZ3" i="12"/>
  <c r="BZ2" i="12"/>
  <c r="BX53" i="12"/>
  <c r="BX52" i="12"/>
  <c r="BX51" i="12"/>
  <c r="BX50" i="12"/>
  <c r="BX49" i="12"/>
  <c r="BX48" i="12"/>
  <c r="BX47" i="12"/>
  <c r="BX46" i="12"/>
  <c r="BX45" i="12"/>
  <c r="BX44" i="12"/>
  <c r="BX43" i="12"/>
  <c r="BX42" i="12"/>
  <c r="BX41" i="12"/>
  <c r="BX40" i="12"/>
  <c r="BX39" i="12"/>
  <c r="BX38" i="12"/>
  <c r="BX37" i="12"/>
  <c r="BX36" i="12"/>
  <c r="BX35" i="12"/>
  <c r="BX34" i="12"/>
  <c r="BX33" i="12"/>
  <c r="BX32" i="12"/>
  <c r="BX31" i="12"/>
  <c r="BX30" i="12"/>
  <c r="BX29" i="12"/>
  <c r="BX28" i="12"/>
  <c r="BX27" i="12"/>
  <c r="BX26" i="12"/>
  <c r="BX25" i="12"/>
  <c r="BX24" i="12"/>
  <c r="BX23" i="12"/>
  <c r="BX22" i="12"/>
  <c r="BX21" i="12"/>
  <c r="BX20" i="12"/>
  <c r="BX19" i="12"/>
  <c r="BX18" i="12"/>
  <c r="BX17" i="12"/>
  <c r="BX16" i="12"/>
  <c r="BX15" i="12"/>
  <c r="BX14" i="12"/>
  <c r="BX13" i="12"/>
  <c r="BX12" i="12"/>
  <c r="BX11" i="12"/>
  <c r="BX10" i="12"/>
  <c r="BX9" i="12"/>
  <c r="BX8" i="12"/>
  <c r="BX7" i="12"/>
  <c r="BX6" i="12"/>
  <c r="BX5" i="12"/>
  <c r="BX4" i="12"/>
  <c r="BX3" i="12"/>
  <c r="BX2" i="12"/>
  <c r="BV53" i="12"/>
  <c r="BV52" i="12"/>
  <c r="BV51" i="12"/>
  <c r="BV50" i="12"/>
  <c r="BV49" i="12"/>
  <c r="BV48" i="12"/>
  <c r="BV47" i="12"/>
  <c r="BV46" i="12"/>
  <c r="BV45" i="12"/>
  <c r="BV44" i="12"/>
  <c r="BV43" i="12"/>
  <c r="BV42" i="12"/>
  <c r="BV41" i="12"/>
  <c r="BV40" i="12"/>
  <c r="BV39" i="12"/>
  <c r="BV38" i="12"/>
  <c r="BV37" i="12"/>
  <c r="BV36" i="12"/>
  <c r="BV35" i="12"/>
  <c r="BV34" i="12"/>
  <c r="BV33" i="12"/>
  <c r="BV32" i="12"/>
  <c r="BV31" i="12"/>
  <c r="BV30" i="12"/>
  <c r="BV29" i="12"/>
  <c r="BV28" i="12"/>
  <c r="BV27" i="12"/>
  <c r="BV26" i="12"/>
  <c r="BV25" i="12"/>
  <c r="BV24" i="12"/>
  <c r="BV23" i="12"/>
  <c r="BV22" i="12"/>
  <c r="BV21" i="12"/>
  <c r="BV20" i="12"/>
  <c r="BV19" i="12"/>
  <c r="BV18" i="12"/>
  <c r="BV17" i="12"/>
  <c r="BV16" i="12"/>
  <c r="BV15" i="12"/>
  <c r="BV14" i="12"/>
  <c r="BV13" i="12"/>
  <c r="BV12" i="12"/>
  <c r="BV11" i="12"/>
  <c r="BV10" i="12"/>
  <c r="BV9" i="12"/>
  <c r="BV8" i="12"/>
  <c r="BV7" i="12"/>
  <c r="BV6" i="12"/>
  <c r="BV5" i="12"/>
  <c r="BV4" i="12"/>
  <c r="BV3" i="12"/>
  <c r="BV2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BT34" i="12"/>
  <c r="BT33" i="12"/>
  <c r="BT32" i="12"/>
  <c r="BT31" i="12"/>
  <c r="BT30" i="12"/>
  <c r="BT29" i="12"/>
  <c r="BT28" i="12"/>
  <c r="BT27" i="12"/>
  <c r="BT26" i="12"/>
  <c r="BT25" i="12"/>
  <c r="BT24" i="12"/>
  <c r="BT23" i="12"/>
  <c r="BT22" i="12"/>
  <c r="BT21" i="12"/>
  <c r="BT20" i="12"/>
  <c r="BT19" i="12"/>
  <c r="BT18" i="12"/>
  <c r="BT17" i="12"/>
  <c r="BT16" i="12"/>
  <c r="BT15" i="12"/>
  <c r="BT14" i="12"/>
  <c r="BT13" i="12"/>
  <c r="BT12" i="12"/>
  <c r="BT11" i="12"/>
  <c r="BT10" i="12"/>
  <c r="BT9" i="12"/>
  <c r="BT8" i="12"/>
  <c r="BT7" i="12"/>
  <c r="BT6" i="12"/>
  <c r="BT5" i="12"/>
  <c r="BT4" i="12"/>
  <c r="BT3" i="12"/>
  <c r="BT2" i="12"/>
  <c r="BR53" i="12"/>
  <c r="BR52" i="12"/>
  <c r="BR51" i="12"/>
  <c r="BR50" i="12"/>
  <c r="BR49" i="12"/>
  <c r="BR48" i="12"/>
  <c r="BR47" i="12"/>
  <c r="BR46" i="12"/>
  <c r="BR45" i="12"/>
  <c r="BR44" i="12"/>
  <c r="BR43" i="12"/>
  <c r="BR42" i="12"/>
  <c r="BR41" i="12"/>
  <c r="BR40" i="12"/>
  <c r="BR39" i="12"/>
  <c r="BR38" i="12"/>
  <c r="BR37" i="12"/>
  <c r="BR36" i="12"/>
  <c r="BR35" i="12"/>
  <c r="BR34" i="12"/>
  <c r="BR33" i="12"/>
  <c r="BR32" i="12"/>
  <c r="BR31" i="12"/>
  <c r="BR30" i="12"/>
  <c r="BR29" i="12"/>
  <c r="BR28" i="12"/>
  <c r="BR27" i="12"/>
  <c r="BR26" i="12"/>
  <c r="BR25" i="12"/>
  <c r="BR24" i="12"/>
  <c r="BR23" i="12"/>
  <c r="BR22" i="12"/>
  <c r="BR21" i="12"/>
  <c r="BR20" i="12"/>
  <c r="BR19" i="12"/>
  <c r="BR18" i="12"/>
  <c r="BR17" i="12"/>
  <c r="BR16" i="12"/>
  <c r="BR15" i="12"/>
  <c r="BR14" i="12"/>
  <c r="BR13" i="12"/>
  <c r="BR12" i="12"/>
  <c r="BR11" i="12"/>
  <c r="BR10" i="12"/>
  <c r="BR9" i="12"/>
  <c r="BR8" i="12"/>
  <c r="BR7" i="12"/>
  <c r="BR6" i="12"/>
  <c r="BR5" i="12"/>
  <c r="BR4" i="12"/>
  <c r="BR3" i="12"/>
  <c r="BR2" i="12"/>
  <c r="BP53" i="12"/>
  <c r="BP52" i="12"/>
  <c r="BP51" i="12"/>
  <c r="BP50" i="12"/>
  <c r="BP49" i="12"/>
  <c r="BP48" i="12"/>
  <c r="BP47" i="12"/>
  <c r="BP46" i="12"/>
  <c r="BP45" i="12"/>
  <c r="BP44" i="12"/>
  <c r="BP43" i="12"/>
  <c r="BP42" i="12"/>
  <c r="BP41" i="12"/>
  <c r="BP40" i="12"/>
  <c r="BP39" i="12"/>
  <c r="BP38" i="12"/>
  <c r="BP37" i="12"/>
  <c r="BP36" i="12"/>
  <c r="BP35" i="12"/>
  <c r="BP34" i="12"/>
  <c r="BP33" i="12"/>
  <c r="BP32" i="12"/>
  <c r="BP31" i="12"/>
  <c r="BP30" i="12"/>
  <c r="BP29" i="12"/>
  <c r="BP28" i="12"/>
  <c r="BP27" i="12"/>
  <c r="BP26" i="12"/>
  <c r="BP25" i="12"/>
  <c r="BP24" i="12"/>
  <c r="BP23" i="12"/>
  <c r="BP22" i="12"/>
  <c r="BP21" i="12"/>
  <c r="BP20" i="12"/>
  <c r="BP19" i="12"/>
  <c r="BP18" i="12"/>
  <c r="BP17" i="12"/>
  <c r="BP16" i="12"/>
  <c r="BP15" i="12"/>
  <c r="BP14" i="12"/>
  <c r="BP13" i="12"/>
  <c r="BP12" i="12"/>
  <c r="BP11" i="12"/>
  <c r="BP10" i="12"/>
  <c r="BP9" i="12"/>
  <c r="BP8" i="12"/>
  <c r="BP7" i="12"/>
  <c r="BP6" i="12"/>
  <c r="BP5" i="12"/>
  <c r="BP4" i="12"/>
  <c r="BP3" i="12"/>
  <c r="BP2" i="12"/>
  <c r="BN53" i="12"/>
  <c r="BN52" i="12"/>
  <c r="BN51" i="12"/>
  <c r="BN50" i="12"/>
  <c r="BN49" i="12"/>
  <c r="BN48" i="12"/>
  <c r="BN47" i="12"/>
  <c r="BN46" i="12"/>
  <c r="BN45" i="12"/>
  <c r="BN44" i="12"/>
  <c r="BN43" i="12"/>
  <c r="BN42" i="12"/>
  <c r="BN41" i="12"/>
  <c r="BN40" i="12"/>
  <c r="BN39" i="12"/>
  <c r="BN38" i="12"/>
  <c r="BN37" i="12"/>
  <c r="BN36" i="12"/>
  <c r="BN35" i="12"/>
  <c r="BN34" i="12"/>
  <c r="BN33" i="12"/>
  <c r="BN32" i="12"/>
  <c r="BN31" i="12"/>
  <c r="BN30" i="12"/>
  <c r="BN29" i="12"/>
  <c r="BN28" i="12"/>
  <c r="BN27" i="12"/>
  <c r="BN26" i="12"/>
  <c r="BN25" i="12"/>
  <c r="BN24" i="12"/>
  <c r="BN23" i="12"/>
  <c r="BN22" i="12"/>
  <c r="BN21" i="12"/>
  <c r="BN20" i="12"/>
  <c r="BN19" i="12"/>
  <c r="BN18" i="12"/>
  <c r="BN17" i="12"/>
  <c r="BN16" i="12"/>
  <c r="BN15" i="12"/>
  <c r="BN14" i="12"/>
  <c r="BN13" i="12"/>
  <c r="BN12" i="12"/>
  <c r="BN11" i="12"/>
  <c r="BN10" i="12"/>
  <c r="BN9" i="12"/>
  <c r="BN8" i="12"/>
  <c r="BN7" i="12"/>
  <c r="BN6" i="12"/>
  <c r="BN5" i="12"/>
  <c r="BN4" i="12"/>
  <c r="BN3" i="12"/>
  <c r="BN2" i="12"/>
  <c r="BL53" i="12"/>
  <c r="BL52" i="12"/>
  <c r="BL51" i="12"/>
  <c r="BL50" i="12"/>
  <c r="BL49" i="12"/>
  <c r="BL48" i="12"/>
  <c r="BL47" i="12"/>
  <c r="BL46" i="12"/>
  <c r="BL45" i="12"/>
  <c r="BL44" i="12"/>
  <c r="BL43" i="12"/>
  <c r="BL42" i="12"/>
  <c r="BL41" i="12"/>
  <c r="BL40" i="12"/>
  <c r="BL39" i="12"/>
  <c r="BL38" i="12"/>
  <c r="BL37" i="12"/>
  <c r="BL36" i="12"/>
  <c r="BL35" i="12"/>
  <c r="BL34" i="12"/>
  <c r="BL33" i="12"/>
  <c r="BL32" i="12"/>
  <c r="BL31" i="12"/>
  <c r="BL30" i="12"/>
  <c r="BL29" i="12"/>
  <c r="BL28" i="12"/>
  <c r="BL27" i="12"/>
  <c r="BL26" i="12"/>
  <c r="BL25" i="12"/>
  <c r="BL24" i="12"/>
  <c r="BL23" i="12"/>
  <c r="BL22" i="12"/>
  <c r="BL21" i="12"/>
  <c r="BL20" i="12"/>
  <c r="BL19" i="12"/>
  <c r="BL18" i="12"/>
  <c r="BL17" i="12"/>
  <c r="BL16" i="12"/>
  <c r="BL15" i="12"/>
  <c r="BL14" i="12"/>
  <c r="BL13" i="12"/>
  <c r="BL12" i="12"/>
  <c r="BL11" i="12"/>
  <c r="BL10" i="12"/>
  <c r="BL9" i="12"/>
  <c r="BL8" i="12"/>
  <c r="BL7" i="12"/>
  <c r="BL6" i="12"/>
  <c r="BL5" i="12"/>
  <c r="BL4" i="12"/>
  <c r="BL3" i="12"/>
  <c r="BL2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J9" i="12"/>
  <c r="BJ8" i="12"/>
  <c r="BJ7" i="12"/>
  <c r="BJ6" i="12"/>
  <c r="BJ5" i="12"/>
  <c r="BJ4" i="12"/>
  <c r="BJ3" i="12"/>
  <c r="BJ2" i="12"/>
  <c r="BH53" i="12"/>
  <c r="BH52" i="12"/>
  <c r="BH51" i="12"/>
  <c r="BH50" i="12"/>
  <c r="BH49" i="12"/>
  <c r="BH48" i="12"/>
  <c r="BH47" i="12"/>
  <c r="BH46" i="12"/>
  <c r="BH45" i="12"/>
  <c r="BH44" i="12"/>
  <c r="BH43" i="12"/>
  <c r="BH42" i="12"/>
  <c r="BH41" i="12"/>
  <c r="BH40" i="12"/>
  <c r="BH39" i="12"/>
  <c r="BH38" i="12"/>
  <c r="BH37" i="12"/>
  <c r="BH36" i="12"/>
  <c r="BH35" i="12"/>
  <c r="BH34" i="12"/>
  <c r="BH33" i="12"/>
  <c r="BH32" i="12"/>
  <c r="BH31" i="12"/>
  <c r="BH30" i="12"/>
  <c r="BH29" i="12"/>
  <c r="BH28" i="12"/>
  <c r="BH27" i="12"/>
  <c r="BH26" i="12"/>
  <c r="BH25" i="12"/>
  <c r="BH24" i="12"/>
  <c r="BH23" i="12"/>
  <c r="BH22" i="12"/>
  <c r="BH21" i="12"/>
  <c r="BH20" i="12"/>
  <c r="BH19" i="12"/>
  <c r="BH18" i="12"/>
  <c r="BH17" i="12"/>
  <c r="BH16" i="12"/>
  <c r="BH15" i="12"/>
  <c r="BH14" i="12"/>
  <c r="BH13" i="12"/>
  <c r="BH12" i="12"/>
  <c r="BH11" i="12"/>
  <c r="BH10" i="12"/>
  <c r="BH9" i="12"/>
  <c r="BH8" i="12"/>
  <c r="BH7" i="12"/>
  <c r="BH6" i="12"/>
  <c r="BH5" i="12"/>
  <c r="BH4" i="12"/>
  <c r="BH3" i="12"/>
  <c r="BH2" i="12"/>
  <c r="BF53" i="12"/>
  <c r="BF52" i="12"/>
  <c r="BF51" i="12"/>
  <c r="BF50" i="12"/>
  <c r="BF49" i="12"/>
  <c r="BF48" i="12"/>
  <c r="BF47" i="12"/>
  <c r="BF46" i="12"/>
  <c r="BF45" i="12"/>
  <c r="BF44" i="12"/>
  <c r="BF43" i="12"/>
  <c r="BF42" i="12"/>
  <c r="BF41" i="12"/>
  <c r="BF40" i="12"/>
  <c r="BF39" i="12"/>
  <c r="BF38" i="12"/>
  <c r="BF37" i="12"/>
  <c r="BF36" i="12"/>
  <c r="BF35" i="12"/>
  <c r="BF34" i="12"/>
  <c r="BF33" i="12"/>
  <c r="BF32" i="12"/>
  <c r="BF31" i="12"/>
  <c r="BF30" i="12"/>
  <c r="BF29" i="12"/>
  <c r="BF28" i="12"/>
  <c r="BF27" i="12"/>
  <c r="BF26" i="12"/>
  <c r="BF25" i="12"/>
  <c r="BF24" i="12"/>
  <c r="BF23" i="12"/>
  <c r="BF22" i="12"/>
  <c r="BF21" i="12"/>
  <c r="BF20" i="12"/>
  <c r="BF19" i="12"/>
  <c r="BF18" i="12"/>
  <c r="BF17" i="12"/>
  <c r="BF16" i="12"/>
  <c r="BF15" i="12"/>
  <c r="BF14" i="12"/>
  <c r="BF13" i="12"/>
  <c r="BF12" i="12"/>
  <c r="BF11" i="12"/>
  <c r="BF10" i="12"/>
  <c r="BF9" i="12"/>
  <c r="BF8" i="12"/>
  <c r="BF7" i="12"/>
  <c r="BF6" i="12"/>
  <c r="BF5" i="12"/>
  <c r="BF4" i="12"/>
  <c r="BF3" i="12"/>
  <c r="BF2" i="12"/>
  <c r="BD53" i="12"/>
  <c r="BD52" i="12"/>
  <c r="BD51" i="12"/>
  <c r="BD50" i="12"/>
  <c r="BD49" i="12"/>
  <c r="BD48" i="12"/>
  <c r="BD47" i="12"/>
  <c r="BD46" i="12"/>
  <c r="BD45" i="12"/>
  <c r="BD44" i="12"/>
  <c r="BD43" i="12"/>
  <c r="BD42" i="12"/>
  <c r="BD41" i="12"/>
  <c r="BD40" i="12"/>
  <c r="BD39" i="12"/>
  <c r="BD38" i="12"/>
  <c r="BD37" i="12"/>
  <c r="BD36" i="12"/>
  <c r="BD35" i="12"/>
  <c r="BD34" i="12"/>
  <c r="BD33" i="12"/>
  <c r="BD32" i="12"/>
  <c r="BD31" i="12"/>
  <c r="BD30" i="12"/>
  <c r="BD29" i="12"/>
  <c r="BD28" i="12"/>
  <c r="BD27" i="12"/>
  <c r="BD26" i="12"/>
  <c r="BD25" i="12"/>
  <c r="BD24" i="12"/>
  <c r="BD23" i="12"/>
  <c r="BD22" i="12"/>
  <c r="BD21" i="12"/>
  <c r="BD20" i="12"/>
  <c r="BD19" i="12"/>
  <c r="BD18" i="12"/>
  <c r="BD17" i="12"/>
  <c r="BD16" i="12"/>
  <c r="BD15" i="12"/>
  <c r="BD14" i="12"/>
  <c r="BD13" i="12"/>
  <c r="BD12" i="12"/>
  <c r="BD11" i="12"/>
  <c r="BD10" i="12"/>
  <c r="BD9" i="12"/>
  <c r="BD8" i="12"/>
  <c r="BD7" i="12"/>
  <c r="BD6" i="12"/>
  <c r="BD5" i="12"/>
  <c r="BD4" i="12"/>
  <c r="BD3" i="12"/>
  <c r="BD2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BB8" i="12"/>
  <c r="BB7" i="12"/>
  <c r="BB6" i="12"/>
  <c r="BB5" i="12"/>
  <c r="BB4" i="12"/>
  <c r="BB3" i="12"/>
  <c r="BB2" i="12"/>
  <c r="AZ53" i="12"/>
  <c r="AZ52" i="12"/>
  <c r="AZ51" i="12"/>
  <c r="AZ50" i="12"/>
  <c r="AZ49" i="12"/>
  <c r="AZ48" i="12"/>
  <c r="AZ47" i="12"/>
  <c r="AZ46" i="12"/>
  <c r="AZ45" i="12"/>
  <c r="AZ44" i="12"/>
  <c r="AZ43" i="12"/>
  <c r="AZ42" i="12"/>
  <c r="AZ41" i="12"/>
  <c r="AZ40" i="12"/>
  <c r="AZ39" i="12"/>
  <c r="AZ38" i="12"/>
  <c r="AZ37" i="12"/>
  <c r="AZ36" i="12"/>
  <c r="AZ35" i="12"/>
  <c r="AZ34" i="12"/>
  <c r="AZ33" i="12"/>
  <c r="AZ32" i="12"/>
  <c r="AZ31" i="12"/>
  <c r="AZ30" i="12"/>
  <c r="AZ29" i="12"/>
  <c r="AZ28" i="12"/>
  <c r="AZ27" i="12"/>
  <c r="AZ26" i="12"/>
  <c r="AZ25" i="12"/>
  <c r="AZ24" i="12"/>
  <c r="AZ23" i="12"/>
  <c r="AZ22" i="12"/>
  <c r="AZ21" i="12"/>
  <c r="AZ20" i="12"/>
  <c r="AZ19" i="12"/>
  <c r="AZ18" i="12"/>
  <c r="AZ17" i="12"/>
  <c r="AZ16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X53" i="12"/>
  <c r="AX52" i="12"/>
  <c r="AX51" i="12"/>
  <c r="AX50" i="12"/>
  <c r="AX49" i="12"/>
  <c r="AX48" i="12"/>
  <c r="AX47" i="12"/>
  <c r="AX46" i="12"/>
  <c r="AX45" i="12"/>
  <c r="AX44" i="12"/>
  <c r="AX43" i="12"/>
  <c r="AX42" i="12"/>
  <c r="AX41" i="12"/>
  <c r="AX40" i="12"/>
  <c r="AX39" i="12"/>
  <c r="AX38" i="12"/>
  <c r="AX37" i="12"/>
  <c r="AX36" i="12"/>
  <c r="AX35" i="12"/>
  <c r="AX34" i="12"/>
  <c r="AX33" i="12"/>
  <c r="AX32" i="12"/>
  <c r="AX31" i="12"/>
  <c r="AX30" i="12"/>
  <c r="AX29" i="12"/>
  <c r="AX28" i="12"/>
  <c r="AX27" i="12"/>
  <c r="AX26" i="12"/>
  <c r="AX25" i="12"/>
  <c r="AX24" i="12"/>
  <c r="AX23" i="12"/>
  <c r="AX22" i="12"/>
  <c r="AX21" i="12"/>
  <c r="AX20" i="12"/>
  <c r="AX19" i="12"/>
  <c r="AX18" i="12"/>
  <c r="AX17" i="12"/>
  <c r="AX16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V53" i="12"/>
  <c r="AV52" i="12"/>
  <c r="AV51" i="12"/>
  <c r="AV50" i="12"/>
  <c r="AV49" i="12"/>
  <c r="AV48" i="12"/>
  <c r="AV47" i="12"/>
  <c r="AV46" i="12"/>
  <c r="AV45" i="12"/>
  <c r="AV44" i="12"/>
  <c r="AV43" i="12"/>
  <c r="AV42" i="12"/>
  <c r="AV41" i="12"/>
  <c r="AV40" i="12"/>
  <c r="AV39" i="12"/>
  <c r="AV38" i="12"/>
  <c r="AV37" i="12"/>
  <c r="AV36" i="12"/>
  <c r="AV35" i="12"/>
  <c r="AV34" i="12"/>
  <c r="AV33" i="12"/>
  <c r="AV32" i="12"/>
  <c r="AV31" i="12"/>
  <c r="AV30" i="12"/>
  <c r="AV29" i="12"/>
  <c r="AV28" i="12"/>
  <c r="AV27" i="12"/>
  <c r="AV26" i="12"/>
  <c r="AV25" i="12"/>
  <c r="AV24" i="12"/>
  <c r="AV23" i="12"/>
  <c r="AV22" i="12"/>
  <c r="AV21" i="12"/>
  <c r="AV20" i="12"/>
  <c r="AV19" i="12"/>
  <c r="AV18" i="12"/>
  <c r="AV17" i="12"/>
  <c r="AV16" i="12"/>
  <c r="AV15" i="12"/>
  <c r="AV14" i="12"/>
  <c r="AV13" i="12"/>
  <c r="AV12" i="12"/>
  <c r="AV11" i="12"/>
  <c r="AV10" i="12"/>
  <c r="AV9" i="12"/>
  <c r="AV8" i="12"/>
  <c r="AV7" i="12"/>
  <c r="AV6" i="12"/>
  <c r="AV5" i="12"/>
  <c r="AV4" i="12"/>
  <c r="AV3" i="12"/>
  <c r="AV2" i="12"/>
  <c r="AT53" i="12"/>
  <c r="AT52" i="12"/>
  <c r="AT51" i="12"/>
  <c r="AT50" i="12"/>
  <c r="AT49" i="12"/>
  <c r="AT48" i="12"/>
  <c r="AT47" i="12"/>
  <c r="AT46" i="12"/>
  <c r="AT45" i="12"/>
  <c r="AT44" i="12"/>
  <c r="AT43" i="12"/>
  <c r="AT42" i="12"/>
  <c r="AT41" i="12"/>
  <c r="AT40" i="12"/>
  <c r="AT39" i="12"/>
  <c r="AT38" i="12"/>
  <c r="AT37" i="12"/>
  <c r="AT36" i="12"/>
  <c r="AT35" i="12"/>
  <c r="AT34" i="12"/>
  <c r="AT33" i="12"/>
  <c r="AT32" i="12"/>
  <c r="AT31" i="12"/>
  <c r="AT30" i="12"/>
  <c r="AT29" i="12"/>
  <c r="AT28" i="12"/>
  <c r="AT27" i="12"/>
  <c r="AT26" i="12"/>
  <c r="AT25" i="12"/>
  <c r="AT24" i="12"/>
  <c r="AT23" i="12"/>
  <c r="AT22" i="12"/>
  <c r="AT21" i="12"/>
  <c r="AT20" i="12"/>
  <c r="AT19" i="12"/>
  <c r="AT18" i="12"/>
  <c r="AT17" i="12"/>
  <c r="AT16" i="12"/>
  <c r="AT15" i="12"/>
  <c r="AT14" i="12"/>
  <c r="AT13" i="12"/>
  <c r="AT12" i="12"/>
  <c r="AT11" i="12"/>
  <c r="AT10" i="12"/>
  <c r="AT9" i="12"/>
  <c r="AT8" i="12"/>
  <c r="AT7" i="12"/>
  <c r="AT6" i="12"/>
  <c r="AT5" i="12"/>
  <c r="AT4" i="12"/>
  <c r="AT3" i="12"/>
  <c r="AT2" i="12"/>
  <c r="AR53" i="12"/>
  <c r="AR52" i="12"/>
  <c r="AR51" i="12"/>
  <c r="AR50" i="12"/>
  <c r="AR49" i="12"/>
  <c r="AR48" i="12"/>
  <c r="AR47" i="12"/>
  <c r="AR46" i="12"/>
  <c r="AR45" i="12"/>
  <c r="AR44" i="12"/>
  <c r="AR43" i="12"/>
  <c r="AR42" i="12"/>
  <c r="AR41" i="12"/>
  <c r="AR40" i="12"/>
  <c r="AR39" i="12"/>
  <c r="AR38" i="12"/>
  <c r="AR37" i="12"/>
  <c r="AR36" i="12"/>
  <c r="AR35" i="12"/>
  <c r="AR34" i="12"/>
  <c r="AR33" i="12"/>
  <c r="AR32" i="12"/>
  <c r="AR31" i="12"/>
  <c r="AR30" i="12"/>
  <c r="AR29" i="12"/>
  <c r="AR28" i="12"/>
  <c r="AR27" i="12"/>
  <c r="AR26" i="12"/>
  <c r="AR25" i="12"/>
  <c r="AR24" i="12"/>
  <c r="AR23" i="12"/>
  <c r="AR22" i="12"/>
  <c r="AR21" i="12"/>
  <c r="AR20" i="12"/>
  <c r="AR19" i="12"/>
  <c r="AR18" i="12"/>
  <c r="AR17" i="12"/>
  <c r="AR16" i="12"/>
  <c r="AR15" i="12"/>
  <c r="AR14" i="12"/>
  <c r="AR13" i="12"/>
  <c r="AR12" i="12"/>
  <c r="AR11" i="12"/>
  <c r="AR10" i="12"/>
  <c r="AR9" i="12"/>
  <c r="AR8" i="12"/>
  <c r="AR7" i="12"/>
  <c r="AR6" i="12"/>
  <c r="AR5" i="12"/>
  <c r="AR4" i="12"/>
  <c r="AR3" i="12"/>
  <c r="AR2" i="12"/>
  <c r="AP53" i="12"/>
  <c r="AP52" i="12"/>
  <c r="AP51" i="12"/>
  <c r="AP50" i="12"/>
  <c r="AP49" i="12"/>
  <c r="AP48" i="12"/>
  <c r="AP47" i="12"/>
  <c r="AP46" i="12"/>
  <c r="AP45" i="12"/>
  <c r="AP44" i="12"/>
  <c r="AP43" i="12"/>
  <c r="AP42" i="12"/>
  <c r="AP41" i="12"/>
  <c r="AP40" i="12"/>
  <c r="AP39" i="12"/>
  <c r="AP38" i="12"/>
  <c r="AP37" i="12"/>
  <c r="AP36" i="12"/>
  <c r="AP35" i="12"/>
  <c r="AP34" i="12"/>
  <c r="AP33" i="12"/>
  <c r="AP32" i="12"/>
  <c r="AP31" i="12"/>
  <c r="AP30" i="12"/>
  <c r="AP29" i="12"/>
  <c r="AP28" i="12"/>
  <c r="AP27" i="12"/>
  <c r="AP26" i="12"/>
  <c r="AP25" i="12"/>
  <c r="AP24" i="12"/>
  <c r="AP23" i="12"/>
  <c r="AP22" i="12"/>
  <c r="AP21" i="12"/>
  <c r="AP20" i="12"/>
  <c r="AP19" i="12"/>
  <c r="AP18" i="12"/>
  <c r="AP17" i="12"/>
  <c r="AP16" i="12"/>
  <c r="AP15" i="12"/>
  <c r="AP14" i="12"/>
  <c r="AP13" i="12"/>
  <c r="AP12" i="12"/>
  <c r="AP11" i="12"/>
  <c r="AP10" i="12"/>
  <c r="AP9" i="12"/>
  <c r="AP8" i="12"/>
  <c r="AP7" i="12"/>
  <c r="AP6" i="12"/>
  <c r="AP5" i="12"/>
  <c r="AP4" i="12"/>
  <c r="AP3" i="12"/>
  <c r="AP2" i="12"/>
  <c r="AN53" i="12"/>
  <c r="AN52" i="12"/>
  <c r="AN51" i="12"/>
  <c r="AN50" i="12"/>
  <c r="AN49" i="12"/>
  <c r="AN48" i="12"/>
  <c r="AN47" i="12"/>
  <c r="AN46" i="12"/>
  <c r="AN45" i="12"/>
  <c r="AN44" i="12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24" i="12"/>
  <c r="AN23" i="12"/>
  <c r="AN22" i="12"/>
  <c r="AN21" i="12"/>
  <c r="AN20" i="12"/>
  <c r="AN19" i="12"/>
  <c r="AN18" i="12"/>
  <c r="AN17" i="12"/>
  <c r="AN16" i="12"/>
  <c r="AN15" i="12"/>
  <c r="AN14" i="12"/>
  <c r="AN13" i="12"/>
  <c r="AN12" i="12"/>
  <c r="AN11" i="12"/>
  <c r="AN10" i="12"/>
  <c r="AN9" i="12"/>
  <c r="AN8" i="12"/>
  <c r="AN7" i="12"/>
  <c r="AN6" i="12"/>
  <c r="AN5" i="12"/>
  <c r="AN4" i="12"/>
  <c r="AN3" i="12"/>
  <c r="AN2" i="12"/>
  <c r="AL53" i="12"/>
  <c r="AL52" i="12"/>
  <c r="AL51" i="12"/>
  <c r="AL50" i="12"/>
  <c r="AL49" i="12"/>
  <c r="AL48" i="12"/>
  <c r="AL47" i="12"/>
  <c r="AL46" i="12"/>
  <c r="AL45" i="12"/>
  <c r="AL44" i="12"/>
  <c r="AL43" i="12"/>
  <c r="AL42" i="12"/>
  <c r="AL41" i="12"/>
  <c r="AL40" i="12"/>
  <c r="AL39" i="12"/>
  <c r="AL38" i="12"/>
  <c r="AL37" i="12"/>
  <c r="AL36" i="12"/>
  <c r="AL35" i="12"/>
  <c r="AL34" i="12"/>
  <c r="AL33" i="12"/>
  <c r="AL32" i="12"/>
  <c r="AL31" i="12"/>
  <c r="AL30" i="12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L5" i="12"/>
  <c r="AL4" i="12"/>
  <c r="AL3" i="12"/>
  <c r="AL2" i="12"/>
  <c r="AJ53" i="12"/>
  <c r="AJ52" i="12"/>
  <c r="AJ51" i="12"/>
  <c r="AJ50" i="12"/>
  <c r="AJ49" i="12"/>
  <c r="AJ48" i="12"/>
  <c r="AJ47" i="12"/>
  <c r="AJ46" i="12"/>
  <c r="AJ45" i="12"/>
  <c r="AJ44" i="12"/>
  <c r="AJ43" i="12"/>
  <c r="AJ42" i="12"/>
  <c r="AJ41" i="12"/>
  <c r="AJ40" i="12"/>
  <c r="AJ39" i="12"/>
  <c r="AJ38" i="12"/>
  <c r="AJ37" i="12"/>
  <c r="AJ36" i="12"/>
  <c r="AJ35" i="12"/>
  <c r="AJ34" i="12"/>
  <c r="AJ33" i="12"/>
  <c r="AJ32" i="12"/>
  <c r="AJ31" i="12"/>
  <c r="AJ30" i="12"/>
  <c r="AJ29" i="12"/>
  <c r="AJ28" i="12"/>
  <c r="AJ27" i="12"/>
  <c r="AJ26" i="12"/>
  <c r="AJ25" i="12"/>
  <c r="AJ24" i="12"/>
  <c r="AJ23" i="12"/>
  <c r="AJ22" i="12"/>
  <c r="AJ21" i="12"/>
  <c r="AJ20" i="12"/>
  <c r="AJ19" i="12"/>
  <c r="AJ18" i="12"/>
  <c r="AJ17" i="12"/>
  <c r="AJ16" i="12"/>
  <c r="AJ15" i="12"/>
  <c r="AJ14" i="12"/>
  <c r="AJ13" i="12"/>
  <c r="AJ12" i="12"/>
  <c r="AJ11" i="12"/>
  <c r="AJ10" i="12"/>
  <c r="AJ9" i="12"/>
  <c r="AJ8" i="12"/>
  <c r="AJ7" i="12"/>
  <c r="AJ6" i="12"/>
  <c r="AJ5" i="12"/>
  <c r="AJ4" i="12"/>
  <c r="AJ3" i="12"/>
  <c r="AJ2" i="12"/>
  <c r="AH53" i="12"/>
  <c r="AH52" i="12"/>
  <c r="AH51" i="12"/>
  <c r="AH50" i="12"/>
  <c r="AH49" i="12"/>
  <c r="AH48" i="12"/>
  <c r="AH47" i="12"/>
  <c r="AH46" i="12"/>
  <c r="AH45" i="12"/>
  <c r="AH44" i="12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H24" i="12"/>
  <c r="AH23" i="12"/>
  <c r="AH22" i="12"/>
  <c r="AH21" i="12"/>
  <c r="AH20" i="12"/>
  <c r="AH19" i="12"/>
  <c r="AH18" i="12"/>
  <c r="AH17" i="12"/>
  <c r="AH16" i="12"/>
  <c r="AH15" i="12"/>
  <c r="AH14" i="12"/>
  <c r="AH13" i="12"/>
  <c r="AH12" i="12"/>
  <c r="AH11" i="12"/>
  <c r="AH10" i="12"/>
  <c r="AH9" i="12"/>
  <c r="AH8" i="12"/>
  <c r="AH7" i="12"/>
  <c r="AH6" i="12"/>
  <c r="AH5" i="12"/>
  <c r="AH4" i="12"/>
  <c r="AH3" i="12"/>
  <c r="AH2" i="12"/>
  <c r="AF53" i="12"/>
  <c r="AF52" i="12"/>
  <c r="AF51" i="12"/>
  <c r="AF50" i="12"/>
  <c r="AF49" i="12"/>
  <c r="AF48" i="12"/>
  <c r="AF47" i="12"/>
  <c r="AF46" i="12"/>
  <c r="AF45" i="12"/>
  <c r="AF44" i="12"/>
  <c r="AF43" i="12"/>
  <c r="AF42" i="12"/>
  <c r="AF4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4" i="12"/>
  <c r="AF3" i="12"/>
  <c r="AF2" i="12"/>
  <c r="AD53" i="12"/>
  <c r="AD52" i="12"/>
  <c r="AD51" i="12"/>
  <c r="AD50" i="12"/>
  <c r="AD49" i="12"/>
  <c r="AD48" i="12"/>
  <c r="AD47" i="12"/>
  <c r="AD46" i="12"/>
  <c r="AD45" i="12"/>
  <c r="AD44" i="12"/>
  <c r="AD43" i="12"/>
  <c r="AD42" i="12"/>
  <c r="AD41" i="12"/>
  <c r="AD40" i="12"/>
  <c r="AD39" i="12"/>
  <c r="AD38" i="12"/>
  <c r="AD37" i="12"/>
  <c r="AD36" i="12"/>
  <c r="AD35" i="12"/>
  <c r="AD34" i="12"/>
  <c r="AD33" i="12"/>
  <c r="AD32" i="12"/>
  <c r="AD31" i="12"/>
  <c r="AD30" i="12"/>
  <c r="AD29" i="12"/>
  <c r="AD28" i="12"/>
  <c r="AD27" i="12"/>
  <c r="AD26" i="12"/>
  <c r="AD25" i="12"/>
  <c r="AD24" i="12"/>
  <c r="AD23" i="12"/>
  <c r="AD22" i="12"/>
  <c r="AD21" i="12"/>
  <c r="AD20" i="12"/>
  <c r="AD19" i="12"/>
  <c r="AD18" i="12"/>
  <c r="AD17" i="12"/>
  <c r="AD16" i="12"/>
  <c r="AD15" i="12"/>
  <c r="AD14" i="12"/>
  <c r="AD13" i="12"/>
  <c r="AD12" i="12"/>
  <c r="AD11" i="12"/>
  <c r="AD10" i="12"/>
  <c r="AD9" i="12"/>
  <c r="AD8" i="12"/>
  <c r="AD7" i="12"/>
  <c r="AD6" i="12"/>
  <c r="AD5" i="12"/>
  <c r="AD4" i="12"/>
  <c r="AD3" i="12"/>
  <c r="AD2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24" i="12"/>
  <c r="AB23" i="12"/>
  <c r="AB22" i="12"/>
  <c r="AB21" i="12"/>
  <c r="AB20" i="12"/>
  <c r="AB19" i="12"/>
  <c r="AB18" i="12"/>
  <c r="AB17" i="12"/>
  <c r="AB16" i="12"/>
  <c r="AB15" i="12"/>
  <c r="AB14" i="12"/>
  <c r="AB13" i="12"/>
  <c r="AB12" i="12"/>
  <c r="AB11" i="12"/>
  <c r="AB10" i="12"/>
  <c r="AB9" i="12"/>
  <c r="AB8" i="12"/>
  <c r="AB7" i="12"/>
  <c r="AB6" i="12"/>
  <c r="AB5" i="12"/>
  <c r="AB4" i="12"/>
  <c r="AB3" i="12"/>
  <c r="AB2" i="12"/>
  <c r="Z53" i="12"/>
  <c r="Z52" i="12"/>
  <c r="Z51" i="12"/>
  <c r="Z50" i="12"/>
  <c r="Z49" i="12"/>
  <c r="Z48" i="12"/>
  <c r="Z47" i="12"/>
  <c r="Z46" i="12"/>
  <c r="Z45" i="12"/>
  <c r="Z44" i="12"/>
  <c r="Z43" i="12"/>
  <c r="Z42" i="12"/>
  <c r="Z41" i="12"/>
  <c r="Z40" i="12"/>
  <c r="Z39" i="12"/>
  <c r="Z38" i="12"/>
  <c r="Z37" i="12"/>
  <c r="Z36" i="12"/>
  <c r="Z35" i="12"/>
  <c r="Z34" i="12"/>
  <c r="Z33" i="12"/>
  <c r="Z32" i="12"/>
  <c r="Z31" i="12"/>
  <c r="Z30" i="12"/>
  <c r="Z29" i="12"/>
  <c r="Z28" i="12"/>
  <c r="Z27" i="12"/>
  <c r="Z26" i="12"/>
  <c r="Z25" i="12"/>
  <c r="Z24" i="12"/>
  <c r="Z23" i="12"/>
  <c r="Z22" i="12"/>
  <c r="Z21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Z8" i="12"/>
  <c r="Z7" i="12"/>
  <c r="Z6" i="12"/>
  <c r="Z5" i="12"/>
  <c r="Z4" i="12"/>
  <c r="Z3" i="12"/>
  <c r="Z2" i="12"/>
  <c r="X53" i="12"/>
  <c r="X52" i="12"/>
  <c r="X51" i="12"/>
  <c r="X50" i="12"/>
  <c r="X49" i="12"/>
  <c r="X48" i="12"/>
  <c r="X47" i="12"/>
  <c r="X46" i="12"/>
  <c r="X45" i="12"/>
  <c r="X44" i="12"/>
  <c r="X43" i="12"/>
  <c r="X42" i="12"/>
  <c r="X41" i="12"/>
  <c r="X40" i="12"/>
  <c r="X39" i="12"/>
  <c r="X38" i="12"/>
  <c r="X37" i="12"/>
  <c r="X36" i="12"/>
  <c r="X35" i="12"/>
  <c r="X34" i="12"/>
  <c r="X33" i="12"/>
  <c r="X32" i="12"/>
  <c r="X31" i="12"/>
  <c r="X30" i="12"/>
  <c r="X29" i="12"/>
  <c r="X28" i="12"/>
  <c r="X27" i="12"/>
  <c r="X26" i="12"/>
  <c r="X25" i="12"/>
  <c r="X24" i="12"/>
  <c r="X23" i="12"/>
  <c r="X22" i="12"/>
  <c r="X21" i="12"/>
  <c r="X20" i="12"/>
  <c r="X19" i="12"/>
  <c r="X18" i="12"/>
  <c r="X17" i="12"/>
  <c r="X16" i="12"/>
  <c r="X15" i="12"/>
  <c r="X14" i="12"/>
  <c r="X13" i="12"/>
  <c r="X12" i="12"/>
  <c r="X11" i="12"/>
  <c r="X10" i="12"/>
  <c r="X9" i="12"/>
  <c r="X8" i="12"/>
  <c r="X7" i="12"/>
  <c r="X6" i="12"/>
  <c r="X5" i="12"/>
  <c r="X4" i="12"/>
  <c r="X3" i="12"/>
  <c r="X2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4" i="12"/>
  <c r="V3" i="12"/>
  <c r="V2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T8" i="12"/>
  <c r="T7" i="12"/>
  <c r="T6" i="12"/>
  <c r="T5" i="12"/>
  <c r="T4" i="12"/>
  <c r="T3" i="12"/>
  <c r="T2" i="12"/>
  <c r="ET53" i="9"/>
  <c r="ET52" i="9"/>
  <c r="ET51" i="9"/>
  <c r="ET50" i="9"/>
  <c r="ET49" i="9"/>
  <c r="ET48" i="9"/>
  <c r="ET47" i="9"/>
  <c r="ET46" i="9"/>
  <c r="ET45" i="9"/>
  <c r="ET44" i="9"/>
  <c r="ET43" i="9"/>
  <c r="ET42" i="9"/>
  <c r="ET41" i="9"/>
  <c r="ET40" i="9"/>
  <c r="ET39" i="9"/>
  <c r="ET38" i="9"/>
  <c r="ET37" i="9"/>
  <c r="ET36" i="9"/>
  <c r="ET35" i="9"/>
  <c r="ET34" i="9"/>
  <c r="ET33" i="9"/>
  <c r="ET32" i="9"/>
  <c r="ET31" i="9"/>
  <c r="ET30" i="9"/>
  <c r="ET29" i="9"/>
  <c r="ET28" i="9"/>
  <c r="ET27" i="9"/>
  <c r="ET26" i="9"/>
  <c r="ET25" i="9"/>
  <c r="ET24" i="9"/>
  <c r="ET23" i="9"/>
  <c r="ET22" i="9"/>
  <c r="ET21" i="9"/>
  <c r="ET20" i="9"/>
  <c r="ET19" i="9"/>
  <c r="ET18" i="9"/>
  <c r="ET17" i="9"/>
  <c r="ET16" i="9"/>
  <c r="ET15" i="9"/>
  <c r="ET14" i="9"/>
  <c r="ET13" i="9"/>
  <c r="ET12" i="9"/>
  <c r="ET10" i="9"/>
  <c r="ET9" i="9"/>
  <c r="ET8" i="9"/>
  <c r="ET7" i="9"/>
  <c r="ET6" i="9"/>
  <c r="ET5" i="9"/>
  <c r="ET4" i="9"/>
  <c r="ET3" i="9"/>
  <c r="ET2" i="9"/>
  <c r="ER53" i="9"/>
  <c r="ER52" i="9"/>
  <c r="ER51" i="9"/>
  <c r="ER50" i="9"/>
  <c r="ER49" i="9"/>
  <c r="ER48" i="9"/>
  <c r="ER47" i="9"/>
  <c r="ER46" i="9"/>
  <c r="ER45" i="9"/>
  <c r="ER44" i="9"/>
  <c r="ER43" i="9"/>
  <c r="ER42" i="9"/>
  <c r="ER41" i="9"/>
  <c r="ER40" i="9"/>
  <c r="ER38" i="9"/>
  <c r="ER37" i="9"/>
  <c r="ER36" i="9"/>
  <c r="ER35" i="9"/>
  <c r="ER34" i="9"/>
  <c r="ER33" i="9"/>
  <c r="ER32" i="9"/>
  <c r="ER31" i="9"/>
  <c r="ER30" i="9"/>
  <c r="ER29" i="9"/>
  <c r="ER28" i="9"/>
  <c r="ER27" i="9"/>
  <c r="ER26" i="9"/>
  <c r="ER25" i="9"/>
  <c r="ER24" i="9"/>
  <c r="ER23" i="9"/>
  <c r="ER22" i="9"/>
  <c r="ER21" i="9"/>
  <c r="ER20" i="9"/>
  <c r="ER19" i="9"/>
  <c r="ER18" i="9"/>
  <c r="ER17" i="9"/>
  <c r="ER16" i="9"/>
  <c r="ER15" i="9"/>
  <c r="ER14" i="9"/>
  <c r="ER13" i="9"/>
  <c r="ER12" i="9"/>
  <c r="ER11" i="9"/>
  <c r="ER10" i="9"/>
  <c r="ER9" i="9"/>
  <c r="ER8" i="9"/>
  <c r="ER7" i="9"/>
  <c r="ER6" i="9"/>
  <c r="ER5" i="9"/>
  <c r="ER4" i="9"/>
  <c r="ER3" i="9"/>
  <c r="ER2" i="9"/>
  <c r="EP53" i="9"/>
  <c r="EP52" i="9"/>
  <c r="EP51" i="9"/>
  <c r="EP50" i="9"/>
  <c r="EP49" i="9"/>
  <c r="EP48" i="9"/>
  <c r="EP47" i="9"/>
  <c r="EP46" i="9"/>
  <c r="EP45" i="9"/>
  <c r="EP44" i="9"/>
  <c r="EP43" i="9"/>
  <c r="EP42" i="9"/>
  <c r="EP41" i="9"/>
  <c r="EP40" i="9"/>
  <c r="EP39" i="9"/>
  <c r="EP38" i="9"/>
  <c r="EP37" i="9"/>
  <c r="EP36" i="9"/>
  <c r="EP35" i="9"/>
  <c r="EP34" i="9"/>
  <c r="EP33" i="9"/>
  <c r="EP32" i="9"/>
  <c r="EP31" i="9"/>
  <c r="EP30" i="9"/>
  <c r="EP29" i="9"/>
  <c r="EP28" i="9"/>
  <c r="EP27" i="9"/>
  <c r="EP26" i="9"/>
  <c r="EP25" i="9"/>
  <c r="EP24" i="9"/>
  <c r="EP23" i="9"/>
  <c r="EP22" i="9"/>
  <c r="EP21" i="9"/>
  <c r="EP20" i="9"/>
  <c r="EP19" i="9"/>
  <c r="EP18" i="9"/>
  <c r="EP17" i="9"/>
  <c r="EP16" i="9"/>
  <c r="EP15" i="9"/>
  <c r="EP14" i="9"/>
  <c r="EP13" i="9"/>
  <c r="EP12" i="9"/>
  <c r="EP11" i="9"/>
  <c r="EP10" i="9"/>
  <c r="EP9" i="9"/>
  <c r="EP8" i="9"/>
  <c r="EP7" i="9"/>
  <c r="EP6" i="9"/>
  <c r="EP4" i="9"/>
  <c r="EP3" i="9"/>
  <c r="EP2" i="9"/>
  <c r="EN53" i="9"/>
  <c r="EN52" i="9"/>
  <c r="EN51" i="9"/>
  <c r="EN50" i="9"/>
  <c r="EN49" i="9"/>
  <c r="EN48" i="9"/>
  <c r="EN46" i="9"/>
  <c r="EN45" i="9"/>
  <c r="EN44" i="9"/>
  <c r="EN43" i="9"/>
  <c r="EN42" i="9"/>
  <c r="EN41" i="9"/>
  <c r="EN40" i="9"/>
  <c r="EN39" i="9"/>
  <c r="EN38" i="9"/>
  <c r="EN37" i="9"/>
  <c r="EN36" i="9"/>
  <c r="EN35" i="9"/>
  <c r="EN34" i="9"/>
  <c r="EN33" i="9"/>
  <c r="EN32" i="9"/>
  <c r="EN31" i="9"/>
  <c r="EN30" i="9"/>
  <c r="EN29" i="9"/>
  <c r="EN28" i="9"/>
  <c r="EN27" i="9"/>
  <c r="EN26" i="9"/>
  <c r="EN25" i="9"/>
  <c r="EN24" i="9"/>
  <c r="EN23" i="9"/>
  <c r="EN22" i="9"/>
  <c r="EN21" i="9"/>
  <c r="EN20" i="9"/>
  <c r="EN19" i="9"/>
  <c r="EN18" i="9"/>
  <c r="EN17" i="9"/>
  <c r="EN16" i="9"/>
  <c r="EN15" i="9"/>
  <c r="EN14" i="9"/>
  <c r="EN13" i="9"/>
  <c r="EN12" i="9"/>
  <c r="EN11" i="9"/>
  <c r="EN10" i="9"/>
  <c r="EN9" i="9"/>
  <c r="EN8" i="9"/>
  <c r="EN7" i="9"/>
  <c r="EN6" i="9"/>
  <c r="EN5" i="9"/>
  <c r="EN4" i="9"/>
  <c r="EN3" i="9"/>
  <c r="EN2" i="9"/>
  <c r="EL53" i="9"/>
  <c r="EL52" i="9"/>
  <c r="EL51" i="9"/>
  <c r="EL50" i="9"/>
  <c r="EL49" i="9"/>
  <c r="EL48" i="9"/>
  <c r="EL47" i="9"/>
  <c r="EL46" i="9"/>
  <c r="EL45" i="9"/>
  <c r="EL44" i="9"/>
  <c r="EL43" i="9"/>
  <c r="EL42" i="9"/>
  <c r="EL41" i="9"/>
  <c r="EL40" i="9"/>
  <c r="EL39" i="9"/>
  <c r="EL38" i="9"/>
  <c r="EL37" i="9"/>
  <c r="EL36" i="9"/>
  <c r="EL35" i="9"/>
  <c r="EL34" i="9"/>
  <c r="EL33" i="9"/>
  <c r="EL32" i="9"/>
  <c r="EL31" i="9"/>
  <c r="EL30" i="9"/>
  <c r="EL29" i="9"/>
  <c r="EL27" i="9"/>
  <c r="EL26" i="9"/>
  <c r="EL25" i="9"/>
  <c r="EL24" i="9"/>
  <c r="EL23" i="9"/>
  <c r="EL22" i="9"/>
  <c r="EL21" i="9"/>
  <c r="EL20" i="9"/>
  <c r="EL19" i="9"/>
  <c r="EL18" i="9"/>
  <c r="EL17" i="9"/>
  <c r="EL16" i="9"/>
  <c r="EL15" i="9"/>
  <c r="EL14" i="9"/>
  <c r="EL13" i="9"/>
  <c r="EL12" i="9"/>
  <c r="EL11" i="9"/>
  <c r="EL10" i="9"/>
  <c r="EL9" i="9"/>
  <c r="EL8" i="9"/>
  <c r="EL7" i="9"/>
  <c r="EL6" i="9"/>
  <c r="EL5" i="9"/>
  <c r="EL4" i="9"/>
  <c r="EL3" i="9"/>
  <c r="EL2" i="9"/>
  <c r="EJ53" i="9"/>
  <c r="EJ52" i="9"/>
  <c r="EJ51" i="9"/>
  <c r="EJ50" i="9"/>
  <c r="EJ49" i="9"/>
  <c r="EJ48" i="9"/>
  <c r="EJ47" i="9"/>
  <c r="EJ46" i="9"/>
  <c r="EJ45" i="9"/>
  <c r="EJ44" i="9"/>
  <c r="EJ43" i="9"/>
  <c r="EJ42" i="9"/>
  <c r="EJ41" i="9"/>
  <c r="EJ40" i="9"/>
  <c r="EJ39" i="9"/>
  <c r="EJ38" i="9"/>
  <c r="EJ37" i="9"/>
  <c r="EJ36" i="9"/>
  <c r="EJ35" i="9"/>
  <c r="EJ34" i="9"/>
  <c r="EJ33" i="9"/>
  <c r="EJ32" i="9"/>
  <c r="EJ31" i="9"/>
  <c r="EJ30" i="9"/>
  <c r="EJ29" i="9"/>
  <c r="EJ28" i="9"/>
  <c r="EJ27" i="9"/>
  <c r="EJ26" i="9"/>
  <c r="EJ25" i="9"/>
  <c r="EJ24" i="9"/>
  <c r="EJ23" i="9"/>
  <c r="EJ22" i="9"/>
  <c r="EJ21" i="9"/>
  <c r="EJ20" i="9"/>
  <c r="EJ19" i="9"/>
  <c r="EJ18" i="9"/>
  <c r="EJ17" i="9"/>
  <c r="EJ16" i="9"/>
  <c r="EJ15" i="9"/>
  <c r="EJ14" i="9"/>
  <c r="EJ13" i="9"/>
  <c r="EJ12" i="9"/>
  <c r="EJ11" i="9"/>
  <c r="EJ10" i="9"/>
  <c r="EJ9" i="9"/>
  <c r="EJ8" i="9"/>
  <c r="EJ6" i="9"/>
  <c r="EJ5" i="9"/>
  <c r="EJ4" i="9"/>
  <c r="EJ3" i="9"/>
  <c r="EJ2" i="9"/>
  <c r="EH53" i="9"/>
  <c r="EH52" i="9"/>
  <c r="EH51" i="9"/>
  <c r="EH50" i="9"/>
  <c r="EH49" i="9"/>
  <c r="EH48" i="9"/>
  <c r="EH47" i="9"/>
  <c r="EH45" i="9"/>
  <c r="EH44" i="9"/>
  <c r="EH43" i="9"/>
  <c r="EH42" i="9"/>
  <c r="EH41" i="9"/>
  <c r="EH40" i="9"/>
  <c r="EH39" i="9"/>
  <c r="EH38" i="9"/>
  <c r="EH37" i="9"/>
  <c r="EH36" i="9"/>
  <c r="EH35" i="9"/>
  <c r="EH34" i="9"/>
  <c r="EH33" i="9"/>
  <c r="EH32" i="9"/>
  <c r="EH31" i="9"/>
  <c r="EH30" i="9"/>
  <c r="EH29" i="9"/>
  <c r="EH28" i="9"/>
  <c r="EH27" i="9"/>
  <c r="EH26" i="9"/>
  <c r="EH25" i="9"/>
  <c r="EH24" i="9"/>
  <c r="EH23" i="9"/>
  <c r="EH22" i="9"/>
  <c r="EH21" i="9"/>
  <c r="EH20" i="9"/>
  <c r="EH19" i="9"/>
  <c r="EH18" i="9"/>
  <c r="EH17" i="9"/>
  <c r="EH16" i="9"/>
  <c r="EH15" i="9"/>
  <c r="EH14" i="9"/>
  <c r="EH13" i="9"/>
  <c r="EH12" i="9"/>
  <c r="EH11" i="9"/>
  <c r="EH10" i="9"/>
  <c r="EH9" i="9"/>
  <c r="EH8" i="9"/>
  <c r="EH7" i="9"/>
  <c r="EH6" i="9"/>
  <c r="EH5" i="9"/>
  <c r="EH4" i="9"/>
  <c r="EH3" i="9"/>
  <c r="EH2" i="9"/>
  <c r="EF53" i="9"/>
  <c r="EF52" i="9"/>
  <c r="EF51" i="9"/>
  <c r="EF50" i="9"/>
  <c r="EF49" i="9"/>
  <c r="EF48" i="9"/>
  <c r="EF47" i="9"/>
  <c r="EF46" i="9"/>
  <c r="EF45" i="9"/>
  <c r="EF44" i="9"/>
  <c r="EF43" i="9"/>
  <c r="EF42" i="9"/>
  <c r="EF41" i="9"/>
  <c r="EF40" i="9"/>
  <c r="EF39" i="9"/>
  <c r="EF38" i="9"/>
  <c r="EF37" i="9"/>
  <c r="EF36" i="9"/>
  <c r="EF35" i="9"/>
  <c r="EF34" i="9"/>
  <c r="EF33" i="9"/>
  <c r="EF32" i="9"/>
  <c r="EF31" i="9"/>
  <c r="EF30" i="9"/>
  <c r="EF29" i="9"/>
  <c r="EF28" i="9"/>
  <c r="EF27" i="9"/>
  <c r="EF26" i="9"/>
  <c r="EF25" i="9"/>
  <c r="EF24" i="9"/>
  <c r="EF23" i="9"/>
  <c r="EF22" i="9"/>
  <c r="EF21" i="9"/>
  <c r="EF20" i="9"/>
  <c r="EF19" i="9"/>
  <c r="EF18" i="9"/>
  <c r="EF17" i="9"/>
  <c r="EF16" i="9"/>
  <c r="EF15" i="9"/>
  <c r="EF14" i="9"/>
  <c r="EF13" i="9"/>
  <c r="EF11" i="9"/>
  <c r="EF9" i="9"/>
  <c r="EF8" i="9"/>
  <c r="EF7" i="9"/>
  <c r="EF6" i="9"/>
  <c r="EF5" i="9"/>
  <c r="EF4" i="9"/>
  <c r="EF3" i="9"/>
  <c r="EF2" i="9"/>
  <c r="ED53" i="9"/>
  <c r="ED52" i="9"/>
  <c r="ED51" i="9"/>
  <c r="ED50" i="9"/>
  <c r="ED49" i="9"/>
  <c r="ED48" i="9"/>
  <c r="ED47" i="9"/>
  <c r="ED46" i="9"/>
  <c r="ED45" i="9"/>
  <c r="ED44" i="9"/>
  <c r="ED43" i="9"/>
  <c r="ED42" i="9"/>
  <c r="ED41" i="9"/>
  <c r="ED40" i="9"/>
  <c r="ED39" i="9"/>
  <c r="ED38" i="9"/>
  <c r="ED37" i="9"/>
  <c r="ED36" i="9"/>
  <c r="ED35" i="9"/>
  <c r="ED34" i="9"/>
  <c r="ED33" i="9"/>
  <c r="ED32" i="9"/>
  <c r="ED31" i="9"/>
  <c r="ED30" i="9"/>
  <c r="ED29" i="9"/>
  <c r="ED28" i="9"/>
  <c r="ED27" i="9"/>
  <c r="ED26" i="9"/>
  <c r="ED25" i="9"/>
  <c r="ED24" i="9"/>
  <c r="ED23" i="9"/>
  <c r="ED22" i="9"/>
  <c r="ED21" i="9"/>
  <c r="ED20" i="9"/>
  <c r="ED19" i="9"/>
  <c r="ED18" i="9"/>
  <c r="ED17" i="9"/>
  <c r="ED16" i="9"/>
  <c r="ED15" i="9"/>
  <c r="ED14" i="9"/>
  <c r="ED13" i="9"/>
  <c r="ED12" i="9"/>
  <c r="ED11" i="9"/>
  <c r="ED10" i="9"/>
  <c r="ED9" i="9"/>
  <c r="ED8" i="9"/>
  <c r="ED7" i="9"/>
  <c r="ED6" i="9"/>
  <c r="ED4" i="9"/>
  <c r="ED3" i="9"/>
  <c r="ED2" i="9"/>
  <c r="EB53" i="9"/>
  <c r="EB52" i="9"/>
  <c r="EB51" i="9"/>
  <c r="EB50" i="9"/>
  <c r="EB49" i="9"/>
  <c r="EB48" i="9"/>
  <c r="EB47" i="9"/>
  <c r="EB46" i="9"/>
  <c r="EB45" i="9"/>
  <c r="EB44" i="9"/>
  <c r="EB43" i="9"/>
  <c r="EB42" i="9"/>
  <c r="EB41" i="9"/>
  <c r="EB40" i="9"/>
  <c r="EB39" i="9"/>
  <c r="EB38" i="9"/>
  <c r="EB37" i="9"/>
  <c r="EB36" i="9"/>
  <c r="EB35" i="9"/>
  <c r="EB34" i="9"/>
  <c r="EB33" i="9"/>
  <c r="EB32" i="9"/>
  <c r="EB31" i="9"/>
  <c r="EB29" i="9"/>
  <c r="EB28" i="9"/>
  <c r="EB27" i="9"/>
  <c r="EB26" i="9"/>
  <c r="EB25" i="9"/>
  <c r="EB24" i="9"/>
  <c r="EB23" i="9"/>
  <c r="EB22" i="9"/>
  <c r="EB21" i="9"/>
  <c r="EB20" i="9"/>
  <c r="EB19" i="9"/>
  <c r="EB18" i="9"/>
  <c r="EB17" i="9"/>
  <c r="EB16" i="9"/>
  <c r="EB15" i="9"/>
  <c r="EB14" i="9"/>
  <c r="EB13" i="9"/>
  <c r="EB12" i="9"/>
  <c r="EB11" i="9"/>
  <c r="EB10" i="9"/>
  <c r="EB9" i="9"/>
  <c r="EB8" i="9"/>
  <c r="EB7" i="9"/>
  <c r="EB6" i="9"/>
  <c r="EB5" i="9"/>
  <c r="EB4" i="9"/>
  <c r="EB3" i="9"/>
  <c r="EB2" i="9"/>
  <c r="DZ53" i="9"/>
  <c r="DZ52" i="9"/>
  <c r="DZ49" i="9"/>
  <c r="DZ48" i="9"/>
  <c r="DZ47" i="9"/>
  <c r="DZ46" i="9"/>
  <c r="DZ45" i="9"/>
  <c r="DZ44" i="9"/>
  <c r="DZ43" i="9"/>
  <c r="DZ42" i="9"/>
  <c r="DZ41" i="9"/>
  <c r="DZ40" i="9"/>
  <c r="DZ39" i="9"/>
  <c r="DZ38" i="9"/>
  <c r="DZ37" i="9"/>
  <c r="DZ36" i="9"/>
  <c r="DZ35" i="9"/>
  <c r="DZ34" i="9"/>
  <c r="DZ33" i="9"/>
  <c r="DZ32" i="9"/>
  <c r="DZ31" i="9"/>
  <c r="DZ30" i="9"/>
  <c r="DZ29" i="9"/>
  <c r="DZ28" i="9"/>
  <c r="DZ27" i="9"/>
  <c r="DZ26" i="9"/>
  <c r="DZ25" i="9"/>
  <c r="DZ24" i="9"/>
  <c r="DZ23" i="9"/>
  <c r="DZ22" i="9"/>
  <c r="DZ21" i="9"/>
  <c r="DZ20" i="9"/>
  <c r="DZ19" i="9"/>
  <c r="DZ18" i="9"/>
  <c r="DZ17" i="9"/>
  <c r="DZ16" i="9"/>
  <c r="DZ15" i="9"/>
  <c r="DZ14" i="9"/>
  <c r="DZ13" i="9"/>
  <c r="DZ12" i="9"/>
  <c r="DZ10" i="9"/>
  <c r="DZ9" i="9"/>
  <c r="DZ8" i="9"/>
  <c r="DZ7" i="9"/>
  <c r="DZ6" i="9"/>
  <c r="DZ5" i="9"/>
  <c r="DZ4" i="9"/>
  <c r="DZ3" i="9"/>
  <c r="DZ2" i="9"/>
  <c r="DX53" i="9"/>
  <c r="DX52" i="9"/>
  <c r="DX51" i="9"/>
  <c r="DX49" i="9"/>
  <c r="DX48" i="9"/>
  <c r="DX47" i="9"/>
  <c r="DX46" i="9"/>
  <c r="DX45" i="9"/>
  <c r="DX44" i="9"/>
  <c r="DX43" i="9"/>
  <c r="DX42" i="9"/>
  <c r="DX41" i="9"/>
  <c r="DX40" i="9"/>
  <c r="DX39" i="9"/>
  <c r="DX38" i="9"/>
  <c r="DX37" i="9"/>
  <c r="DX36" i="9"/>
  <c r="DX35" i="9"/>
  <c r="DX34" i="9"/>
  <c r="DX33" i="9"/>
  <c r="DX32" i="9"/>
  <c r="DX31" i="9"/>
  <c r="DX29" i="9"/>
  <c r="DX28" i="9"/>
  <c r="DX27" i="9"/>
  <c r="DX25" i="9"/>
  <c r="DX24" i="9"/>
  <c r="DX22" i="9"/>
  <c r="DX20" i="9"/>
  <c r="DX19" i="9"/>
  <c r="DX18" i="9"/>
  <c r="DX17" i="9"/>
  <c r="DX16" i="9"/>
  <c r="DX15" i="9"/>
  <c r="DX14" i="9"/>
  <c r="DX13" i="9"/>
  <c r="DX12" i="9"/>
  <c r="DX11" i="9"/>
  <c r="DX10" i="9"/>
  <c r="DX9" i="9"/>
  <c r="DX8" i="9"/>
  <c r="DX7" i="9"/>
  <c r="DX6" i="9"/>
  <c r="DX5" i="9"/>
  <c r="DX4" i="9"/>
  <c r="DX3" i="9"/>
  <c r="DX2" i="9"/>
  <c r="DV53" i="9"/>
  <c r="DV52" i="9"/>
  <c r="DV51" i="9"/>
  <c r="DV50" i="9"/>
  <c r="DV49" i="9"/>
  <c r="DV48" i="9"/>
  <c r="DV47" i="9"/>
  <c r="DV46" i="9"/>
  <c r="DV45" i="9"/>
  <c r="DV44" i="9"/>
  <c r="DV43" i="9"/>
  <c r="DV42" i="9"/>
  <c r="DV41" i="9"/>
  <c r="DV40" i="9"/>
  <c r="DV39" i="9"/>
  <c r="DV38" i="9"/>
  <c r="DV37" i="9"/>
  <c r="DV36" i="9"/>
  <c r="DV35" i="9"/>
  <c r="DV34" i="9"/>
  <c r="DV33" i="9"/>
  <c r="DV32" i="9"/>
  <c r="DV31" i="9"/>
  <c r="DV30" i="9"/>
  <c r="DV29" i="9"/>
  <c r="DV28" i="9"/>
  <c r="DV27" i="9"/>
  <c r="DV26" i="9"/>
  <c r="DV25" i="9"/>
  <c r="DV24" i="9"/>
  <c r="DV23" i="9"/>
  <c r="DV22" i="9"/>
  <c r="DV21" i="9"/>
  <c r="DV20" i="9"/>
  <c r="DV19" i="9"/>
  <c r="DV18" i="9"/>
  <c r="DV17" i="9"/>
  <c r="DV16" i="9"/>
  <c r="DV15" i="9"/>
  <c r="DV14" i="9"/>
  <c r="DV13" i="9"/>
  <c r="DV9" i="9"/>
  <c r="DV8" i="9"/>
  <c r="DV7" i="9"/>
  <c r="DV6" i="9"/>
  <c r="DV5" i="9"/>
  <c r="DV4" i="9"/>
  <c r="DV3" i="9"/>
  <c r="DV2" i="9"/>
  <c r="DT53" i="9"/>
  <c r="DT51" i="9"/>
  <c r="DT50" i="9"/>
  <c r="DT49" i="9"/>
  <c r="DT48" i="9"/>
  <c r="DT47" i="9"/>
  <c r="DT46" i="9"/>
  <c r="DT45" i="9"/>
  <c r="DT44" i="9"/>
  <c r="DT43" i="9"/>
  <c r="DT42" i="9"/>
  <c r="DT41" i="9"/>
  <c r="DT40" i="9"/>
  <c r="DT39" i="9"/>
  <c r="DT38" i="9"/>
  <c r="DT37" i="9"/>
  <c r="DT36" i="9"/>
  <c r="DT35" i="9"/>
  <c r="DT34" i="9"/>
  <c r="DT33" i="9"/>
  <c r="DT32" i="9"/>
  <c r="DT31" i="9"/>
  <c r="DT30" i="9"/>
  <c r="DT29" i="9"/>
  <c r="DT28" i="9"/>
  <c r="DT27" i="9"/>
  <c r="DT26" i="9"/>
  <c r="DT25" i="9"/>
  <c r="DT24" i="9"/>
  <c r="DT23" i="9"/>
  <c r="DT22" i="9"/>
  <c r="DT21" i="9"/>
  <c r="DT20" i="9"/>
  <c r="DT19" i="9"/>
  <c r="DT18" i="9"/>
  <c r="DT17" i="9"/>
  <c r="DT16" i="9"/>
  <c r="DT15" i="9"/>
  <c r="DT14" i="9"/>
  <c r="DT13" i="9"/>
  <c r="DT12" i="9"/>
  <c r="DT11" i="9"/>
  <c r="DT10" i="9"/>
  <c r="DT9" i="9"/>
  <c r="DT8" i="9"/>
  <c r="DT7" i="9"/>
  <c r="DT6" i="9"/>
  <c r="DT5" i="9"/>
  <c r="DT4" i="9"/>
  <c r="DT3" i="9"/>
  <c r="DT2" i="9"/>
  <c r="DR53" i="9"/>
  <c r="DR52" i="9"/>
  <c r="DR51" i="9"/>
  <c r="DR50" i="9"/>
  <c r="DR49" i="9"/>
  <c r="DR48" i="9"/>
  <c r="DR47" i="9"/>
  <c r="DR46" i="9"/>
  <c r="DR45" i="9"/>
  <c r="DR44" i="9"/>
  <c r="DR43" i="9"/>
  <c r="DR42" i="9"/>
  <c r="DR41" i="9"/>
  <c r="DR40" i="9"/>
  <c r="DR39" i="9"/>
  <c r="DR38" i="9"/>
  <c r="DR37" i="9"/>
  <c r="DR36" i="9"/>
  <c r="DR35" i="9"/>
  <c r="DR34" i="9"/>
  <c r="DR33" i="9"/>
  <c r="DR32" i="9"/>
  <c r="DR31" i="9"/>
  <c r="DR30" i="9"/>
  <c r="DR29" i="9"/>
  <c r="DR28" i="9"/>
  <c r="DR27" i="9"/>
  <c r="DR26" i="9"/>
  <c r="DR25" i="9"/>
  <c r="DR24" i="9"/>
  <c r="DR23" i="9"/>
  <c r="DR22" i="9"/>
  <c r="DR21" i="9"/>
  <c r="DR20" i="9"/>
  <c r="DR19" i="9"/>
  <c r="DR18" i="9"/>
  <c r="DR17" i="9"/>
  <c r="DR16" i="9"/>
  <c r="DR15" i="9"/>
  <c r="DR14" i="9"/>
  <c r="DR12" i="9"/>
  <c r="DR11" i="9"/>
  <c r="DR10" i="9"/>
  <c r="DR9" i="9"/>
  <c r="DR8" i="9"/>
  <c r="DR7" i="9"/>
  <c r="DR6" i="9"/>
  <c r="DR5" i="9"/>
  <c r="DR4" i="9"/>
  <c r="DR3" i="9"/>
  <c r="DR2" i="9"/>
  <c r="DP53" i="9"/>
  <c r="DP52" i="9"/>
  <c r="DP51" i="9"/>
  <c r="DP50" i="9"/>
  <c r="DP49" i="9"/>
  <c r="DP48" i="9"/>
  <c r="DP47" i="9"/>
  <c r="DP46" i="9"/>
  <c r="DP45" i="9"/>
  <c r="DP44" i="9"/>
  <c r="DP43" i="9"/>
  <c r="DP42" i="9"/>
  <c r="DP41" i="9"/>
  <c r="DP40" i="9"/>
  <c r="DP39" i="9"/>
  <c r="DP38" i="9"/>
  <c r="DP37" i="9"/>
  <c r="DP36" i="9"/>
  <c r="DP35" i="9"/>
  <c r="DP34" i="9"/>
  <c r="DP33" i="9"/>
  <c r="DP32" i="9"/>
  <c r="DP30" i="9"/>
  <c r="DP29" i="9"/>
  <c r="DP28" i="9"/>
  <c r="DP26" i="9"/>
  <c r="DP24" i="9"/>
  <c r="DP23" i="9"/>
  <c r="DP22" i="9"/>
  <c r="DP21" i="9"/>
  <c r="DP20" i="9"/>
  <c r="DP19" i="9"/>
  <c r="DP18" i="9"/>
  <c r="DP17" i="9"/>
  <c r="DP16" i="9"/>
  <c r="DP15" i="9"/>
  <c r="DP14" i="9"/>
  <c r="DP13" i="9"/>
  <c r="DP12" i="9"/>
  <c r="DP11" i="9"/>
  <c r="DP10" i="9"/>
  <c r="DP9" i="9"/>
  <c r="DP8" i="9"/>
  <c r="DP7" i="9"/>
  <c r="DP6" i="9"/>
  <c r="DP5" i="9"/>
  <c r="DP4" i="9"/>
  <c r="DP3" i="9"/>
  <c r="DP2" i="9"/>
  <c r="DN53" i="9"/>
  <c r="DN52" i="9"/>
  <c r="DN50" i="9"/>
  <c r="DN49" i="9"/>
  <c r="DN48" i="9"/>
  <c r="DN47" i="9"/>
  <c r="DN46" i="9"/>
  <c r="DN45" i="9"/>
  <c r="DN44" i="9"/>
  <c r="DN43" i="9"/>
  <c r="DN42" i="9"/>
  <c r="DN41" i="9"/>
  <c r="DN40" i="9"/>
  <c r="DN39" i="9"/>
  <c r="DN38" i="9"/>
  <c r="DN37" i="9"/>
  <c r="DN36" i="9"/>
  <c r="DN35" i="9"/>
  <c r="DN34" i="9"/>
  <c r="DN33" i="9"/>
  <c r="DN32" i="9"/>
  <c r="DN31" i="9"/>
  <c r="DN30" i="9"/>
  <c r="DN29" i="9"/>
  <c r="DN28" i="9"/>
  <c r="DN27" i="9"/>
  <c r="DN26" i="9"/>
  <c r="DN25" i="9"/>
  <c r="DN24" i="9"/>
  <c r="DN23" i="9"/>
  <c r="DN22" i="9"/>
  <c r="DN21" i="9"/>
  <c r="DN20" i="9"/>
  <c r="DN19" i="9"/>
  <c r="DN18" i="9"/>
  <c r="DN17" i="9"/>
  <c r="DN16" i="9"/>
  <c r="DN15" i="9"/>
  <c r="DN14" i="9"/>
  <c r="DN13" i="9"/>
  <c r="DN12" i="9"/>
  <c r="DN11" i="9"/>
  <c r="DN10" i="9"/>
  <c r="DN9" i="9"/>
  <c r="DN8" i="9"/>
  <c r="DN7" i="9"/>
  <c r="DN6" i="9"/>
  <c r="DN5" i="9"/>
  <c r="DN4" i="9"/>
  <c r="DN3" i="9"/>
  <c r="DN2" i="9"/>
  <c r="DL53" i="9"/>
  <c r="DL52" i="9"/>
  <c r="DL51" i="9"/>
  <c r="DL50" i="9"/>
  <c r="DL49" i="9"/>
  <c r="DL48" i="9"/>
  <c r="DL47" i="9"/>
  <c r="DL46" i="9"/>
  <c r="DL45" i="9"/>
  <c r="DL44" i="9"/>
  <c r="DL43" i="9"/>
  <c r="DL42" i="9"/>
  <c r="DL41" i="9"/>
  <c r="DL40" i="9"/>
  <c r="DL39" i="9"/>
  <c r="DL38" i="9"/>
  <c r="DL37" i="9"/>
  <c r="DL36" i="9"/>
  <c r="DL35" i="9"/>
  <c r="DL34" i="9"/>
  <c r="DL33" i="9"/>
  <c r="DL32" i="9"/>
  <c r="DL31" i="9"/>
  <c r="DL30" i="9"/>
  <c r="DL29" i="9"/>
  <c r="DL28" i="9"/>
  <c r="DL27" i="9"/>
  <c r="DL26" i="9"/>
  <c r="DL25" i="9"/>
  <c r="DL24" i="9"/>
  <c r="DL23" i="9"/>
  <c r="DL22" i="9"/>
  <c r="DL21" i="9"/>
  <c r="DL20" i="9"/>
  <c r="DL19" i="9"/>
  <c r="DL18" i="9"/>
  <c r="DL17" i="9"/>
  <c r="DL16" i="9"/>
  <c r="DL15" i="9"/>
  <c r="DL14" i="9"/>
  <c r="DL13" i="9"/>
  <c r="DL11" i="9"/>
  <c r="DL10" i="9"/>
  <c r="DL9" i="9"/>
  <c r="DL8" i="9"/>
  <c r="DL7" i="9"/>
  <c r="DL6" i="9"/>
  <c r="DL5" i="9"/>
  <c r="DL4" i="9"/>
  <c r="DL3" i="9"/>
  <c r="DL2" i="9"/>
  <c r="DJ53" i="9"/>
  <c r="DJ52" i="9"/>
  <c r="DJ51" i="9"/>
  <c r="DJ50" i="9"/>
  <c r="DJ48" i="9"/>
  <c r="DJ47" i="9"/>
  <c r="DJ46" i="9"/>
  <c r="DJ45" i="9"/>
  <c r="DJ44" i="9"/>
  <c r="DJ43" i="9"/>
  <c r="DJ42" i="9"/>
  <c r="DJ41" i="9"/>
  <c r="DJ40" i="9"/>
  <c r="DJ39" i="9"/>
  <c r="DJ38" i="9"/>
  <c r="DJ37" i="9"/>
  <c r="DJ36" i="9"/>
  <c r="DJ35" i="9"/>
  <c r="DJ34" i="9"/>
  <c r="DJ33" i="9"/>
  <c r="DJ32" i="9"/>
  <c r="DJ31" i="9"/>
  <c r="DJ30" i="9"/>
  <c r="DJ29" i="9"/>
  <c r="DJ27" i="9"/>
  <c r="DJ26" i="9"/>
  <c r="DJ25" i="9"/>
  <c r="DJ24" i="9"/>
  <c r="DJ22" i="9"/>
  <c r="DJ21" i="9"/>
  <c r="DJ19" i="9"/>
  <c r="DJ18" i="9"/>
  <c r="DJ16" i="9"/>
  <c r="DJ15" i="9"/>
  <c r="DJ13" i="9"/>
  <c r="DJ12" i="9"/>
  <c r="DJ11" i="9"/>
  <c r="DJ10" i="9"/>
  <c r="DJ9" i="9"/>
  <c r="DJ8" i="9"/>
  <c r="DJ7" i="9"/>
  <c r="DJ6" i="9"/>
  <c r="DJ5" i="9"/>
  <c r="DJ4" i="9"/>
  <c r="DJ3" i="9"/>
  <c r="DJ2" i="9"/>
  <c r="DH53" i="9"/>
  <c r="DH52" i="9"/>
  <c r="DH51" i="9"/>
  <c r="DH50" i="9"/>
  <c r="DH49" i="9"/>
  <c r="DH48" i="9"/>
  <c r="DH47" i="9"/>
  <c r="DH46" i="9"/>
  <c r="DH45" i="9"/>
  <c r="DH44" i="9"/>
  <c r="DH43" i="9"/>
  <c r="DH42" i="9"/>
  <c r="DH41" i="9"/>
  <c r="DH40" i="9"/>
  <c r="DH39" i="9"/>
  <c r="DH38" i="9"/>
  <c r="DH37" i="9"/>
  <c r="DH36" i="9"/>
  <c r="DH35" i="9"/>
  <c r="DH34" i="9"/>
  <c r="DH33" i="9"/>
  <c r="DH32" i="9"/>
  <c r="DH31" i="9"/>
  <c r="DH30" i="9"/>
  <c r="DH29" i="9"/>
  <c r="DH27" i="9"/>
  <c r="DH26" i="9"/>
  <c r="DH25" i="9"/>
  <c r="DH24" i="9"/>
  <c r="DH23" i="9"/>
  <c r="DH22" i="9"/>
  <c r="DH20" i="9"/>
  <c r="DH19" i="9"/>
  <c r="DH17" i="9"/>
  <c r="DH16" i="9"/>
  <c r="DH14" i="9"/>
  <c r="DH13" i="9"/>
  <c r="DH12" i="9"/>
  <c r="DH11" i="9"/>
  <c r="DH10" i="9"/>
  <c r="DH9" i="9"/>
  <c r="DH8" i="9"/>
  <c r="DH7" i="9"/>
  <c r="DH6" i="9"/>
  <c r="DH5" i="9"/>
  <c r="DH4" i="9"/>
  <c r="DH3" i="9"/>
  <c r="DH2" i="9"/>
  <c r="DF53" i="9"/>
  <c r="DF52" i="9"/>
  <c r="DF51" i="9"/>
  <c r="DF50" i="9"/>
  <c r="DF49" i="9"/>
  <c r="DF48" i="9"/>
  <c r="DF47" i="9"/>
  <c r="DF46" i="9"/>
  <c r="DF45" i="9"/>
  <c r="DF44" i="9"/>
  <c r="DF43" i="9"/>
  <c r="DF42" i="9"/>
  <c r="DF41" i="9"/>
  <c r="DF40" i="9"/>
  <c r="DF39" i="9"/>
  <c r="DF38" i="9"/>
  <c r="DF36" i="9"/>
  <c r="DF35" i="9"/>
  <c r="DF34" i="9"/>
  <c r="DF33" i="9"/>
  <c r="DF32" i="9"/>
  <c r="DF31" i="9"/>
  <c r="DF30" i="9"/>
  <c r="DF29" i="9"/>
  <c r="DF28" i="9"/>
  <c r="DF27" i="9"/>
  <c r="DF26" i="9"/>
  <c r="DF25" i="9"/>
  <c r="DF24" i="9"/>
  <c r="DF23" i="9"/>
  <c r="DF22" i="9"/>
  <c r="DF21" i="9"/>
  <c r="DF20" i="9"/>
  <c r="DF19" i="9"/>
  <c r="DF18" i="9"/>
  <c r="DF17" i="9"/>
  <c r="DF16" i="9"/>
  <c r="DF15" i="9"/>
  <c r="DF14" i="9"/>
  <c r="DF13" i="9"/>
  <c r="DF12" i="9"/>
  <c r="DF11" i="9"/>
  <c r="DF10" i="9"/>
  <c r="DF9" i="9"/>
  <c r="DF8" i="9"/>
  <c r="DF7" i="9"/>
  <c r="DF6" i="9"/>
  <c r="DF5" i="9"/>
  <c r="DF4" i="9"/>
  <c r="DF3" i="9"/>
  <c r="DF2" i="9"/>
  <c r="DD53" i="9"/>
  <c r="DD52" i="9"/>
  <c r="DD51" i="9"/>
  <c r="DD50" i="9"/>
  <c r="DD49" i="9"/>
  <c r="DD48" i="9"/>
  <c r="DD47" i="9"/>
  <c r="DD46" i="9"/>
  <c r="DD45" i="9"/>
  <c r="DD44" i="9"/>
  <c r="DD43" i="9"/>
  <c r="DD42" i="9"/>
  <c r="DD41" i="9"/>
  <c r="DD40" i="9"/>
  <c r="DD39" i="9"/>
  <c r="DD38" i="9"/>
  <c r="DD37" i="9"/>
  <c r="DD36" i="9"/>
  <c r="DD35" i="9"/>
  <c r="DD34" i="9"/>
  <c r="DD33" i="9"/>
  <c r="DD32" i="9"/>
  <c r="DD31" i="9"/>
  <c r="DD30" i="9"/>
  <c r="DD28" i="9"/>
  <c r="DD27" i="9"/>
  <c r="DD26" i="9"/>
  <c r="DD25" i="9"/>
  <c r="DD24" i="9"/>
  <c r="DD23" i="9"/>
  <c r="DD22" i="9"/>
  <c r="DD21" i="9"/>
  <c r="DD20" i="9"/>
  <c r="DD19" i="9"/>
  <c r="DD18" i="9"/>
  <c r="DD17" i="9"/>
  <c r="DD16" i="9"/>
  <c r="DD15" i="9"/>
  <c r="DD14" i="9"/>
  <c r="DD13" i="9"/>
  <c r="DD12" i="9"/>
  <c r="DD11" i="9"/>
  <c r="DD10" i="9"/>
  <c r="DD9" i="9"/>
  <c r="DD8" i="9"/>
  <c r="DD7" i="9"/>
  <c r="DD6" i="9"/>
  <c r="DD5" i="9"/>
  <c r="DD4" i="9"/>
  <c r="DD3" i="9"/>
  <c r="DD2" i="9"/>
  <c r="DB53" i="9"/>
  <c r="DB52" i="9"/>
  <c r="DB51" i="9"/>
  <c r="DB50" i="9"/>
  <c r="DB49" i="9"/>
  <c r="DB48" i="9"/>
  <c r="DB47" i="9"/>
  <c r="DB46" i="9"/>
  <c r="DB45" i="9"/>
  <c r="DB44" i="9"/>
  <c r="DB43" i="9"/>
  <c r="DB42" i="9"/>
  <c r="DB41" i="9"/>
  <c r="DB40" i="9"/>
  <c r="DB39" i="9"/>
  <c r="DB38" i="9"/>
  <c r="DB37" i="9"/>
  <c r="DB36" i="9"/>
  <c r="DB35" i="9"/>
  <c r="DB34" i="9"/>
  <c r="DB33" i="9"/>
  <c r="DB32" i="9"/>
  <c r="DB31" i="9"/>
  <c r="DB30" i="9"/>
  <c r="DB29" i="9"/>
  <c r="DB28" i="9"/>
  <c r="DB27" i="9"/>
  <c r="DB26" i="9"/>
  <c r="DB25" i="9"/>
  <c r="DB24" i="9"/>
  <c r="DB23" i="9"/>
  <c r="DB22" i="9"/>
  <c r="DB21" i="9"/>
  <c r="DB20" i="9"/>
  <c r="DB19" i="9"/>
  <c r="DB18" i="9"/>
  <c r="DB17" i="9"/>
  <c r="DB16" i="9"/>
  <c r="DB15" i="9"/>
  <c r="DB14" i="9"/>
  <c r="DB13" i="9"/>
  <c r="DB12" i="9"/>
  <c r="DB11" i="9"/>
  <c r="DB9" i="9"/>
  <c r="DB8" i="9"/>
  <c r="DB7" i="9"/>
  <c r="DB6" i="9"/>
  <c r="DB5" i="9"/>
  <c r="DB4" i="9"/>
  <c r="DB3" i="9"/>
  <c r="DB2" i="9"/>
  <c r="CZ53" i="9"/>
  <c r="CZ52" i="9"/>
  <c r="CZ50" i="9"/>
  <c r="CZ49" i="9"/>
  <c r="CZ48" i="9"/>
  <c r="CZ46" i="9"/>
  <c r="CZ45" i="9"/>
  <c r="CZ44" i="9"/>
  <c r="CZ43" i="9"/>
  <c r="CZ42" i="9"/>
  <c r="CZ41" i="9"/>
  <c r="CZ40" i="9"/>
  <c r="CZ39" i="9"/>
  <c r="CZ38" i="9"/>
  <c r="CZ37" i="9"/>
  <c r="CZ36" i="9"/>
  <c r="CZ35" i="9"/>
  <c r="CZ34" i="9"/>
  <c r="CZ33" i="9"/>
  <c r="CZ32" i="9"/>
  <c r="CZ31" i="9"/>
  <c r="CZ30" i="9"/>
  <c r="CZ29" i="9"/>
  <c r="CZ28" i="9"/>
  <c r="CZ26" i="9"/>
  <c r="CZ25" i="9"/>
  <c r="CZ24" i="9"/>
  <c r="CZ23" i="9"/>
  <c r="CZ22" i="9"/>
  <c r="CZ21" i="9"/>
  <c r="CZ20" i="9"/>
  <c r="CZ19" i="9"/>
  <c r="CZ18" i="9"/>
  <c r="CZ17" i="9"/>
  <c r="CZ14" i="9"/>
  <c r="CZ13" i="9"/>
  <c r="CZ12" i="9"/>
  <c r="CZ11" i="9"/>
  <c r="CZ10" i="9"/>
  <c r="CZ9" i="9"/>
  <c r="CZ8" i="9"/>
  <c r="CZ7" i="9"/>
  <c r="CZ6" i="9"/>
  <c r="CZ5" i="9"/>
  <c r="CZ4" i="9"/>
  <c r="CZ3" i="9"/>
  <c r="CZ2" i="9"/>
  <c r="CX53" i="9"/>
  <c r="CX52" i="9"/>
  <c r="CX51" i="9"/>
  <c r="CX50" i="9"/>
  <c r="CX49" i="9"/>
  <c r="CX48" i="9"/>
  <c r="CX47" i="9"/>
  <c r="CX46" i="9"/>
  <c r="CX45" i="9"/>
  <c r="CX44" i="9"/>
  <c r="CX43" i="9"/>
  <c r="CX42" i="9"/>
  <c r="CX41" i="9"/>
  <c r="CX40" i="9"/>
  <c r="CX39" i="9"/>
  <c r="CX38" i="9"/>
  <c r="CX37" i="9"/>
  <c r="CX36" i="9"/>
  <c r="CX35" i="9"/>
  <c r="CX34" i="9"/>
  <c r="CX33" i="9"/>
  <c r="CX32" i="9"/>
  <c r="CX31" i="9"/>
  <c r="CX30" i="9"/>
  <c r="CX29" i="9"/>
  <c r="CX28" i="9"/>
  <c r="CX27" i="9"/>
  <c r="CX26" i="9"/>
  <c r="CX25" i="9"/>
  <c r="CX24" i="9"/>
  <c r="CX23" i="9"/>
  <c r="CX22" i="9"/>
  <c r="CX21" i="9"/>
  <c r="CX20" i="9"/>
  <c r="CX19" i="9"/>
  <c r="CX18" i="9"/>
  <c r="CX17" i="9"/>
  <c r="CX14" i="9"/>
  <c r="CX13" i="9"/>
  <c r="CX12" i="9"/>
  <c r="CX11" i="9"/>
  <c r="CX10" i="9"/>
  <c r="CX9" i="9"/>
  <c r="CX8" i="9"/>
  <c r="CX7" i="9"/>
  <c r="CX6" i="9"/>
  <c r="CX5" i="9"/>
  <c r="CX4" i="9"/>
  <c r="CX3" i="9"/>
  <c r="CX2" i="9"/>
  <c r="CV53" i="9"/>
  <c r="CV52" i="9"/>
  <c r="CV51" i="9"/>
  <c r="CV50" i="9"/>
  <c r="CV49" i="9"/>
  <c r="CV48" i="9"/>
  <c r="CV46" i="9"/>
  <c r="CV45" i="9"/>
  <c r="CV44" i="9"/>
  <c r="CV43" i="9"/>
  <c r="CV42" i="9"/>
  <c r="CV41" i="9"/>
  <c r="CV40" i="9"/>
  <c r="CV39" i="9"/>
  <c r="CV38" i="9"/>
  <c r="CV37" i="9"/>
  <c r="CV36" i="9"/>
  <c r="CV31" i="9"/>
  <c r="CV30" i="9"/>
  <c r="CV29" i="9"/>
  <c r="CV28" i="9"/>
  <c r="CV27" i="9"/>
  <c r="CV26" i="9"/>
  <c r="CV25" i="9"/>
  <c r="CV24" i="9"/>
  <c r="CV23" i="9"/>
  <c r="CV22" i="9"/>
  <c r="CV21" i="9"/>
  <c r="CV20" i="9"/>
  <c r="CV19" i="9"/>
  <c r="CV18" i="9"/>
  <c r="CV17" i="9"/>
  <c r="CV16" i="9"/>
  <c r="CV15" i="9"/>
  <c r="CV14" i="9"/>
  <c r="CV13" i="9"/>
  <c r="CV12" i="9"/>
  <c r="CV11" i="9"/>
  <c r="CV10" i="9"/>
  <c r="CV9" i="9"/>
  <c r="CV8" i="9"/>
  <c r="CV7" i="9"/>
  <c r="CV6" i="9"/>
  <c r="CV5" i="9"/>
  <c r="CV4" i="9"/>
  <c r="CV3" i="9"/>
  <c r="CV2" i="9"/>
  <c r="CT53" i="9"/>
  <c r="CT52" i="9"/>
  <c r="CT51" i="9"/>
  <c r="CT50" i="9"/>
  <c r="CT49" i="9"/>
  <c r="CT48" i="9"/>
  <c r="CT46" i="9"/>
  <c r="CT45" i="9"/>
  <c r="CT44" i="9"/>
  <c r="CT43" i="9"/>
  <c r="CT42" i="9"/>
  <c r="CT41" i="9"/>
  <c r="CT40" i="9"/>
  <c r="CT39" i="9"/>
  <c r="CT38" i="9"/>
  <c r="CT37" i="9"/>
  <c r="CT36" i="9"/>
  <c r="CT35" i="9"/>
  <c r="CT34" i="9"/>
  <c r="CT33" i="9"/>
  <c r="CT32" i="9"/>
  <c r="CT31" i="9"/>
  <c r="CT30" i="9"/>
  <c r="CT29" i="9"/>
  <c r="CT28" i="9"/>
  <c r="CT27" i="9"/>
  <c r="CT26" i="9"/>
  <c r="CT25" i="9"/>
  <c r="CT24" i="9"/>
  <c r="CT23" i="9"/>
  <c r="CT22" i="9"/>
  <c r="CT21" i="9"/>
  <c r="CT20" i="9"/>
  <c r="CT19" i="9"/>
  <c r="CT18" i="9"/>
  <c r="CT17" i="9"/>
  <c r="CT16" i="9"/>
  <c r="CT15" i="9"/>
  <c r="CT14" i="9"/>
  <c r="CT13" i="9"/>
  <c r="CT12" i="9"/>
  <c r="CT11" i="9"/>
  <c r="CT10" i="9"/>
  <c r="CT9" i="9"/>
  <c r="CT8" i="9"/>
  <c r="CT7" i="9"/>
  <c r="CT6" i="9"/>
  <c r="CT5" i="9"/>
  <c r="CT4" i="9"/>
  <c r="CT3" i="9"/>
  <c r="CT2" i="9"/>
  <c r="CR53" i="9"/>
  <c r="CR52" i="9"/>
  <c r="CR50" i="9"/>
  <c r="CR49" i="9"/>
  <c r="CR48" i="9"/>
  <c r="CR47" i="9"/>
  <c r="CR46" i="9"/>
  <c r="CR45" i="9"/>
  <c r="CR44" i="9"/>
  <c r="CR43" i="9"/>
  <c r="CR42" i="9"/>
  <c r="CR41" i="9"/>
  <c r="CR40" i="9"/>
  <c r="CR39" i="9"/>
  <c r="CR38" i="9"/>
  <c r="CR37" i="9"/>
  <c r="CR36" i="9"/>
  <c r="CR35" i="9"/>
  <c r="CR34" i="9"/>
  <c r="CR33" i="9"/>
  <c r="CR32" i="9"/>
  <c r="CR31" i="9"/>
  <c r="CR30" i="9"/>
  <c r="CR29" i="9"/>
  <c r="CR28" i="9"/>
  <c r="CR27" i="9"/>
  <c r="CR26" i="9"/>
  <c r="CR25" i="9"/>
  <c r="CR24" i="9"/>
  <c r="CR23" i="9"/>
  <c r="CR22" i="9"/>
  <c r="CR21" i="9"/>
  <c r="CR20" i="9"/>
  <c r="CR19" i="9"/>
  <c r="CR18" i="9"/>
  <c r="CR17" i="9"/>
  <c r="CR16" i="9"/>
  <c r="CR15" i="9"/>
  <c r="CR14" i="9"/>
  <c r="CR13" i="9"/>
  <c r="CR12" i="9"/>
  <c r="CR11" i="9"/>
  <c r="CR10" i="9"/>
  <c r="CR9" i="9"/>
  <c r="CR8" i="9"/>
  <c r="CR7" i="9"/>
  <c r="CR6" i="9"/>
  <c r="CR5" i="9"/>
  <c r="CR4" i="9"/>
  <c r="CR3" i="9"/>
  <c r="CR2" i="9"/>
  <c r="CP53" i="9"/>
  <c r="CP52" i="9"/>
  <c r="CP51" i="9"/>
  <c r="CP50" i="9"/>
  <c r="CP49" i="9"/>
  <c r="CP48" i="9"/>
  <c r="CP47" i="9"/>
  <c r="CP46" i="9"/>
  <c r="CP45" i="9"/>
  <c r="CP44" i="9"/>
  <c r="CP43" i="9"/>
  <c r="CP42" i="9"/>
  <c r="CP41" i="9"/>
  <c r="CP40" i="9"/>
  <c r="CP39" i="9"/>
  <c r="CP38" i="9"/>
  <c r="CP37" i="9"/>
  <c r="CP36" i="9"/>
  <c r="CP35" i="9"/>
  <c r="CP34" i="9"/>
  <c r="CP33" i="9"/>
  <c r="CP31" i="9"/>
  <c r="CP30" i="9"/>
  <c r="CP29" i="9"/>
  <c r="CP28" i="9"/>
  <c r="CP27" i="9"/>
  <c r="CP26" i="9"/>
  <c r="CP25" i="9"/>
  <c r="CP24" i="9"/>
  <c r="CP23" i="9"/>
  <c r="CP22" i="9"/>
  <c r="CP21" i="9"/>
  <c r="CP20" i="9"/>
  <c r="CP19" i="9"/>
  <c r="CP18" i="9"/>
  <c r="CP17" i="9"/>
  <c r="CP16" i="9"/>
  <c r="CP15" i="9"/>
  <c r="CP14" i="9"/>
  <c r="CP13" i="9"/>
  <c r="CP12" i="9"/>
  <c r="CP11" i="9"/>
  <c r="CP10" i="9"/>
  <c r="CP9" i="9"/>
  <c r="CP8" i="9"/>
  <c r="CP7" i="9"/>
  <c r="CP6" i="9"/>
  <c r="CP5" i="9"/>
  <c r="CP4" i="9"/>
  <c r="CP3" i="9"/>
  <c r="CP2" i="9"/>
  <c r="CN53" i="9"/>
  <c r="CN52" i="9"/>
  <c r="CN51" i="9"/>
  <c r="CN50" i="9"/>
  <c r="CN49" i="9"/>
  <c r="CN48" i="9"/>
  <c r="CN47" i="9"/>
  <c r="CN46" i="9"/>
  <c r="CN45" i="9"/>
  <c r="CN44" i="9"/>
  <c r="CN43" i="9"/>
  <c r="CN41" i="9"/>
  <c r="CN40" i="9"/>
  <c r="CN39" i="9"/>
  <c r="CN38" i="9"/>
  <c r="CN37" i="9"/>
  <c r="CN36" i="9"/>
  <c r="CN35" i="9"/>
  <c r="CN34" i="9"/>
  <c r="CN33" i="9"/>
  <c r="CN32" i="9"/>
  <c r="CN31" i="9"/>
  <c r="CN30" i="9"/>
  <c r="CN29" i="9"/>
  <c r="CN28" i="9"/>
  <c r="CN27" i="9"/>
  <c r="CN26" i="9"/>
  <c r="CN25" i="9"/>
  <c r="CN24" i="9"/>
  <c r="CN23" i="9"/>
  <c r="CN22" i="9"/>
  <c r="CN21" i="9"/>
  <c r="CN20" i="9"/>
  <c r="CN19" i="9"/>
  <c r="CN18" i="9"/>
  <c r="CN17" i="9"/>
  <c r="CN16" i="9"/>
  <c r="CN14" i="9"/>
  <c r="CN12" i="9"/>
  <c r="CN11" i="9"/>
  <c r="CN10" i="9"/>
  <c r="CN9" i="9"/>
  <c r="CN8" i="9"/>
  <c r="CN7" i="9"/>
  <c r="CN6" i="9"/>
  <c r="CN5" i="9"/>
  <c r="CN4" i="9"/>
  <c r="CN3" i="9"/>
  <c r="CN2" i="9"/>
  <c r="CL52" i="9"/>
  <c r="CL51" i="9"/>
  <c r="CL50" i="9"/>
  <c r="CL49" i="9"/>
  <c r="CL48" i="9"/>
  <c r="CL47" i="9"/>
  <c r="CL46" i="9"/>
  <c r="CL45" i="9"/>
  <c r="CL44" i="9"/>
  <c r="CL43" i="9"/>
  <c r="CL42" i="9"/>
  <c r="CL41" i="9"/>
  <c r="CL40" i="9"/>
  <c r="CL39" i="9"/>
  <c r="CL38" i="9"/>
  <c r="CL37" i="9"/>
  <c r="CL36" i="9"/>
  <c r="CL35" i="9"/>
  <c r="CL34" i="9"/>
  <c r="CL33" i="9"/>
  <c r="CL32" i="9"/>
  <c r="CL31" i="9"/>
  <c r="CL30" i="9"/>
  <c r="CL29" i="9"/>
  <c r="CL28" i="9"/>
  <c r="CL27" i="9"/>
  <c r="CL26" i="9"/>
  <c r="CL25" i="9"/>
  <c r="CL24" i="9"/>
  <c r="CL23" i="9"/>
  <c r="CL22" i="9"/>
  <c r="CL21" i="9"/>
  <c r="CL20" i="9"/>
  <c r="CL19" i="9"/>
  <c r="CL18" i="9"/>
  <c r="CL17" i="9"/>
  <c r="CL14" i="9"/>
  <c r="CL13" i="9"/>
  <c r="CL12" i="9"/>
  <c r="CL11" i="9"/>
  <c r="CL10" i="9"/>
  <c r="CL9" i="9"/>
  <c r="CL8" i="9"/>
  <c r="CL7" i="9"/>
  <c r="CL6" i="9"/>
  <c r="CL5" i="9"/>
  <c r="CL4" i="9"/>
  <c r="CL3" i="9"/>
  <c r="CL2" i="9"/>
  <c r="CJ53" i="9"/>
  <c r="CJ52" i="9"/>
  <c r="CJ48" i="9"/>
  <c r="CJ47" i="9"/>
  <c r="CJ46" i="9"/>
  <c r="CJ45" i="9"/>
  <c r="CJ44" i="9"/>
  <c r="CJ43" i="9"/>
  <c r="CJ42" i="9"/>
  <c r="CJ41" i="9"/>
  <c r="CJ40" i="9"/>
  <c r="CJ39" i="9"/>
  <c r="CJ38" i="9"/>
  <c r="CJ37" i="9"/>
  <c r="CJ36" i="9"/>
  <c r="CJ35" i="9"/>
  <c r="CJ34" i="9"/>
  <c r="CJ33" i="9"/>
  <c r="CJ32" i="9"/>
  <c r="CJ31" i="9"/>
  <c r="CJ30" i="9"/>
  <c r="CJ29" i="9"/>
  <c r="CJ28" i="9"/>
  <c r="CJ27" i="9"/>
  <c r="CJ26" i="9"/>
  <c r="CJ25" i="9"/>
  <c r="CJ24" i="9"/>
  <c r="CJ23" i="9"/>
  <c r="CJ22" i="9"/>
  <c r="CJ21" i="9"/>
  <c r="CJ20" i="9"/>
  <c r="CJ19" i="9"/>
  <c r="CJ18" i="9"/>
  <c r="CJ17" i="9"/>
  <c r="CJ16" i="9"/>
  <c r="CJ15" i="9"/>
  <c r="CJ14" i="9"/>
  <c r="CJ13" i="9"/>
  <c r="CJ12" i="9"/>
  <c r="CJ11" i="9"/>
  <c r="CJ10" i="9"/>
  <c r="CJ9" i="9"/>
  <c r="CJ8" i="9"/>
  <c r="CJ7" i="9"/>
  <c r="CJ6" i="9"/>
  <c r="CJ5" i="9"/>
  <c r="CJ4" i="9"/>
  <c r="CJ3" i="9"/>
  <c r="CJ2" i="9"/>
  <c r="CH53" i="9"/>
  <c r="CH52" i="9"/>
  <c r="CH51" i="9"/>
  <c r="CH50" i="9"/>
  <c r="CH49" i="9"/>
  <c r="CH48" i="9"/>
  <c r="CH47" i="9"/>
  <c r="CH46" i="9"/>
  <c r="CH45" i="9"/>
  <c r="CH44" i="9"/>
  <c r="CH43" i="9"/>
  <c r="CH42" i="9"/>
  <c r="CH41" i="9"/>
  <c r="CH40" i="9"/>
  <c r="CH39" i="9"/>
  <c r="CH38" i="9"/>
  <c r="CH37" i="9"/>
  <c r="CH36" i="9"/>
  <c r="CH35" i="9"/>
  <c r="CH34" i="9"/>
  <c r="CH33" i="9"/>
  <c r="CH32" i="9"/>
  <c r="CH31" i="9"/>
  <c r="CH30" i="9"/>
  <c r="CH29" i="9"/>
  <c r="CH28" i="9"/>
  <c r="CH27" i="9"/>
  <c r="CH26" i="9"/>
  <c r="CH25" i="9"/>
  <c r="CH24" i="9"/>
  <c r="CH22" i="9"/>
  <c r="CH21" i="9"/>
  <c r="CH20" i="9"/>
  <c r="CH19" i="9"/>
  <c r="CH18" i="9"/>
  <c r="CH17" i="9"/>
  <c r="CH16" i="9"/>
  <c r="CH15" i="9"/>
  <c r="CH14" i="9"/>
  <c r="CH13" i="9"/>
  <c r="CH12" i="9"/>
  <c r="CH11" i="9"/>
  <c r="CH10" i="9"/>
  <c r="CH9" i="9"/>
  <c r="CH8" i="9"/>
  <c r="CH7" i="9"/>
  <c r="CH6" i="9"/>
  <c r="CH5" i="9"/>
  <c r="CH4" i="9"/>
  <c r="CH3" i="9"/>
  <c r="CH2" i="9"/>
  <c r="CF53" i="9"/>
  <c r="CF52" i="9"/>
  <c r="CF48" i="9"/>
  <c r="CF47" i="9"/>
  <c r="CF46" i="9"/>
  <c r="CF45" i="9"/>
  <c r="CF44" i="9"/>
  <c r="CF43" i="9"/>
  <c r="CF42" i="9"/>
  <c r="CF41" i="9"/>
  <c r="CF40" i="9"/>
  <c r="CF39" i="9"/>
  <c r="CF38" i="9"/>
  <c r="CF37" i="9"/>
  <c r="CF36" i="9"/>
  <c r="CF35" i="9"/>
  <c r="CF34" i="9"/>
  <c r="CF33" i="9"/>
  <c r="CF32" i="9"/>
  <c r="CF31" i="9"/>
  <c r="CF30" i="9"/>
  <c r="CF29" i="9"/>
  <c r="CF28" i="9"/>
  <c r="CF27" i="9"/>
  <c r="CF26" i="9"/>
  <c r="CF25" i="9"/>
  <c r="CF24" i="9"/>
  <c r="CF23" i="9"/>
  <c r="CF22" i="9"/>
  <c r="CF21" i="9"/>
  <c r="CF20" i="9"/>
  <c r="CF19" i="9"/>
  <c r="CF18" i="9"/>
  <c r="CF17" i="9"/>
  <c r="CF16" i="9"/>
  <c r="CF15" i="9"/>
  <c r="CF14" i="9"/>
  <c r="CF13" i="9"/>
  <c r="CF12" i="9"/>
  <c r="CF11" i="9"/>
  <c r="CF10" i="9"/>
  <c r="CF9" i="9"/>
  <c r="CF8" i="9"/>
  <c r="CF7" i="9"/>
  <c r="CF6" i="9"/>
  <c r="CF5" i="9"/>
  <c r="CF4" i="9"/>
  <c r="CF3" i="9"/>
  <c r="CF2" i="9"/>
  <c r="CD53" i="9"/>
  <c r="CD52" i="9"/>
  <c r="CD51" i="9"/>
  <c r="CD50" i="9"/>
  <c r="CD49" i="9"/>
  <c r="CD47" i="9"/>
  <c r="CD46" i="9"/>
  <c r="CD44" i="9"/>
  <c r="CD43" i="9"/>
  <c r="CD42" i="9"/>
  <c r="CD40" i="9"/>
  <c r="CD39" i="9"/>
  <c r="CD38" i="9"/>
  <c r="CD37" i="9"/>
  <c r="CD36" i="9"/>
  <c r="CD35" i="9"/>
  <c r="CD34" i="9"/>
  <c r="CD33" i="9"/>
  <c r="CD32" i="9"/>
  <c r="CD31" i="9"/>
  <c r="CD30" i="9"/>
  <c r="CD29" i="9"/>
  <c r="CD28" i="9"/>
  <c r="CD27" i="9"/>
  <c r="CD26" i="9"/>
  <c r="CD25" i="9"/>
  <c r="CD24" i="9"/>
  <c r="CD23" i="9"/>
  <c r="CD22" i="9"/>
  <c r="CD21" i="9"/>
  <c r="CD20" i="9"/>
  <c r="CD19" i="9"/>
  <c r="CD18" i="9"/>
  <c r="CD15" i="9"/>
  <c r="CD14" i="9"/>
  <c r="CD13" i="9"/>
  <c r="CD11" i="9"/>
  <c r="CD9" i="9"/>
  <c r="CD8" i="9"/>
  <c r="CD7" i="9"/>
  <c r="CD6" i="9"/>
  <c r="CD5" i="9"/>
  <c r="CD3" i="9"/>
  <c r="CB52" i="9"/>
  <c r="CB51" i="9"/>
  <c r="CB50" i="9"/>
  <c r="CB49" i="9"/>
  <c r="CB48" i="9"/>
  <c r="CB47" i="9"/>
  <c r="CB46" i="9"/>
  <c r="CB45" i="9"/>
  <c r="CB44" i="9"/>
  <c r="CB43" i="9"/>
  <c r="CB42" i="9"/>
  <c r="CB41" i="9"/>
  <c r="CB40" i="9"/>
  <c r="CB39" i="9"/>
  <c r="CB38" i="9"/>
  <c r="CB37" i="9"/>
  <c r="CB36" i="9"/>
  <c r="CB35" i="9"/>
  <c r="CB34" i="9"/>
  <c r="CB33" i="9"/>
  <c r="CB32" i="9"/>
  <c r="CB31" i="9"/>
  <c r="CB30" i="9"/>
  <c r="CB29" i="9"/>
  <c r="CB28" i="9"/>
  <c r="CB27" i="9"/>
  <c r="CB26" i="9"/>
  <c r="CB25" i="9"/>
  <c r="CB24" i="9"/>
  <c r="CB23" i="9"/>
  <c r="CB22" i="9"/>
  <c r="CB21" i="9"/>
  <c r="CB20" i="9"/>
  <c r="CB19" i="9"/>
  <c r="CB18" i="9"/>
  <c r="CB17" i="9"/>
  <c r="CB16" i="9"/>
  <c r="CB15" i="9"/>
  <c r="CB14" i="9"/>
  <c r="CB13" i="9"/>
  <c r="CB12" i="9"/>
  <c r="CB11" i="9"/>
  <c r="CB10" i="9"/>
  <c r="CB9" i="9"/>
  <c r="CB8" i="9"/>
  <c r="CB7" i="9"/>
  <c r="CB6" i="9"/>
  <c r="CB5" i="9"/>
  <c r="CB4" i="9"/>
  <c r="CB3" i="9"/>
  <c r="CB2" i="9"/>
  <c r="BZ53" i="9"/>
  <c r="BZ52" i="9"/>
  <c r="BZ51" i="9"/>
  <c r="BZ49" i="9"/>
  <c r="BZ48" i="9"/>
  <c r="BZ46" i="9"/>
  <c r="BZ45" i="9"/>
  <c r="BZ44" i="9"/>
  <c r="BZ43" i="9"/>
  <c r="BZ42" i="9"/>
  <c r="BZ41" i="9"/>
  <c r="BZ40" i="9"/>
  <c r="BZ37" i="9"/>
  <c r="BZ36" i="9"/>
  <c r="BZ35" i="9"/>
  <c r="BZ34" i="9"/>
  <c r="BZ33" i="9"/>
  <c r="BZ32" i="9"/>
  <c r="BZ31" i="9"/>
  <c r="BZ30" i="9"/>
  <c r="BZ29" i="9"/>
  <c r="BZ27" i="9"/>
  <c r="BZ26" i="9"/>
  <c r="BZ25" i="9"/>
  <c r="BZ24" i="9"/>
  <c r="BZ23" i="9"/>
  <c r="BZ22" i="9"/>
  <c r="BZ20" i="9"/>
  <c r="BZ19" i="9"/>
  <c r="BZ18" i="9"/>
  <c r="BZ17" i="9"/>
  <c r="BZ16" i="9"/>
  <c r="BZ15" i="9"/>
  <c r="BZ14" i="9"/>
  <c r="BZ13" i="9"/>
  <c r="BZ12" i="9"/>
  <c r="BZ10" i="9"/>
  <c r="BZ7" i="9"/>
  <c r="BZ5" i="9"/>
  <c r="BZ2" i="9"/>
  <c r="BX53" i="9"/>
  <c r="BX52" i="9"/>
  <c r="BX51" i="9"/>
  <c r="BX50" i="9"/>
  <c r="BX49" i="9"/>
  <c r="BX48" i="9"/>
  <c r="BX47" i="9"/>
  <c r="BX46" i="9"/>
  <c r="BX45" i="9"/>
  <c r="BX44" i="9"/>
  <c r="BX43" i="9"/>
  <c r="BX42" i="9"/>
  <c r="BX41" i="9"/>
  <c r="BX40" i="9"/>
  <c r="BX39" i="9"/>
  <c r="BX38" i="9"/>
  <c r="BX37" i="9"/>
  <c r="BX36" i="9"/>
  <c r="BX35" i="9"/>
  <c r="BX34" i="9"/>
  <c r="BX33" i="9"/>
  <c r="BX32" i="9"/>
  <c r="BX30" i="9"/>
  <c r="BX29" i="9"/>
  <c r="BX28" i="9"/>
  <c r="BX26" i="9"/>
  <c r="BX24" i="9"/>
  <c r="BX23" i="9"/>
  <c r="BX22" i="9"/>
  <c r="BX21" i="9"/>
  <c r="BX20" i="9"/>
  <c r="BX19" i="9"/>
  <c r="BX18" i="9"/>
  <c r="BX17" i="9"/>
  <c r="BX16" i="9"/>
  <c r="BX15" i="9"/>
  <c r="BX14" i="9"/>
  <c r="BX13" i="9"/>
  <c r="BX12" i="9"/>
  <c r="BX11" i="9"/>
  <c r="BX10" i="9"/>
  <c r="BX9" i="9"/>
  <c r="BX8" i="9"/>
  <c r="BX7" i="9"/>
  <c r="BX6" i="9"/>
  <c r="BX5" i="9"/>
  <c r="BX4" i="9"/>
  <c r="BX3" i="9"/>
  <c r="BX2" i="9"/>
  <c r="BV53" i="9"/>
  <c r="BV52" i="9"/>
  <c r="BV51" i="9"/>
  <c r="BV50" i="9"/>
  <c r="BV49" i="9"/>
  <c r="BV48" i="9"/>
  <c r="BV47" i="9"/>
  <c r="BV46" i="9"/>
  <c r="BV45" i="9"/>
  <c r="BV44" i="9"/>
  <c r="BV42" i="9"/>
  <c r="BV41" i="9"/>
  <c r="BV40" i="9"/>
  <c r="BV39" i="9"/>
  <c r="BV38" i="9"/>
  <c r="BV37" i="9"/>
  <c r="BV36" i="9"/>
  <c r="BV35" i="9"/>
  <c r="BV34" i="9"/>
  <c r="BV33" i="9"/>
  <c r="BV32" i="9"/>
  <c r="BV31" i="9"/>
  <c r="BV30" i="9"/>
  <c r="BV29" i="9"/>
  <c r="BV28" i="9"/>
  <c r="BV27" i="9"/>
  <c r="BV26" i="9"/>
  <c r="BV25" i="9"/>
  <c r="BV24" i="9"/>
  <c r="BV23" i="9"/>
  <c r="BV22" i="9"/>
  <c r="BV21" i="9"/>
  <c r="BV20" i="9"/>
  <c r="BV19" i="9"/>
  <c r="BV18" i="9"/>
  <c r="BV17" i="9"/>
  <c r="BV16" i="9"/>
  <c r="BV15" i="9"/>
  <c r="BV14" i="9"/>
  <c r="BV13" i="9"/>
  <c r="BV12" i="9"/>
  <c r="BV11" i="9"/>
  <c r="BV10" i="9"/>
  <c r="BV9" i="9"/>
  <c r="BV8" i="9"/>
  <c r="BV7" i="9"/>
  <c r="BV6" i="9"/>
  <c r="BV5" i="9"/>
  <c r="BV4" i="9"/>
  <c r="BV3" i="9"/>
  <c r="BV2" i="9"/>
  <c r="BT53" i="9"/>
  <c r="BT52" i="9"/>
  <c r="BT51" i="9"/>
  <c r="BT50" i="9"/>
  <c r="BT49" i="9"/>
  <c r="BT47" i="9"/>
  <c r="BT37" i="9"/>
  <c r="BT36" i="9"/>
  <c r="BT19" i="9"/>
  <c r="BT16" i="9"/>
  <c r="BT15" i="9"/>
  <c r="BT14" i="9"/>
  <c r="BT11" i="9"/>
  <c r="BT3" i="9"/>
  <c r="BT2" i="9"/>
  <c r="BR53" i="9"/>
  <c r="BR52" i="9"/>
  <c r="BR48" i="9"/>
  <c r="BR46" i="9"/>
  <c r="BR45" i="9"/>
  <c r="BR44" i="9"/>
  <c r="BR43" i="9"/>
  <c r="BR41" i="9"/>
  <c r="BR40" i="9"/>
  <c r="BR39" i="9"/>
  <c r="BR38" i="9"/>
  <c r="BR37" i="9"/>
  <c r="BR36" i="9"/>
  <c r="BR31" i="9"/>
  <c r="BR29" i="9"/>
  <c r="BR28" i="9"/>
  <c r="BR27" i="9"/>
  <c r="BR26" i="9"/>
  <c r="BR25" i="9"/>
  <c r="BR24" i="9"/>
  <c r="BR23" i="9"/>
  <c r="BR19" i="9"/>
  <c r="BR14" i="9"/>
  <c r="BR7" i="9"/>
  <c r="BP53" i="9"/>
  <c r="BP52" i="9"/>
  <c r="BP51" i="9"/>
  <c r="BP50" i="9"/>
  <c r="BP49" i="9"/>
  <c r="BP48" i="9"/>
  <c r="BP47" i="9"/>
  <c r="BP46" i="9"/>
  <c r="BP45" i="9"/>
  <c r="BP44" i="9"/>
  <c r="BP43" i="9"/>
  <c r="BP42" i="9"/>
  <c r="BP41" i="9"/>
  <c r="BP40" i="9"/>
  <c r="BP39" i="9"/>
  <c r="BP38" i="9"/>
  <c r="BP37" i="9"/>
  <c r="BP36" i="9"/>
  <c r="BP35" i="9"/>
  <c r="BP34" i="9"/>
  <c r="BP33" i="9"/>
  <c r="BP32" i="9"/>
  <c r="BP31" i="9"/>
  <c r="BP30" i="9"/>
  <c r="BP29" i="9"/>
  <c r="BP28" i="9"/>
  <c r="BP27" i="9"/>
  <c r="BP26" i="9"/>
  <c r="BP25" i="9"/>
  <c r="BP24" i="9"/>
  <c r="BP23" i="9"/>
  <c r="BP22" i="9"/>
  <c r="BP21" i="9"/>
  <c r="BP20" i="9"/>
  <c r="BP19" i="9"/>
  <c r="BP18" i="9"/>
  <c r="BP17" i="9"/>
  <c r="BP16" i="9"/>
  <c r="BP15" i="9"/>
  <c r="BP14" i="9"/>
  <c r="BP13" i="9"/>
  <c r="BP12" i="9"/>
  <c r="BP11" i="9"/>
  <c r="BP10" i="9"/>
  <c r="BN53" i="9"/>
  <c r="BN52" i="9"/>
  <c r="BN51" i="9"/>
  <c r="BN50" i="9"/>
  <c r="BN49" i="9"/>
  <c r="BN48" i="9"/>
  <c r="BN47" i="9"/>
  <c r="BN46" i="9"/>
  <c r="BN45" i="9"/>
  <c r="BN44" i="9"/>
  <c r="BN43" i="9"/>
  <c r="BN42" i="9"/>
  <c r="BN41" i="9"/>
  <c r="BN40" i="9"/>
  <c r="BN39" i="9"/>
  <c r="BN38" i="9"/>
  <c r="BN37" i="9"/>
  <c r="BN36" i="9"/>
  <c r="BN35" i="9"/>
  <c r="BN34" i="9"/>
  <c r="BN33" i="9"/>
  <c r="BN32" i="9"/>
  <c r="BN31" i="9"/>
  <c r="BN30" i="9"/>
  <c r="BN29" i="9"/>
  <c r="BN28" i="9"/>
  <c r="BN27" i="9"/>
  <c r="BN26" i="9"/>
  <c r="BN25" i="9"/>
  <c r="BN24" i="9"/>
  <c r="BN23" i="9"/>
  <c r="BN22" i="9"/>
  <c r="BN21" i="9"/>
  <c r="BN20" i="9"/>
  <c r="BN19" i="9"/>
  <c r="BN18" i="9"/>
  <c r="BN17" i="9"/>
  <c r="BN16" i="9"/>
  <c r="BN15" i="9"/>
  <c r="BN13" i="9"/>
  <c r="BN12" i="9"/>
  <c r="BN11" i="9"/>
  <c r="BN10" i="9"/>
  <c r="BN9" i="9"/>
  <c r="BN8" i="9"/>
  <c r="BN7" i="9"/>
  <c r="BN6" i="9"/>
  <c r="BN5" i="9"/>
  <c r="BN4" i="9"/>
  <c r="BN3" i="9"/>
  <c r="BN2" i="9"/>
  <c r="BL53" i="9"/>
  <c r="BL52" i="9"/>
  <c r="BL51" i="9"/>
  <c r="BL50" i="9"/>
  <c r="BL49" i="9"/>
  <c r="BL48" i="9"/>
  <c r="BL47" i="9"/>
  <c r="BL46" i="9"/>
  <c r="BL45" i="9"/>
  <c r="BL44" i="9"/>
  <c r="BL43" i="9"/>
  <c r="BL42" i="9"/>
  <c r="BL41" i="9"/>
  <c r="BL40" i="9"/>
  <c r="BL39" i="9"/>
  <c r="BL38" i="9"/>
  <c r="BL37" i="9"/>
  <c r="BL36" i="9"/>
  <c r="BL35" i="9"/>
  <c r="BL34" i="9"/>
  <c r="BL33" i="9"/>
  <c r="BL32" i="9"/>
  <c r="BL31" i="9"/>
  <c r="BL30" i="9"/>
  <c r="BL29" i="9"/>
  <c r="BL28" i="9"/>
  <c r="BL27" i="9"/>
  <c r="BL26" i="9"/>
  <c r="BL25" i="9"/>
  <c r="BL24" i="9"/>
  <c r="BL23" i="9"/>
  <c r="BL22" i="9"/>
  <c r="BL21" i="9"/>
  <c r="BL20" i="9"/>
  <c r="BL19" i="9"/>
  <c r="BL18" i="9"/>
  <c r="BL17" i="9"/>
  <c r="BL16" i="9"/>
  <c r="BL15" i="9"/>
  <c r="BL14" i="9"/>
  <c r="BL13" i="9"/>
  <c r="BL11" i="9"/>
  <c r="BL10" i="9"/>
  <c r="BL9" i="9"/>
  <c r="BL8" i="9"/>
  <c r="BL7" i="9"/>
  <c r="BL6" i="9"/>
  <c r="BL5" i="9"/>
  <c r="BL4" i="9"/>
  <c r="BL3" i="9"/>
  <c r="BL2" i="9"/>
  <c r="BH11" i="9"/>
  <c r="BF53" i="9"/>
  <c r="BF52" i="9"/>
  <c r="BF51" i="9"/>
  <c r="BF50" i="9"/>
  <c r="BF49" i="9"/>
  <c r="BF48" i="9"/>
  <c r="BF47" i="9"/>
  <c r="BF46" i="9"/>
  <c r="BF45" i="9"/>
  <c r="BF44" i="9"/>
  <c r="BF43" i="9"/>
  <c r="BF42" i="9"/>
  <c r="BF41" i="9"/>
  <c r="BF40" i="9"/>
  <c r="BF39" i="9"/>
  <c r="BF38" i="9"/>
  <c r="BF37" i="9"/>
  <c r="BF36" i="9"/>
  <c r="BF35" i="9"/>
  <c r="BF34" i="9"/>
  <c r="BF33" i="9"/>
  <c r="BF31" i="9"/>
  <c r="BF30" i="9"/>
  <c r="BF29" i="9"/>
  <c r="BF28" i="9"/>
  <c r="BF27" i="9"/>
  <c r="BF26" i="9"/>
  <c r="BF25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F4" i="9"/>
  <c r="BF3" i="9"/>
  <c r="BF2" i="9"/>
  <c r="BD53" i="9"/>
  <c r="BD52" i="9"/>
  <c r="BB53" i="9"/>
  <c r="BB52" i="9"/>
  <c r="BB51" i="9"/>
  <c r="BB50" i="9"/>
  <c r="BB49" i="9"/>
  <c r="BB48" i="9"/>
  <c r="BB47" i="9"/>
  <c r="BB46" i="9"/>
  <c r="BB45" i="9"/>
  <c r="BB44" i="9"/>
  <c r="BB43" i="9"/>
  <c r="BB42" i="9"/>
  <c r="BB41" i="9"/>
  <c r="BB40" i="9"/>
  <c r="BB39" i="9"/>
  <c r="BB38" i="9"/>
  <c r="BB37" i="9"/>
  <c r="BB36" i="9"/>
  <c r="BB35" i="9"/>
  <c r="BB34" i="9"/>
  <c r="BB33" i="9"/>
  <c r="BB32" i="9"/>
  <c r="BB31" i="9"/>
  <c r="BB30" i="9"/>
  <c r="BB29" i="9"/>
  <c r="BB28" i="9"/>
  <c r="BB27" i="9"/>
  <c r="BB26" i="9"/>
  <c r="BB25" i="9"/>
  <c r="BB24" i="9"/>
  <c r="BB23" i="9"/>
  <c r="BB22" i="9"/>
  <c r="BB21" i="9"/>
  <c r="BB20" i="9"/>
  <c r="BB19" i="9"/>
  <c r="BB18" i="9"/>
  <c r="BB17" i="9"/>
  <c r="BB16" i="9"/>
  <c r="BB15" i="9"/>
  <c r="BB14" i="9"/>
  <c r="BB13" i="9"/>
  <c r="BB12" i="9"/>
  <c r="BB10" i="9"/>
  <c r="BB9" i="9"/>
  <c r="BB8" i="9"/>
  <c r="BB7" i="9"/>
  <c r="BB6" i="9"/>
  <c r="BB5" i="9"/>
  <c r="BB4" i="9"/>
  <c r="BB3" i="9"/>
  <c r="BB2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39" i="9"/>
  <c r="AZ38" i="9"/>
  <c r="AZ37" i="9"/>
  <c r="AZ36" i="9"/>
  <c r="AZ35" i="9"/>
  <c r="AZ34" i="9"/>
  <c r="AZ33" i="9"/>
  <c r="AZ32" i="9"/>
  <c r="AZ31" i="9"/>
  <c r="AZ30" i="9"/>
  <c r="AZ29" i="9"/>
  <c r="AZ28" i="9"/>
  <c r="AZ27" i="9"/>
  <c r="AZ26" i="9"/>
  <c r="AZ25" i="9"/>
  <c r="AZ24" i="9"/>
  <c r="AZ23" i="9"/>
  <c r="AZ22" i="9"/>
  <c r="AZ21" i="9"/>
  <c r="AZ20" i="9"/>
  <c r="AZ19" i="9"/>
  <c r="AZ18" i="9"/>
  <c r="AZ16" i="9"/>
  <c r="AZ15" i="9"/>
  <c r="AZ14" i="9"/>
  <c r="AZ13" i="9"/>
  <c r="AZ12" i="9"/>
  <c r="AZ11" i="9"/>
  <c r="AZ10" i="9"/>
  <c r="AZ9" i="9"/>
  <c r="AZ8" i="9"/>
  <c r="AZ7" i="9"/>
  <c r="AZ6" i="9"/>
  <c r="AZ5" i="9"/>
  <c r="AZ4" i="9"/>
  <c r="AZ3" i="9"/>
  <c r="AZ2" i="9"/>
  <c r="AX53" i="9"/>
  <c r="AX52" i="9"/>
  <c r="AX51" i="9"/>
  <c r="AX50" i="9"/>
  <c r="AX49" i="9"/>
  <c r="AX48" i="9"/>
  <c r="AX47" i="9"/>
  <c r="AX46" i="9"/>
  <c r="AX45" i="9"/>
  <c r="AX44" i="9"/>
  <c r="AX43" i="9"/>
  <c r="AX42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X18" i="9"/>
  <c r="AX17" i="9"/>
  <c r="AX16" i="9"/>
  <c r="AX15" i="9"/>
  <c r="AX14" i="9"/>
  <c r="AX13" i="9"/>
  <c r="AX12" i="9"/>
  <c r="AX11" i="9"/>
  <c r="AX10" i="9"/>
  <c r="AX9" i="9"/>
  <c r="AX8" i="9"/>
  <c r="AX7" i="9"/>
  <c r="AX6" i="9"/>
  <c r="AX5" i="9"/>
  <c r="AX4" i="9"/>
  <c r="AX3" i="9"/>
  <c r="AX2" i="9"/>
  <c r="AV53" i="9"/>
  <c r="AV52" i="9"/>
  <c r="AV48" i="9"/>
  <c r="AV47" i="9"/>
  <c r="AV46" i="9"/>
  <c r="AV45" i="9"/>
  <c r="AV44" i="9"/>
  <c r="AV43" i="9"/>
  <c r="AV42" i="9"/>
  <c r="AV41" i="9"/>
  <c r="AV40" i="9"/>
  <c r="AV39" i="9"/>
  <c r="AV38" i="9"/>
  <c r="AV37" i="9"/>
  <c r="AV36" i="9"/>
  <c r="AV35" i="9"/>
  <c r="AV34" i="9"/>
  <c r="AV33" i="9"/>
  <c r="AV32" i="9"/>
  <c r="AV31" i="9"/>
  <c r="AV30" i="9"/>
  <c r="AV29" i="9"/>
  <c r="AV28" i="9"/>
  <c r="AV2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V6" i="9"/>
  <c r="AV5" i="9"/>
  <c r="AV4" i="9"/>
  <c r="AV3" i="9"/>
  <c r="AV2" i="9"/>
  <c r="AT53" i="9"/>
  <c r="AT52" i="9"/>
  <c r="AT51" i="9"/>
  <c r="AT50" i="9"/>
  <c r="AT49" i="9"/>
  <c r="AT48" i="9"/>
  <c r="AT47" i="9"/>
  <c r="AT46" i="9"/>
  <c r="AT45" i="9"/>
  <c r="AT44" i="9"/>
  <c r="AT42" i="9"/>
  <c r="AT41" i="9"/>
  <c r="AT40" i="9"/>
  <c r="AT39" i="9"/>
  <c r="AT38" i="9"/>
  <c r="AT37" i="9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T12" i="9"/>
  <c r="AT11" i="9"/>
  <c r="AT10" i="9"/>
  <c r="AT9" i="9"/>
  <c r="AT8" i="9"/>
  <c r="AT7" i="9"/>
  <c r="AT6" i="9"/>
  <c r="AT5" i="9"/>
  <c r="AT4" i="9"/>
  <c r="AT3" i="9"/>
  <c r="AT2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40" i="9"/>
  <c r="AR39" i="9"/>
  <c r="AR38" i="9"/>
  <c r="AR37" i="9"/>
  <c r="AR36" i="9"/>
  <c r="AR35" i="9"/>
  <c r="AR34" i="9"/>
  <c r="AR33" i="9"/>
  <c r="AR32" i="9"/>
  <c r="AR31" i="9"/>
  <c r="AR30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4" i="9"/>
  <c r="AR13" i="9"/>
  <c r="AR12" i="9"/>
  <c r="AR11" i="9"/>
  <c r="AR10" i="9"/>
  <c r="AR9" i="9"/>
  <c r="AR8" i="9"/>
  <c r="AR7" i="9"/>
  <c r="AR6" i="9"/>
  <c r="AR5" i="9"/>
  <c r="AR4" i="9"/>
  <c r="AR3" i="9"/>
  <c r="AR2" i="9"/>
  <c r="AP53" i="9"/>
  <c r="AP52" i="9"/>
  <c r="AP51" i="9"/>
  <c r="AP50" i="9"/>
  <c r="AP49" i="9"/>
  <c r="AP48" i="9"/>
  <c r="AP47" i="9"/>
  <c r="AP46" i="9"/>
  <c r="AP45" i="9"/>
  <c r="AP44" i="9"/>
  <c r="AP43" i="9"/>
  <c r="AP42" i="9"/>
  <c r="AP37" i="9"/>
  <c r="AP36" i="9"/>
  <c r="AP35" i="9"/>
  <c r="AP34" i="9"/>
  <c r="AP33" i="9"/>
  <c r="AP32" i="9"/>
  <c r="AP31" i="9"/>
  <c r="AP30" i="9"/>
  <c r="AP29" i="9"/>
  <c r="AP28" i="9"/>
  <c r="AP27" i="9"/>
  <c r="AP26" i="9"/>
  <c r="AP25" i="9"/>
  <c r="AP24" i="9"/>
  <c r="AP23" i="9"/>
  <c r="AP22" i="9"/>
  <c r="AP21" i="9"/>
  <c r="AP20" i="9"/>
  <c r="AP19" i="9"/>
  <c r="AP18" i="9"/>
  <c r="AP17" i="9"/>
  <c r="AP16" i="9"/>
  <c r="AP15" i="9"/>
  <c r="AP14" i="9"/>
  <c r="AP13" i="9"/>
  <c r="AP12" i="9"/>
  <c r="AP11" i="9"/>
  <c r="AP10" i="9"/>
  <c r="AP9" i="9"/>
  <c r="AP8" i="9"/>
  <c r="AP7" i="9"/>
  <c r="AP6" i="9"/>
  <c r="AP5" i="9"/>
  <c r="AP4" i="9"/>
  <c r="AP3" i="9"/>
  <c r="AP2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N13" i="9"/>
  <c r="AN12" i="9"/>
  <c r="AN11" i="9"/>
  <c r="AN10" i="9"/>
  <c r="AN9" i="9"/>
  <c r="AN8" i="9"/>
  <c r="AN7" i="9"/>
  <c r="AN6" i="9"/>
  <c r="AN5" i="9"/>
  <c r="AN4" i="9"/>
  <c r="AN3" i="9"/>
  <c r="AN2" i="9"/>
  <c r="AL53" i="9"/>
  <c r="AL52" i="9"/>
  <c r="AL51" i="9"/>
  <c r="AL50" i="9"/>
  <c r="AL49" i="9"/>
  <c r="AL48" i="9"/>
  <c r="AL45" i="9"/>
  <c r="AL44" i="9"/>
  <c r="AL43" i="9"/>
  <c r="AL40" i="9"/>
  <c r="AL39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4" i="9"/>
  <c r="AL12" i="9"/>
  <c r="AL11" i="9"/>
  <c r="AL10" i="9"/>
  <c r="AL7" i="9"/>
  <c r="AL6" i="9"/>
  <c r="AL4" i="9"/>
  <c r="AL2" i="9"/>
  <c r="AJ53" i="9"/>
  <c r="AJ52" i="9"/>
  <c r="AJ51" i="9"/>
  <c r="AJ50" i="9"/>
  <c r="AJ49" i="9"/>
  <c r="AJ48" i="9"/>
  <c r="AJ47" i="9"/>
  <c r="AJ42" i="9"/>
  <c r="AJ41" i="9"/>
  <c r="AJ40" i="9"/>
  <c r="AJ39" i="9"/>
  <c r="AJ38" i="9"/>
  <c r="AJ37" i="9"/>
  <c r="AJ36" i="9"/>
  <c r="AJ35" i="9"/>
  <c r="AJ34" i="9"/>
  <c r="AJ33" i="9"/>
  <c r="AJ32" i="9"/>
  <c r="AJ31" i="9"/>
  <c r="AJ30" i="9"/>
  <c r="AJ29" i="9"/>
  <c r="AJ28" i="9"/>
  <c r="AJ27" i="9"/>
  <c r="AJ26" i="9"/>
  <c r="AJ25" i="9"/>
  <c r="AJ24" i="9"/>
  <c r="AJ23" i="9"/>
  <c r="AJ22" i="9"/>
  <c r="AJ21" i="9"/>
  <c r="AJ20" i="9"/>
  <c r="AJ19" i="9"/>
  <c r="AJ18" i="9"/>
  <c r="AJ17" i="9"/>
  <c r="AJ16" i="9"/>
  <c r="AJ15" i="9"/>
  <c r="AJ14" i="9"/>
  <c r="AJ13" i="9"/>
  <c r="AJ12" i="9"/>
  <c r="AJ11" i="9"/>
  <c r="AJ10" i="9"/>
  <c r="AJ9" i="9"/>
  <c r="AJ8" i="9"/>
  <c r="AJ7" i="9"/>
  <c r="AJ6" i="9"/>
  <c r="AJ5" i="9"/>
  <c r="AJ4" i="9"/>
  <c r="AJ3" i="9"/>
  <c r="AJ2" i="9"/>
  <c r="AH53" i="9"/>
  <c r="AH52" i="9"/>
  <c r="AH51" i="9"/>
  <c r="AH50" i="9"/>
  <c r="AH49" i="9"/>
  <c r="AH48" i="9"/>
  <c r="AH47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3" i="9"/>
  <c r="AH2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40" i="9"/>
  <c r="AF39" i="9"/>
  <c r="AF38" i="9"/>
  <c r="AF37" i="9"/>
  <c r="AF36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3" i="9"/>
  <c r="AF2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AB43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Z5" i="9"/>
  <c r="Z4" i="9"/>
  <c r="Z3" i="9"/>
  <c r="Z2" i="9"/>
  <c r="X41" i="9"/>
  <c r="X40" i="9"/>
  <c r="X39" i="9"/>
  <c r="X38" i="9"/>
  <c r="X35" i="9"/>
  <c r="X34" i="9"/>
  <c r="X33" i="9"/>
  <c r="X32" i="9"/>
  <c r="T43" i="9"/>
  <c r="R55" i="1"/>
  <c r="EP5" i="9"/>
  <c r="ED5" i="9"/>
  <c r="DX21" i="9"/>
  <c r="DR13" i="9"/>
  <c r="DP25" i="9"/>
  <c r="DJ49" i="9"/>
  <c r="DJ17" i="9"/>
  <c r="DH21" i="9"/>
  <c r="DF37" i="9"/>
  <c r="DD29" i="9"/>
  <c r="CV33" i="9"/>
  <c r="CN13" i="9"/>
  <c r="CL53" i="9"/>
  <c r="CJ49" i="9"/>
  <c r="CF49" i="9"/>
  <c r="CD45" i="9"/>
  <c r="CD41" i="9"/>
  <c r="CD17" i="9"/>
  <c r="CB53" i="9"/>
  <c r="BZ21" i="9"/>
  <c r="BZ9" i="9"/>
  <c r="BX25" i="9"/>
  <c r="BT45" i="9"/>
  <c r="BT41" i="9"/>
  <c r="BT33" i="9"/>
  <c r="BT29" i="9"/>
  <c r="BT25" i="9"/>
  <c r="BT21" i="9"/>
  <c r="BT17" i="9"/>
  <c r="BT13" i="9"/>
  <c r="BT9" i="9"/>
  <c r="BT5" i="9"/>
  <c r="BR49" i="9"/>
  <c r="BR33" i="9"/>
  <c r="BR21" i="9"/>
  <c r="BR17" i="9"/>
  <c r="BR13" i="9"/>
  <c r="BR9" i="9"/>
  <c r="BR5" i="9"/>
  <c r="BP9" i="9"/>
  <c r="BP5" i="9"/>
  <c r="BJ53" i="9"/>
  <c r="BJ49" i="9"/>
  <c r="BJ45" i="9"/>
  <c r="BJ41" i="9"/>
  <c r="BJ37" i="9"/>
  <c r="BJ33" i="9"/>
  <c r="BJ29" i="9"/>
  <c r="BJ25" i="9"/>
  <c r="BJ21" i="9"/>
  <c r="BJ17" i="9"/>
  <c r="BJ13" i="9"/>
  <c r="BJ9" i="9"/>
  <c r="BJ5" i="9"/>
  <c r="BH53" i="9"/>
  <c r="BH49" i="9"/>
  <c r="BH45" i="9"/>
  <c r="BH41" i="9"/>
  <c r="BH37" i="9"/>
  <c r="BH33" i="9"/>
  <c r="BH29" i="9"/>
  <c r="BH25" i="9"/>
  <c r="BH21" i="9"/>
  <c r="BH17" i="9"/>
  <c r="BH13" i="9"/>
  <c r="BH9" i="9"/>
  <c r="BH5" i="9"/>
  <c r="BD49" i="9"/>
  <c r="BD45" i="9"/>
  <c r="BD41" i="9"/>
  <c r="BD37" i="9"/>
  <c r="BD33" i="9"/>
  <c r="BD29" i="9"/>
  <c r="BD25" i="9"/>
  <c r="BD21" i="9"/>
  <c r="BD17" i="9"/>
  <c r="BD13" i="9"/>
  <c r="BD9" i="9"/>
  <c r="BD5" i="9"/>
  <c r="AZ17" i="9"/>
  <c r="AX41" i="9"/>
  <c r="AV49" i="9"/>
  <c r="AP41" i="9"/>
  <c r="AN33" i="9"/>
  <c r="AL41" i="9"/>
  <c r="AL13" i="9"/>
  <c r="AL9" i="9"/>
  <c r="AL5" i="9"/>
  <c r="AJ45" i="9"/>
  <c r="AH45" i="9"/>
  <c r="AF33" i="9"/>
  <c r="AD33" i="9"/>
  <c r="DX50" i="9"/>
  <c r="DX30" i="9"/>
  <c r="DB10" i="9"/>
  <c r="CV34" i="9"/>
  <c r="CN42" i="9"/>
  <c r="CJ50" i="9"/>
  <c r="BZ6" i="9"/>
  <c r="BT42" i="9"/>
  <c r="BT30" i="9"/>
  <c r="BT18" i="9"/>
  <c r="BR50" i="9"/>
  <c r="BR34" i="9"/>
  <c r="BR22" i="9"/>
  <c r="BR6" i="9"/>
  <c r="BP6" i="9"/>
  <c r="BJ42" i="9"/>
  <c r="BJ30" i="9"/>
  <c r="BJ18" i="9"/>
  <c r="BJ6" i="9"/>
  <c r="BH46" i="9"/>
  <c r="BH30" i="9"/>
  <c r="BH18" i="9"/>
  <c r="BH6" i="9"/>
  <c r="BD46" i="9"/>
  <c r="BD34" i="9"/>
  <c r="BD22" i="9"/>
  <c r="EL28" i="9"/>
  <c r="EF12" i="9"/>
  <c r="DV12" i="9"/>
  <c r="DT52" i="9"/>
  <c r="DL12" i="9"/>
  <c r="DJ28" i="9"/>
  <c r="DJ20" i="9"/>
  <c r="DH28" i="9"/>
  <c r="CZ16" i="9"/>
  <c r="CX16" i="9"/>
  <c r="CV32" i="9"/>
  <c r="CP32" i="9"/>
  <c r="CL16" i="9"/>
  <c r="CD48" i="9"/>
  <c r="CD16" i="9"/>
  <c r="CD12" i="9"/>
  <c r="CD4" i="9"/>
  <c r="BZ28" i="9"/>
  <c r="BZ8" i="9"/>
  <c r="BZ4" i="9"/>
  <c r="BT48" i="9"/>
  <c r="BT44" i="9"/>
  <c r="BT40" i="9"/>
  <c r="BT32" i="9"/>
  <c r="BT28" i="9"/>
  <c r="BT24" i="9"/>
  <c r="BT20" i="9"/>
  <c r="BT12" i="9"/>
  <c r="BT8" i="9"/>
  <c r="BT4" i="9"/>
  <c r="BR32" i="9"/>
  <c r="BR20" i="9"/>
  <c r="BR16" i="9"/>
  <c r="BR12" i="9"/>
  <c r="BR8" i="9"/>
  <c r="BR4" i="9"/>
  <c r="BP8" i="9"/>
  <c r="BP4" i="9"/>
  <c r="BL12" i="9"/>
  <c r="BJ52" i="9"/>
  <c r="BJ48" i="9"/>
  <c r="BJ44" i="9"/>
  <c r="BJ40" i="9"/>
  <c r="BJ36" i="9"/>
  <c r="BJ32" i="9"/>
  <c r="BJ28" i="9"/>
  <c r="BJ24" i="9"/>
  <c r="BJ20" i="9"/>
  <c r="BJ16" i="9"/>
  <c r="BJ12" i="9"/>
  <c r="BJ8" i="9"/>
  <c r="BJ4" i="9"/>
  <c r="BH52" i="9"/>
  <c r="BH48" i="9"/>
  <c r="BH44" i="9"/>
  <c r="BH40" i="9"/>
  <c r="BH36" i="9"/>
  <c r="BH32" i="9"/>
  <c r="BH28" i="9"/>
  <c r="BH24" i="9"/>
  <c r="BH20" i="9"/>
  <c r="BH16" i="9"/>
  <c r="BH12" i="9"/>
  <c r="BH8" i="9"/>
  <c r="BH4" i="9"/>
  <c r="BF32" i="9"/>
  <c r="BD48" i="9"/>
  <c r="BD44" i="9"/>
  <c r="BD40" i="9"/>
  <c r="BD36" i="9"/>
  <c r="BD32" i="9"/>
  <c r="BD28" i="9"/>
  <c r="BD24" i="9"/>
  <c r="BD20" i="9"/>
  <c r="BD16" i="9"/>
  <c r="BD12" i="9"/>
  <c r="BD8" i="9"/>
  <c r="BD4" i="9"/>
  <c r="AX40" i="9"/>
  <c r="AR16" i="9"/>
  <c r="AP40" i="9"/>
  <c r="AN32" i="9"/>
  <c r="AL16" i="9"/>
  <c r="AL8" i="9"/>
  <c r="AJ44" i="9"/>
  <c r="AH44" i="9"/>
  <c r="AF32" i="9"/>
  <c r="AD32" i="9"/>
  <c r="AF35" i="9"/>
  <c r="AD35" i="9"/>
  <c r="EH46" i="9"/>
  <c r="DZ50" i="9"/>
  <c r="DJ14" i="9"/>
  <c r="CD10" i="9"/>
  <c r="BZ50" i="9"/>
  <c r="BT38" i="9"/>
  <c r="BT26" i="9"/>
  <c r="BT6" i="9"/>
  <c r="BR42" i="9"/>
  <c r="BR10" i="9"/>
  <c r="BP2" i="9"/>
  <c r="BJ46" i="9"/>
  <c r="BJ34" i="9"/>
  <c r="BJ22" i="9"/>
  <c r="BJ10" i="9"/>
  <c r="BH50" i="9"/>
  <c r="BH38" i="9"/>
  <c r="BH22" i="9"/>
  <c r="BH10" i="9"/>
  <c r="BF14" i="9"/>
  <c r="BD42" i="9"/>
  <c r="BD30" i="9"/>
  <c r="BD18" i="9"/>
  <c r="ET11" i="9"/>
  <c r="ER39" i="9"/>
  <c r="EN47" i="9"/>
  <c r="EJ7" i="9"/>
  <c r="DZ51" i="9"/>
  <c r="DZ11" i="9"/>
  <c r="DX23" i="9"/>
  <c r="DV11" i="9"/>
  <c r="DP31" i="9"/>
  <c r="DP27" i="9"/>
  <c r="DN51" i="9"/>
  <c r="DJ23" i="9"/>
  <c r="DH15" i="9"/>
  <c r="CZ51" i="9"/>
  <c r="CZ47" i="9"/>
  <c r="CZ27" i="9"/>
  <c r="CZ15" i="9"/>
  <c r="CX15" i="9"/>
  <c r="CV47" i="9"/>
  <c r="CV35" i="9"/>
  <c r="CT47" i="9"/>
  <c r="CR51" i="9"/>
  <c r="CN15" i="9"/>
  <c r="CL15" i="9"/>
  <c r="CJ51" i="9"/>
  <c r="CH23" i="9"/>
  <c r="CF51" i="9"/>
  <c r="BZ47" i="9"/>
  <c r="BZ39" i="9"/>
  <c r="BZ11" i="9"/>
  <c r="BZ3" i="9"/>
  <c r="BX31" i="9"/>
  <c r="BX27" i="9"/>
  <c r="BV43" i="9"/>
  <c r="BT43" i="9"/>
  <c r="BT39" i="9"/>
  <c r="BT35" i="9"/>
  <c r="BT31" i="9"/>
  <c r="BT27" i="9"/>
  <c r="BT23" i="9"/>
  <c r="BT7" i="9"/>
  <c r="BR51" i="9"/>
  <c r="BR47" i="9"/>
  <c r="BR35" i="9"/>
  <c r="BR15" i="9"/>
  <c r="BR11" i="9"/>
  <c r="BR3" i="9"/>
  <c r="BP7" i="9"/>
  <c r="BP3" i="9"/>
  <c r="BJ51" i="9"/>
  <c r="BJ47" i="9"/>
  <c r="BJ43" i="9"/>
  <c r="BJ39" i="9"/>
  <c r="BJ35" i="9"/>
  <c r="BJ31" i="9"/>
  <c r="BJ27" i="9"/>
  <c r="BJ23" i="9"/>
  <c r="BJ19" i="9"/>
  <c r="BJ15" i="9"/>
  <c r="BJ11" i="9"/>
  <c r="BJ7" i="9"/>
  <c r="BJ3" i="9"/>
  <c r="BH51" i="9"/>
  <c r="BH47" i="9"/>
  <c r="BH43" i="9"/>
  <c r="BH39" i="9"/>
  <c r="BH35" i="9"/>
  <c r="BH31" i="9"/>
  <c r="BH27" i="9"/>
  <c r="BH23" i="9"/>
  <c r="BH19" i="9"/>
  <c r="BH15" i="9"/>
  <c r="BH7" i="9"/>
  <c r="BH3" i="9"/>
  <c r="BD51" i="9"/>
  <c r="BD47" i="9"/>
  <c r="BD43" i="9"/>
  <c r="BD39" i="9"/>
  <c r="BD35" i="9"/>
  <c r="BD31" i="9"/>
  <c r="BD27" i="9"/>
  <c r="BD23" i="9"/>
  <c r="BD19" i="9"/>
  <c r="BD15" i="9"/>
  <c r="BD11" i="9"/>
  <c r="BD7" i="9"/>
  <c r="BD3" i="9"/>
  <c r="BB11" i="9"/>
  <c r="AX39" i="9"/>
  <c r="AV51" i="9"/>
  <c r="AT43" i="9"/>
  <c r="AR15" i="9"/>
  <c r="AP39" i="9"/>
  <c r="AN35" i="9"/>
  <c r="AL47" i="9"/>
  <c r="AL15" i="9"/>
  <c r="AL3" i="9"/>
  <c r="AJ43" i="9"/>
  <c r="EF10" i="9"/>
  <c r="EB30" i="9"/>
  <c r="DX26" i="9"/>
  <c r="DV10" i="9"/>
  <c r="DH18" i="9"/>
  <c r="CF50" i="9"/>
  <c r="CD2" i="9"/>
  <c r="BZ38" i="9"/>
  <c r="BT46" i="9"/>
  <c r="BT34" i="9"/>
  <c r="BT22" i="9"/>
  <c r="BT10" i="9"/>
  <c r="BR30" i="9"/>
  <c r="BR18" i="9"/>
  <c r="BR2" i="9"/>
  <c r="BN14" i="9"/>
  <c r="BJ50" i="9"/>
  <c r="BJ38" i="9"/>
  <c r="BJ26" i="9"/>
  <c r="BJ14" i="9"/>
  <c r="BJ2" i="9"/>
  <c r="BH42" i="9"/>
  <c r="BH34" i="9"/>
  <c r="BH26" i="9"/>
  <c r="BH14" i="9"/>
  <c r="BH2" i="9"/>
  <c r="BD50" i="9"/>
  <c r="BD38" i="9"/>
  <c r="BD26" i="9"/>
  <c r="BD14" i="9"/>
  <c r="AF34" i="9"/>
  <c r="AD34" i="9"/>
  <c r="AP38" i="9"/>
  <c r="AL42" i="9"/>
  <c r="AH46" i="9"/>
  <c r="BD10" i="9"/>
  <c r="AV50" i="9"/>
  <c r="AN34" i="9"/>
  <c r="AL38" i="9"/>
  <c r="AX38" i="9"/>
  <c r="AL46" i="9"/>
  <c r="BD2" i="9"/>
  <c r="BD6" i="9"/>
  <c r="AJ46" i="9"/>
  <c r="AB53" i="9"/>
  <c r="AB49" i="9"/>
  <c r="AB45" i="9"/>
  <c r="AB41" i="9"/>
  <c r="AB37" i="9"/>
  <c r="AB33" i="9"/>
  <c r="AB29" i="9"/>
  <c r="AB25" i="9"/>
  <c r="AB21" i="9"/>
  <c r="AB17" i="9"/>
  <c r="AB13" i="9"/>
  <c r="AB9" i="9"/>
  <c r="AB5" i="9"/>
  <c r="Z33" i="9"/>
  <c r="X53" i="9"/>
  <c r="X49" i="9"/>
  <c r="X45" i="9"/>
  <c r="X37" i="9"/>
  <c r="X29" i="9"/>
  <c r="X25" i="9"/>
  <c r="X21" i="9"/>
  <c r="X17" i="9"/>
  <c r="X13" i="9"/>
  <c r="X9" i="9"/>
  <c r="X5" i="9"/>
  <c r="V53" i="9"/>
  <c r="V49" i="9"/>
  <c r="V45" i="9"/>
  <c r="V41" i="9"/>
  <c r="V37" i="9"/>
  <c r="V33" i="9"/>
  <c r="V29" i="9"/>
  <c r="V25" i="9"/>
  <c r="V21" i="9"/>
  <c r="V17" i="9"/>
  <c r="V13" i="9"/>
  <c r="V9" i="9"/>
  <c r="V5" i="9"/>
  <c r="T53" i="9"/>
  <c r="T49" i="9"/>
  <c r="T45" i="9"/>
  <c r="T41" i="9"/>
  <c r="T37" i="9"/>
  <c r="T33" i="9"/>
  <c r="T29" i="9"/>
  <c r="T25" i="9"/>
  <c r="T21" i="9"/>
  <c r="T17" i="9"/>
  <c r="T13" i="9"/>
  <c r="T9" i="9"/>
  <c r="T5" i="9"/>
  <c r="T3" i="9"/>
  <c r="AB46" i="9"/>
  <c r="AB34" i="9"/>
  <c r="AB26" i="9"/>
  <c r="AB14" i="9"/>
  <c r="AB6" i="9"/>
  <c r="Z34" i="9"/>
  <c r="X42" i="9"/>
  <c r="X30" i="9"/>
  <c r="X18" i="9"/>
  <c r="X6" i="9"/>
  <c r="V46" i="9"/>
  <c r="V34" i="9"/>
  <c r="V22" i="9"/>
  <c r="V10" i="9"/>
  <c r="T50" i="9"/>
  <c r="T38" i="9"/>
  <c r="T26" i="9"/>
  <c r="T14" i="9"/>
  <c r="T2" i="9"/>
  <c r="AB52" i="9"/>
  <c r="AB48" i="9"/>
  <c r="AB44" i="9"/>
  <c r="AB40" i="9"/>
  <c r="AB36" i="9"/>
  <c r="AB32" i="9"/>
  <c r="AB28" i="9"/>
  <c r="AB24" i="9"/>
  <c r="AB20" i="9"/>
  <c r="AB16" i="9"/>
  <c r="AB12" i="9"/>
  <c r="AB8" i="9"/>
  <c r="AB4" i="9"/>
  <c r="Z32" i="9"/>
  <c r="X52" i="9"/>
  <c r="X48" i="9"/>
  <c r="X44" i="9"/>
  <c r="X36" i="9"/>
  <c r="X28" i="9"/>
  <c r="X24" i="9"/>
  <c r="X20" i="9"/>
  <c r="X16" i="9"/>
  <c r="X12" i="9"/>
  <c r="X8" i="9"/>
  <c r="X4" i="9"/>
  <c r="V52" i="9"/>
  <c r="V48" i="9"/>
  <c r="V44" i="9"/>
  <c r="V40" i="9"/>
  <c r="V36" i="9"/>
  <c r="V32" i="9"/>
  <c r="V28" i="9"/>
  <c r="V24" i="9"/>
  <c r="V20" i="9"/>
  <c r="V16" i="9"/>
  <c r="V12" i="9"/>
  <c r="V8" i="9"/>
  <c r="V4" i="9"/>
  <c r="T52" i="9"/>
  <c r="T48" i="9"/>
  <c r="T44" i="9"/>
  <c r="T40" i="9"/>
  <c r="T36" i="9"/>
  <c r="T32" i="9"/>
  <c r="T28" i="9"/>
  <c r="T24" i="9"/>
  <c r="T20" i="9"/>
  <c r="T16" i="9"/>
  <c r="T12" i="9"/>
  <c r="T8" i="9"/>
  <c r="T4" i="9"/>
  <c r="T7" i="9"/>
  <c r="AB50" i="9"/>
  <c r="AB38" i="9"/>
  <c r="AB30" i="9"/>
  <c r="AB22" i="9"/>
  <c r="AB10" i="9"/>
  <c r="X46" i="9"/>
  <c r="X22" i="9"/>
  <c r="X10" i="9"/>
  <c r="V50" i="9"/>
  <c r="V38" i="9"/>
  <c r="V26" i="9"/>
  <c r="V14" i="9"/>
  <c r="V2" i="9"/>
  <c r="T42" i="9"/>
  <c r="T34" i="9"/>
  <c r="T22" i="9"/>
  <c r="T10" i="9"/>
  <c r="AB51" i="9"/>
  <c r="AB47" i="9"/>
  <c r="AB39" i="9"/>
  <c r="AB35" i="9"/>
  <c r="AB31" i="9"/>
  <c r="AB27" i="9"/>
  <c r="AB23" i="9"/>
  <c r="AB19" i="9"/>
  <c r="AB15" i="9"/>
  <c r="AB11" i="9"/>
  <c r="AB7" i="9"/>
  <c r="AB3" i="9"/>
  <c r="Z35" i="9"/>
  <c r="X51" i="9"/>
  <c r="X47" i="9"/>
  <c r="X43" i="9"/>
  <c r="X31" i="9"/>
  <c r="X27" i="9"/>
  <c r="X23" i="9"/>
  <c r="X19" i="9"/>
  <c r="X15" i="9"/>
  <c r="X11" i="9"/>
  <c r="X7" i="9"/>
  <c r="X3" i="9"/>
  <c r="V51" i="9"/>
  <c r="V47" i="9"/>
  <c r="V43" i="9"/>
  <c r="V39" i="9"/>
  <c r="V35" i="9"/>
  <c r="V31" i="9"/>
  <c r="V27" i="9"/>
  <c r="V23" i="9"/>
  <c r="V19" i="9"/>
  <c r="V15" i="9"/>
  <c r="V11" i="9"/>
  <c r="V7" i="9"/>
  <c r="V3" i="9"/>
  <c r="T51" i="9"/>
  <c r="T47" i="9"/>
  <c r="T39" i="9"/>
  <c r="T35" i="9"/>
  <c r="T31" i="9"/>
  <c r="T27" i="9"/>
  <c r="T23" i="9"/>
  <c r="T19" i="9"/>
  <c r="T15" i="9"/>
  <c r="T11" i="9"/>
  <c r="AB42" i="9"/>
  <c r="AB18" i="9"/>
  <c r="AB2" i="9"/>
  <c r="X50" i="9"/>
  <c r="X26" i="9"/>
  <c r="X14" i="9"/>
  <c r="X2" i="9"/>
  <c r="V42" i="9"/>
  <c r="V30" i="9"/>
  <c r="V18" i="9"/>
  <c r="V6" i="9"/>
  <c r="T46" i="9"/>
  <c r="T30" i="9"/>
  <c r="T18" i="9"/>
  <c r="T6" i="9"/>
  <c r="R3" i="9"/>
  <c r="R7" i="9"/>
  <c r="R11" i="9"/>
  <c r="R15" i="9"/>
  <c r="R19" i="9"/>
  <c r="R23" i="9"/>
  <c r="R27" i="9"/>
  <c r="R31" i="9"/>
  <c r="R35" i="9"/>
  <c r="R39" i="9"/>
  <c r="R43" i="9"/>
  <c r="R47" i="9"/>
  <c r="R51" i="9"/>
  <c r="R44" i="9"/>
  <c r="R5" i="9"/>
  <c r="R21" i="9"/>
  <c r="R29" i="9"/>
  <c r="R37" i="9"/>
  <c r="R45" i="9"/>
  <c r="R53" i="9"/>
  <c r="R10" i="9"/>
  <c r="R22" i="9"/>
  <c r="R34" i="9"/>
  <c r="R42" i="9"/>
  <c r="R50" i="9"/>
  <c r="R4" i="9"/>
  <c r="R8" i="9"/>
  <c r="R12" i="9"/>
  <c r="R16" i="9"/>
  <c r="R20" i="9"/>
  <c r="R24" i="9"/>
  <c r="R28" i="9"/>
  <c r="R32" i="9"/>
  <c r="R36" i="9"/>
  <c r="R40" i="9"/>
  <c r="R48" i="9"/>
  <c r="R52" i="9"/>
  <c r="R9" i="9"/>
  <c r="R13" i="9"/>
  <c r="R17" i="9"/>
  <c r="R25" i="9"/>
  <c r="R33" i="9"/>
  <c r="R41" i="9"/>
  <c r="R49" i="9"/>
  <c r="R6" i="9"/>
  <c r="R14" i="9"/>
  <c r="R18" i="9"/>
  <c r="R26" i="9"/>
  <c r="R30" i="9"/>
  <c r="R38" i="9"/>
  <c r="R46" i="9"/>
  <c r="R2" i="9"/>
  <c r="R46" i="12" l="1"/>
  <c r="R38" i="12"/>
  <c r="R30" i="12"/>
  <c r="R26" i="12"/>
  <c r="R18" i="12"/>
  <c r="R14" i="12"/>
  <c r="R6" i="12"/>
  <c r="R49" i="12"/>
  <c r="R41" i="12"/>
  <c r="R25" i="12"/>
  <c r="R17" i="12"/>
  <c r="R13" i="12"/>
  <c r="R9" i="12"/>
  <c r="R52" i="12"/>
  <c r="R48" i="12"/>
  <c r="R40" i="12"/>
  <c r="R36" i="12"/>
  <c r="R28" i="12"/>
  <c r="R24" i="12"/>
  <c r="R20" i="12"/>
  <c r="R16" i="12"/>
  <c r="R12" i="12"/>
  <c r="R8" i="12"/>
  <c r="R4" i="12"/>
  <c r="R50" i="12"/>
  <c r="R42" i="12"/>
  <c r="R22" i="12"/>
  <c r="R10" i="12"/>
  <c r="R53" i="12"/>
  <c r="R45" i="12"/>
  <c r="R37" i="12"/>
  <c r="R29" i="12"/>
  <c r="R21" i="12"/>
  <c r="R5" i="12"/>
  <c r="R44" i="12"/>
  <c r="R51" i="12"/>
  <c r="R47" i="12"/>
  <c r="R43" i="12"/>
  <c r="R39" i="12"/>
  <c r="R31" i="12"/>
  <c r="R27" i="12"/>
  <c r="R23" i="12"/>
  <c r="R19" i="12"/>
  <c r="R15" i="12"/>
  <c r="R11" i="12"/>
  <c r="R7" i="12"/>
  <c r="R3" i="12"/>
  <c r="R2" i="12"/>
  <c r="R35" i="12"/>
  <c r="R34" i="12"/>
  <c r="R33" i="12"/>
  <c r="R32" i="12"/>
  <c r="ET53" i="1"/>
  <c r="ET52" i="1"/>
  <c r="ET51" i="1"/>
  <c r="ET50" i="1"/>
  <c r="ET49" i="1"/>
  <c r="ET48" i="1"/>
  <c r="ET47" i="1"/>
  <c r="ET46" i="1"/>
  <c r="ET45" i="1"/>
  <c r="ET44" i="1"/>
  <c r="ET43" i="1"/>
  <c r="ET42" i="1"/>
  <c r="ET41" i="1"/>
  <c r="ET40" i="1"/>
  <c r="ET39" i="1"/>
  <c r="ET38" i="1"/>
  <c r="ET37" i="1"/>
  <c r="ET36" i="1"/>
  <c r="ET35" i="1"/>
  <c r="ET34" i="1"/>
  <c r="ET33" i="1"/>
  <c r="ET32" i="1"/>
  <c r="ET31" i="1"/>
  <c r="ET30" i="1"/>
  <c r="ET29" i="1"/>
  <c r="ET28" i="1"/>
  <c r="ET27" i="1"/>
  <c r="ET26" i="1"/>
  <c r="ET25" i="1"/>
  <c r="ET24" i="1"/>
  <c r="ET23" i="1"/>
  <c r="ET22" i="1"/>
  <c r="ET21" i="1"/>
  <c r="ET20" i="1"/>
  <c r="ET19" i="1"/>
  <c r="ET18" i="1"/>
  <c r="ET17" i="1"/>
  <c r="ET16" i="1"/>
  <c r="ET15" i="1"/>
  <c r="ET14" i="1"/>
  <c r="ET13" i="1"/>
  <c r="ET12" i="1"/>
  <c r="ET10" i="1"/>
  <c r="ET9" i="1"/>
  <c r="ET8" i="1"/>
  <c r="ET7" i="1"/>
  <c r="ET6" i="1"/>
  <c r="ET5" i="1"/>
  <c r="ET4" i="1"/>
  <c r="ET3" i="1"/>
  <c r="ET2" i="1"/>
  <c r="ER53" i="1"/>
  <c r="ER52" i="1"/>
  <c r="ER51" i="1"/>
  <c r="ER50" i="1"/>
  <c r="ER49" i="1"/>
  <c r="ER48" i="1"/>
  <c r="ER47" i="1"/>
  <c r="ER46" i="1"/>
  <c r="ER45" i="1"/>
  <c r="ER44" i="1"/>
  <c r="ER43" i="1"/>
  <c r="ER42" i="1"/>
  <c r="ER41" i="1"/>
  <c r="ER40" i="1"/>
  <c r="ER38" i="1"/>
  <c r="ER37" i="1"/>
  <c r="ER36" i="1"/>
  <c r="ER35" i="1"/>
  <c r="ER34" i="1"/>
  <c r="ER33" i="1"/>
  <c r="ER32" i="1"/>
  <c r="ER31" i="1"/>
  <c r="ER30" i="1"/>
  <c r="ER29" i="1"/>
  <c r="ER28" i="1"/>
  <c r="ER27" i="1"/>
  <c r="ER26" i="1"/>
  <c r="ER25" i="1"/>
  <c r="ER24" i="1"/>
  <c r="ER23" i="1"/>
  <c r="ER22" i="1"/>
  <c r="ER21" i="1"/>
  <c r="ER20" i="1"/>
  <c r="ER19" i="1"/>
  <c r="ER18" i="1"/>
  <c r="ER17" i="1"/>
  <c r="ER16" i="1"/>
  <c r="ER15" i="1"/>
  <c r="ER14" i="1"/>
  <c r="ER13" i="1"/>
  <c r="ER12" i="1"/>
  <c r="ER11" i="1"/>
  <c r="ER10" i="1"/>
  <c r="ER9" i="1"/>
  <c r="ER8" i="1"/>
  <c r="ER7" i="1"/>
  <c r="ER6" i="1"/>
  <c r="ER5" i="1"/>
  <c r="ER4" i="1"/>
  <c r="ER3" i="1"/>
  <c r="ER2" i="1"/>
  <c r="EP53" i="1"/>
  <c r="EP52" i="1"/>
  <c r="EP51" i="1"/>
  <c r="EP50" i="1"/>
  <c r="EP49" i="1"/>
  <c r="EP48" i="1"/>
  <c r="EP47" i="1"/>
  <c r="EP46" i="1"/>
  <c r="EP45" i="1"/>
  <c r="EP44" i="1"/>
  <c r="EP43" i="1"/>
  <c r="EP42" i="1"/>
  <c r="EP41" i="1"/>
  <c r="EP40" i="1"/>
  <c r="EP39" i="1"/>
  <c r="EP38" i="1"/>
  <c r="EP37" i="1"/>
  <c r="EP36" i="1"/>
  <c r="EP35" i="1"/>
  <c r="EP34" i="1"/>
  <c r="EP33" i="1"/>
  <c r="EP32" i="1"/>
  <c r="EP31" i="1"/>
  <c r="EP30" i="1"/>
  <c r="EP29" i="1"/>
  <c r="EP28" i="1"/>
  <c r="EP27" i="1"/>
  <c r="EP26" i="1"/>
  <c r="EP25" i="1"/>
  <c r="EP24" i="1"/>
  <c r="EP23" i="1"/>
  <c r="EP22" i="1"/>
  <c r="EP21" i="1"/>
  <c r="EP20" i="1"/>
  <c r="EP19" i="1"/>
  <c r="EP18" i="1"/>
  <c r="EP17" i="1"/>
  <c r="EP16" i="1"/>
  <c r="EP15" i="1"/>
  <c r="EP14" i="1"/>
  <c r="EP13" i="1"/>
  <c r="EP12" i="1"/>
  <c r="EP11" i="1"/>
  <c r="EP10" i="1"/>
  <c r="EP9" i="1"/>
  <c r="EP8" i="1"/>
  <c r="EP7" i="1"/>
  <c r="EP6" i="1"/>
  <c r="EP4" i="1"/>
  <c r="EP3" i="1"/>
  <c r="EP2" i="1"/>
  <c r="EN53" i="1"/>
  <c r="EN52" i="1"/>
  <c r="EN51" i="1"/>
  <c r="EN50" i="1"/>
  <c r="EN49" i="1"/>
  <c r="EN48" i="1"/>
  <c r="EN46" i="1"/>
  <c r="EN45" i="1"/>
  <c r="EN44" i="1"/>
  <c r="EN43" i="1"/>
  <c r="EN42" i="1"/>
  <c r="EN41" i="1"/>
  <c r="EN40" i="1"/>
  <c r="EN39" i="1"/>
  <c r="EN38" i="1"/>
  <c r="EN37" i="1"/>
  <c r="EN36" i="1"/>
  <c r="EN35" i="1"/>
  <c r="EN34" i="1"/>
  <c r="EN33" i="1"/>
  <c r="EN32" i="1"/>
  <c r="EN31" i="1"/>
  <c r="EN30" i="1"/>
  <c r="EN29" i="1"/>
  <c r="EN28" i="1"/>
  <c r="EN27" i="1"/>
  <c r="EN26" i="1"/>
  <c r="EN25" i="1"/>
  <c r="EN24" i="1"/>
  <c r="EN23" i="1"/>
  <c r="EN22" i="1"/>
  <c r="EN21" i="1"/>
  <c r="EN20" i="1"/>
  <c r="EN19" i="1"/>
  <c r="EN18" i="1"/>
  <c r="EN17" i="1"/>
  <c r="EN16" i="1"/>
  <c r="EN15" i="1"/>
  <c r="EN14" i="1"/>
  <c r="EN13" i="1"/>
  <c r="EN12" i="1"/>
  <c r="EN11" i="1"/>
  <c r="EN10" i="1"/>
  <c r="EN9" i="1"/>
  <c r="EN8" i="1"/>
  <c r="EN7" i="1"/>
  <c r="EN6" i="1"/>
  <c r="EN5" i="1"/>
  <c r="EN4" i="1"/>
  <c r="EN3" i="1"/>
  <c r="EN2" i="1"/>
  <c r="EL53" i="1"/>
  <c r="EL52" i="1"/>
  <c r="EL51" i="1"/>
  <c r="EL50" i="1"/>
  <c r="EL49" i="1"/>
  <c r="EL48" i="1"/>
  <c r="EL47" i="1"/>
  <c r="EL46" i="1"/>
  <c r="EL45" i="1"/>
  <c r="EL44" i="1"/>
  <c r="EL43" i="1"/>
  <c r="EL42" i="1"/>
  <c r="EL41" i="1"/>
  <c r="EL40" i="1"/>
  <c r="EL39" i="1"/>
  <c r="EL38" i="1"/>
  <c r="EL37" i="1"/>
  <c r="EL36" i="1"/>
  <c r="EL35" i="1"/>
  <c r="EL34" i="1"/>
  <c r="EL33" i="1"/>
  <c r="EL32" i="1"/>
  <c r="EL31" i="1"/>
  <c r="EL30" i="1"/>
  <c r="EL29" i="1"/>
  <c r="EL27" i="1"/>
  <c r="EL26" i="1"/>
  <c r="EL25" i="1"/>
  <c r="EL24" i="1"/>
  <c r="EL23" i="1"/>
  <c r="EL22" i="1"/>
  <c r="EL21" i="1"/>
  <c r="EL20" i="1"/>
  <c r="EL19" i="1"/>
  <c r="EL18" i="1"/>
  <c r="EL17" i="1"/>
  <c r="EL16" i="1"/>
  <c r="EL15" i="1"/>
  <c r="EL14" i="1"/>
  <c r="EL13" i="1"/>
  <c r="EL12" i="1"/>
  <c r="EL11" i="1"/>
  <c r="EL10" i="1"/>
  <c r="EL9" i="1"/>
  <c r="EL8" i="1"/>
  <c r="EL7" i="1"/>
  <c r="EL6" i="1"/>
  <c r="EL5" i="1"/>
  <c r="EL4" i="1"/>
  <c r="EL3" i="1"/>
  <c r="EL2" i="1"/>
  <c r="EJ53" i="1"/>
  <c r="EJ52" i="1"/>
  <c r="EJ51" i="1"/>
  <c r="EJ50" i="1"/>
  <c r="EJ49" i="1"/>
  <c r="EJ48" i="1"/>
  <c r="EJ47" i="1"/>
  <c r="EJ46" i="1"/>
  <c r="EJ45" i="1"/>
  <c r="EJ44" i="1"/>
  <c r="EJ43" i="1"/>
  <c r="EJ42" i="1"/>
  <c r="EJ41" i="1"/>
  <c r="EJ40" i="1"/>
  <c r="EJ39" i="1"/>
  <c r="EJ38" i="1"/>
  <c r="EJ37" i="1"/>
  <c r="EJ36" i="1"/>
  <c r="EJ35" i="1"/>
  <c r="EJ34" i="1"/>
  <c r="EJ33" i="1"/>
  <c r="EJ32" i="1"/>
  <c r="EJ31" i="1"/>
  <c r="EJ30" i="1"/>
  <c r="EJ29" i="1"/>
  <c r="EJ28" i="1"/>
  <c r="EJ27" i="1"/>
  <c r="EJ26" i="1"/>
  <c r="EJ25" i="1"/>
  <c r="EJ24" i="1"/>
  <c r="EJ23" i="1"/>
  <c r="EJ22" i="1"/>
  <c r="EJ21" i="1"/>
  <c r="EJ20" i="1"/>
  <c r="EJ19" i="1"/>
  <c r="EJ18" i="1"/>
  <c r="EJ17" i="1"/>
  <c r="EJ16" i="1"/>
  <c r="EJ15" i="1"/>
  <c r="EJ14" i="1"/>
  <c r="EJ13" i="1"/>
  <c r="EJ12" i="1"/>
  <c r="EJ11" i="1"/>
  <c r="EJ10" i="1"/>
  <c r="EJ9" i="1"/>
  <c r="EJ8" i="1"/>
  <c r="EJ6" i="1"/>
  <c r="EJ5" i="1"/>
  <c r="EJ4" i="1"/>
  <c r="EJ3" i="1"/>
  <c r="EJ2" i="1"/>
  <c r="EH53" i="1"/>
  <c r="EH52" i="1"/>
  <c r="EH51" i="1"/>
  <c r="EH50" i="1"/>
  <c r="EH49" i="1"/>
  <c r="EH48" i="1"/>
  <c r="EH47" i="1"/>
  <c r="EH45" i="1"/>
  <c r="EH44" i="1"/>
  <c r="EH43" i="1"/>
  <c r="EH42" i="1"/>
  <c r="EH41" i="1"/>
  <c r="EH40" i="1"/>
  <c r="EH39" i="1"/>
  <c r="EH38" i="1"/>
  <c r="EH37" i="1"/>
  <c r="EH36" i="1"/>
  <c r="EH35" i="1"/>
  <c r="EH34" i="1"/>
  <c r="EH33" i="1"/>
  <c r="EH32" i="1"/>
  <c r="EH31" i="1"/>
  <c r="EH30" i="1"/>
  <c r="EH29" i="1"/>
  <c r="EH28" i="1"/>
  <c r="EH27" i="1"/>
  <c r="EH26" i="1"/>
  <c r="EH25" i="1"/>
  <c r="EH24" i="1"/>
  <c r="EH23" i="1"/>
  <c r="EH22" i="1"/>
  <c r="EH21" i="1"/>
  <c r="EH20" i="1"/>
  <c r="EH19" i="1"/>
  <c r="EH18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H3" i="1"/>
  <c r="EH2" i="1"/>
  <c r="EF53" i="1"/>
  <c r="EF52" i="1"/>
  <c r="EF51" i="1"/>
  <c r="EF50" i="1"/>
  <c r="EF49" i="1"/>
  <c r="EF48" i="1"/>
  <c r="EF47" i="1"/>
  <c r="EF46" i="1"/>
  <c r="EF45" i="1"/>
  <c r="EF44" i="1"/>
  <c r="EF43" i="1"/>
  <c r="EF42" i="1"/>
  <c r="EF41" i="1"/>
  <c r="EF40" i="1"/>
  <c r="EF39" i="1"/>
  <c r="EF38" i="1"/>
  <c r="EF37" i="1"/>
  <c r="EF36" i="1"/>
  <c r="EF35" i="1"/>
  <c r="EF34" i="1"/>
  <c r="EF33" i="1"/>
  <c r="EF32" i="1"/>
  <c r="EF31" i="1"/>
  <c r="EF30" i="1"/>
  <c r="EF29" i="1"/>
  <c r="EF28" i="1"/>
  <c r="EF27" i="1"/>
  <c r="EF26" i="1"/>
  <c r="EF25" i="1"/>
  <c r="EF24" i="1"/>
  <c r="EF23" i="1"/>
  <c r="EF22" i="1"/>
  <c r="EF21" i="1"/>
  <c r="EF20" i="1"/>
  <c r="EF19" i="1"/>
  <c r="EF18" i="1"/>
  <c r="EF17" i="1"/>
  <c r="EF16" i="1"/>
  <c r="EF15" i="1"/>
  <c r="EF14" i="1"/>
  <c r="EF13" i="1"/>
  <c r="EF11" i="1"/>
  <c r="EF9" i="1"/>
  <c r="EF8" i="1"/>
  <c r="EF7" i="1"/>
  <c r="EF6" i="1"/>
  <c r="EF5" i="1"/>
  <c r="EF4" i="1"/>
  <c r="EF3" i="1"/>
  <c r="EF2" i="1"/>
  <c r="ED53" i="1"/>
  <c r="ED52" i="1"/>
  <c r="ED51" i="1"/>
  <c r="ED50" i="1"/>
  <c r="ED49" i="1"/>
  <c r="ED48" i="1"/>
  <c r="ED47" i="1"/>
  <c r="ED46" i="1"/>
  <c r="ED45" i="1"/>
  <c r="ED44" i="1"/>
  <c r="ED43" i="1"/>
  <c r="ED42" i="1"/>
  <c r="ED41" i="1"/>
  <c r="ED40" i="1"/>
  <c r="ED39" i="1"/>
  <c r="ED38" i="1"/>
  <c r="ED37" i="1"/>
  <c r="ED36" i="1"/>
  <c r="ED35" i="1"/>
  <c r="ED34" i="1"/>
  <c r="ED33" i="1"/>
  <c r="ED32" i="1"/>
  <c r="ED31" i="1"/>
  <c r="ED30" i="1"/>
  <c r="ED29" i="1"/>
  <c r="ED28" i="1"/>
  <c r="ED27" i="1"/>
  <c r="ED26" i="1"/>
  <c r="ED25" i="1"/>
  <c r="ED24" i="1"/>
  <c r="ED23" i="1"/>
  <c r="ED22" i="1"/>
  <c r="ED21" i="1"/>
  <c r="ED20" i="1"/>
  <c r="ED19" i="1"/>
  <c r="ED18" i="1"/>
  <c r="ED17" i="1"/>
  <c r="ED16" i="1"/>
  <c r="ED15" i="1"/>
  <c r="ED14" i="1"/>
  <c r="ED13" i="1"/>
  <c r="ED12" i="1"/>
  <c r="ED11" i="1"/>
  <c r="ED10" i="1"/>
  <c r="ED9" i="1"/>
  <c r="ED8" i="1"/>
  <c r="ED7" i="1"/>
  <c r="ED6" i="1"/>
  <c r="ED4" i="1"/>
  <c r="ED3" i="1"/>
  <c r="ED2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29" i="1"/>
  <c r="EB28" i="1"/>
  <c r="EB27" i="1"/>
  <c r="EB26" i="1"/>
  <c r="EB25" i="1"/>
  <c r="EB24" i="1"/>
  <c r="EB23" i="1"/>
  <c r="EB22" i="1"/>
  <c r="EB21" i="1"/>
  <c r="EB20" i="1"/>
  <c r="EB19" i="1"/>
  <c r="EB18" i="1"/>
  <c r="EB17" i="1"/>
  <c r="EB16" i="1"/>
  <c r="EB15" i="1"/>
  <c r="EB14" i="1"/>
  <c r="EB13" i="1"/>
  <c r="EB12" i="1"/>
  <c r="EB11" i="1"/>
  <c r="EB10" i="1"/>
  <c r="EB9" i="1"/>
  <c r="EB8" i="1"/>
  <c r="EB7" i="1"/>
  <c r="EB6" i="1"/>
  <c r="EB5" i="1"/>
  <c r="EB4" i="1"/>
  <c r="EB3" i="1"/>
  <c r="EB2" i="1"/>
  <c r="DZ53" i="1"/>
  <c r="DZ52" i="1"/>
  <c r="DZ49" i="1"/>
  <c r="DZ48" i="1"/>
  <c r="DZ47" i="1"/>
  <c r="DZ46" i="1"/>
  <c r="DZ45" i="1"/>
  <c r="DZ44" i="1"/>
  <c r="DZ43" i="1"/>
  <c r="DZ42" i="1"/>
  <c r="DZ41" i="1"/>
  <c r="DZ40" i="1"/>
  <c r="DZ39" i="1"/>
  <c r="DZ38" i="1"/>
  <c r="DZ37" i="1"/>
  <c r="DZ36" i="1"/>
  <c r="DZ35" i="1"/>
  <c r="DZ34" i="1"/>
  <c r="DZ33" i="1"/>
  <c r="DZ32" i="1"/>
  <c r="DZ31" i="1"/>
  <c r="DZ30" i="1"/>
  <c r="DZ29" i="1"/>
  <c r="DZ28" i="1"/>
  <c r="DZ27" i="1"/>
  <c r="DZ26" i="1"/>
  <c r="DZ25" i="1"/>
  <c r="DZ24" i="1"/>
  <c r="DZ23" i="1"/>
  <c r="DZ22" i="1"/>
  <c r="DZ21" i="1"/>
  <c r="DZ20" i="1"/>
  <c r="DZ19" i="1"/>
  <c r="DZ18" i="1"/>
  <c r="DZ17" i="1"/>
  <c r="DZ16" i="1"/>
  <c r="DZ15" i="1"/>
  <c r="DZ14" i="1"/>
  <c r="DZ13" i="1"/>
  <c r="DZ12" i="1"/>
  <c r="DZ10" i="1"/>
  <c r="DZ9" i="1"/>
  <c r="DZ8" i="1"/>
  <c r="DZ7" i="1"/>
  <c r="DZ6" i="1"/>
  <c r="DZ5" i="1"/>
  <c r="DZ4" i="1"/>
  <c r="DZ3" i="1"/>
  <c r="DZ2" i="1"/>
  <c r="DX53" i="1"/>
  <c r="DX52" i="1"/>
  <c r="DX51" i="1"/>
  <c r="DX49" i="1"/>
  <c r="DX48" i="1"/>
  <c r="DX47" i="1"/>
  <c r="DX46" i="1"/>
  <c r="DX45" i="1"/>
  <c r="DX44" i="1"/>
  <c r="DX43" i="1"/>
  <c r="DX42" i="1"/>
  <c r="DX41" i="1"/>
  <c r="DX40" i="1"/>
  <c r="DX39" i="1"/>
  <c r="DX38" i="1"/>
  <c r="DX37" i="1"/>
  <c r="DX36" i="1"/>
  <c r="DX35" i="1"/>
  <c r="DX34" i="1"/>
  <c r="DX33" i="1"/>
  <c r="DX32" i="1"/>
  <c r="DX31" i="1"/>
  <c r="DX29" i="1"/>
  <c r="DX28" i="1"/>
  <c r="DX27" i="1"/>
  <c r="DX25" i="1"/>
  <c r="DX24" i="1"/>
  <c r="DX22" i="1"/>
  <c r="DX20" i="1"/>
  <c r="DX19" i="1"/>
  <c r="DX18" i="1"/>
  <c r="DX17" i="1"/>
  <c r="DX16" i="1"/>
  <c r="DX15" i="1"/>
  <c r="DX14" i="1"/>
  <c r="DX13" i="1"/>
  <c r="DX12" i="1"/>
  <c r="DX11" i="1"/>
  <c r="DX10" i="1"/>
  <c r="DX9" i="1"/>
  <c r="DX8" i="1"/>
  <c r="DX7" i="1"/>
  <c r="DX6" i="1"/>
  <c r="DX5" i="1"/>
  <c r="DX4" i="1"/>
  <c r="DX3" i="1"/>
  <c r="DX2" i="1"/>
  <c r="DV53" i="1"/>
  <c r="DV52" i="1"/>
  <c r="DV51" i="1"/>
  <c r="DV50" i="1"/>
  <c r="DV49" i="1"/>
  <c r="DV48" i="1"/>
  <c r="DV47" i="1"/>
  <c r="DV46" i="1"/>
  <c r="DV45" i="1"/>
  <c r="DV44" i="1"/>
  <c r="DV43" i="1"/>
  <c r="DV42" i="1"/>
  <c r="DV41" i="1"/>
  <c r="DV40" i="1"/>
  <c r="DV39" i="1"/>
  <c r="DV38" i="1"/>
  <c r="DV37" i="1"/>
  <c r="DV36" i="1"/>
  <c r="DV35" i="1"/>
  <c r="DV34" i="1"/>
  <c r="DV33" i="1"/>
  <c r="DV32" i="1"/>
  <c r="DV31" i="1"/>
  <c r="DV30" i="1"/>
  <c r="DV29" i="1"/>
  <c r="DV28" i="1"/>
  <c r="DV27" i="1"/>
  <c r="DV26" i="1"/>
  <c r="DV25" i="1"/>
  <c r="DV24" i="1"/>
  <c r="DV23" i="1"/>
  <c r="DV22" i="1"/>
  <c r="DV21" i="1"/>
  <c r="DV20" i="1"/>
  <c r="DV19" i="1"/>
  <c r="DV18" i="1"/>
  <c r="DV17" i="1"/>
  <c r="DV16" i="1"/>
  <c r="DV15" i="1"/>
  <c r="DV14" i="1"/>
  <c r="DV13" i="1"/>
  <c r="DV9" i="1"/>
  <c r="DV8" i="1"/>
  <c r="DV7" i="1"/>
  <c r="DV6" i="1"/>
  <c r="DV5" i="1"/>
  <c r="DV4" i="1"/>
  <c r="DV3" i="1"/>
  <c r="DV2" i="1"/>
  <c r="DT53" i="1"/>
  <c r="DT51" i="1"/>
  <c r="DT50" i="1"/>
  <c r="DT49" i="1"/>
  <c r="DT48" i="1"/>
  <c r="DT47" i="1"/>
  <c r="DT46" i="1"/>
  <c r="DT45" i="1"/>
  <c r="DT44" i="1"/>
  <c r="DT43" i="1"/>
  <c r="DT42" i="1"/>
  <c r="DT41" i="1"/>
  <c r="DT40" i="1"/>
  <c r="DT39" i="1"/>
  <c r="DT38" i="1"/>
  <c r="DT37" i="1"/>
  <c r="DT36" i="1"/>
  <c r="DT35" i="1"/>
  <c r="DT34" i="1"/>
  <c r="DT33" i="1"/>
  <c r="DT32" i="1"/>
  <c r="DT31" i="1"/>
  <c r="DT30" i="1"/>
  <c r="DT29" i="1"/>
  <c r="DT28" i="1"/>
  <c r="DT27" i="1"/>
  <c r="DT26" i="1"/>
  <c r="DT25" i="1"/>
  <c r="DT24" i="1"/>
  <c r="DT23" i="1"/>
  <c r="DT22" i="1"/>
  <c r="DT21" i="1"/>
  <c r="DT20" i="1"/>
  <c r="DT19" i="1"/>
  <c r="DT18" i="1"/>
  <c r="DT17" i="1"/>
  <c r="DT16" i="1"/>
  <c r="DT15" i="1"/>
  <c r="DT14" i="1"/>
  <c r="DT13" i="1"/>
  <c r="DT12" i="1"/>
  <c r="DT11" i="1"/>
  <c r="DT10" i="1"/>
  <c r="DT9" i="1"/>
  <c r="DT8" i="1"/>
  <c r="DT7" i="1"/>
  <c r="DT6" i="1"/>
  <c r="DT5" i="1"/>
  <c r="DT4" i="1"/>
  <c r="DT3" i="1"/>
  <c r="DT2" i="1"/>
  <c r="DR53" i="1"/>
  <c r="DR52" i="1"/>
  <c r="DR51" i="1"/>
  <c r="DR50" i="1"/>
  <c r="DR49" i="1"/>
  <c r="DR48" i="1"/>
  <c r="DR47" i="1"/>
  <c r="DR46" i="1"/>
  <c r="DR45" i="1"/>
  <c r="DR44" i="1"/>
  <c r="DR43" i="1"/>
  <c r="DR42" i="1"/>
  <c r="DR41" i="1"/>
  <c r="DR40" i="1"/>
  <c r="DR39" i="1"/>
  <c r="DR38" i="1"/>
  <c r="DR37" i="1"/>
  <c r="DR36" i="1"/>
  <c r="DR35" i="1"/>
  <c r="DR34" i="1"/>
  <c r="DR33" i="1"/>
  <c r="DR32" i="1"/>
  <c r="DR31" i="1"/>
  <c r="DR30" i="1"/>
  <c r="DR29" i="1"/>
  <c r="DR28" i="1"/>
  <c r="DR27" i="1"/>
  <c r="DR26" i="1"/>
  <c r="DR25" i="1"/>
  <c r="DR24" i="1"/>
  <c r="DR23" i="1"/>
  <c r="DR22" i="1"/>
  <c r="DR21" i="1"/>
  <c r="DR20" i="1"/>
  <c r="DR19" i="1"/>
  <c r="DR18" i="1"/>
  <c r="DR17" i="1"/>
  <c r="DR16" i="1"/>
  <c r="DR15" i="1"/>
  <c r="DR14" i="1"/>
  <c r="DR12" i="1"/>
  <c r="DR11" i="1"/>
  <c r="DR10" i="1"/>
  <c r="DR9" i="1"/>
  <c r="DR8" i="1"/>
  <c r="DR7" i="1"/>
  <c r="DR6" i="1"/>
  <c r="DR5" i="1"/>
  <c r="DR4" i="1"/>
  <c r="DR3" i="1"/>
  <c r="DR2" i="1"/>
  <c r="DP53" i="1"/>
  <c r="DP52" i="1"/>
  <c r="DP51" i="1"/>
  <c r="DP50" i="1"/>
  <c r="DP49" i="1"/>
  <c r="DP48" i="1"/>
  <c r="DP47" i="1"/>
  <c r="DP46" i="1"/>
  <c r="DP45" i="1"/>
  <c r="DP44" i="1"/>
  <c r="DP43" i="1"/>
  <c r="DP42" i="1"/>
  <c r="DP41" i="1"/>
  <c r="DP40" i="1"/>
  <c r="DP39" i="1"/>
  <c r="DP38" i="1"/>
  <c r="DP37" i="1"/>
  <c r="DP36" i="1"/>
  <c r="DP35" i="1"/>
  <c r="DP34" i="1"/>
  <c r="DP33" i="1"/>
  <c r="DP32" i="1"/>
  <c r="DP30" i="1"/>
  <c r="DP29" i="1"/>
  <c r="DP28" i="1"/>
  <c r="DP26" i="1"/>
  <c r="DP24" i="1"/>
  <c r="DP23" i="1"/>
  <c r="DP22" i="1"/>
  <c r="DP21" i="1"/>
  <c r="DP20" i="1"/>
  <c r="DP19" i="1"/>
  <c r="DP18" i="1"/>
  <c r="DP17" i="1"/>
  <c r="DP16" i="1"/>
  <c r="DP15" i="1"/>
  <c r="DP14" i="1"/>
  <c r="DP13" i="1"/>
  <c r="DP12" i="1"/>
  <c r="DP11" i="1"/>
  <c r="DP10" i="1"/>
  <c r="DP9" i="1"/>
  <c r="DP8" i="1"/>
  <c r="DP7" i="1"/>
  <c r="DP6" i="1"/>
  <c r="DP5" i="1"/>
  <c r="DP4" i="1"/>
  <c r="DP3" i="1"/>
  <c r="DP2" i="1"/>
  <c r="DN53" i="1"/>
  <c r="DN52" i="1"/>
  <c r="DN50" i="1"/>
  <c r="DN49" i="1"/>
  <c r="DN48" i="1"/>
  <c r="DN47" i="1"/>
  <c r="DN46" i="1"/>
  <c r="DN45" i="1"/>
  <c r="DN44" i="1"/>
  <c r="DN43" i="1"/>
  <c r="DN42" i="1"/>
  <c r="DN41" i="1"/>
  <c r="DN40" i="1"/>
  <c r="DN39" i="1"/>
  <c r="DN38" i="1"/>
  <c r="DN37" i="1"/>
  <c r="DN36" i="1"/>
  <c r="DN35" i="1"/>
  <c r="DN34" i="1"/>
  <c r="DN33" i="1"/>
  <c r="DN32" i="1"/>
  <c r="DN31" i="1"/>
  <c r="DN30" i="1"/>
  <c r="DN29" i="1"/>
  <c r="DN28" i="1"/>
  <c r="DN27" i="1"/>
  <c r="DN26" i="1"/>
  <c r="DN25" i="1"/>
  <c r="DN24" i="1"/>
  <c r="DN23" i="1"/>
  <c r="DN22" i="1"/>
  <c r="DN21" i="1"/>
  <c r="DN20" i="1"/>
  <c r="DN19" i="1"/>
  <c r="DN18" i="1"/>
  <c r="DN17" i="1"/>
  <c r="DN16" i="1"/>
  <c r="DN15" i="1"/>
  <c r="DN14" i="1"/>
  <c r="DN13" i="1"/>
  <c r="DN12" i="1"/>
  <c r="DN11" i="1"/>
  <c r="DN10" i="1"/>
  <c r="DN9" i="1"/>
  <c r="DN8" i="1"/>
  <c r="DN7" i="1"/>
  <c r="DN6" i="1"/>
  <c r="DN5" i="1"/>
  <c r="DN4" i="1"/>
  <c r="DN3" i="1"/>
  <c r="DN2" i="1"/>
  <c r="DL53" i="1"/>
  <c r="DL52" i="1"/>
  <c r="DL51" i="1"/>
  <c r="DL50" i="1"/>
  <c r="DL49" i="1"/>
  <c r="DL48" i="1"/>
  <c r="DL47" i="1"/>
  <c r="DL46" i="1"/>
  <c r="DL45" i="1"/>
  <c r="DL44" i="1"/>
  <c r="DL43" i="1"/>
  <c r="DL42" i="1"/>
  <c r="DL41" i="1"/>
  <c r="DL40" i="1"/>
  <c r="DL39" i="1"/>
  <c r="DL38" i="1"/>
  <c r="DL37" i="1"/>
  <c r="DL36" i="1"/>
  <c r="DL35" i="1"/>
  <c r="DL34" i="1"/>
  <c r="DL33" i="1"/>
  <c r="DL32" i="1"/>
  <c r="DL31" i="1"/>
  <c r="DL30" i="1"/>
  <c r="DL29" i="1"/>
  <c r="DL28" i="1"/>
  <c r="DL27" i="1"/>
  <c r="DL26" i="1"/>
  <c r="DL25" i="1"/>
  <c r="DL24" i="1"/>
  <c r="DL23" i="1"/>
  <c r="DL22" i="1"/>
  <c r="DL21" i="1"/>
  <c r="DL20" i="1"/>
  <c r="DL19" i="1"/>
  <c r="DL18" i="1"/>
  <c r="DL17" i="1"/>
  <c r="DL16" i="1"/>
  <c r="DL15" i="1"/>
  <c r="DL14" i="1"/>
  <c r="DL13" i="1"/>
  <c r="DL11" i="1"/>
  <c r="DL10" i="1"/>
  <c r="DL9" i="1"/>
  <c r="DL8" i="1"/>
  <c r="DL7" i="1"/>
  <c r="DL6" i="1"/>
  <c r="DL5" i="1"/>
  <c r="DL4" i="1"/>
  <c r="DL3" i="1"/>
  <c r="DL2" i="1"/>
  <c r="DJ53" i="1"/>
  <c r="DJ52" i="1"/>
  <c r="DJ51" i="1"/>
  <c r="DJ50" i="1"/>
  <c r="DJ48" i="1"/>
  <c r="DJ47" i="1"/>
  <c r="DJ46" i="1"/>
  <c r="DJ45" i="1"/>
  <c r="DJ44" i="1"/>
  <c r="DJ43" i="1"/>
  <c r="DJ42" i="1"/>
  <c r="DJ41" i="1"/>
  <c r="DJ40" i="1"/>
  <c r="DJ39" i="1"/>
  <c r="DJ38" i="1"/>
  <c r="DJ37" i="1"/>
  <c r="DJ36" i="1"/>
  <c r="DJ35" i="1"/>
  <c r="DJ34" i="1"/>
  <c r="DJ33" i="1"/>
  <c r="DJ32" i="1"/>
  <c r="DJ31" i="1"/>
  <c r="DJ30" i="1"/>
  <c r="DJ29" i="1"/>
  <c r="DJ27" i="1"/>
  <c r="DJ26" i="1"/>
  <c r="DJ25" i="1"/>
  <c r="DJ24" i="1"/>
  <c r="DJ22" i="1"/>
  <c r="DJ21" i="1"/>
  <c r="DJ19" i="1"/>
  <c r="DJ18" i="1"/>
  <c r="DJ16" i="1"/>
  <c r="DJ15" i="1"/>
  <c r="DJ13" i="1"/>
  <c r="DJ12" i="1"/>
  <c r="DJ11" i="1"/>
  <c r="DJ10" i="1"/>
  <c r="DJ9" i="1"/>
  <c r="DJ8" i="1"/>
  <c r="DJ7" i="1"/>
  <c r="DJ6" i="1"/>
  <c r="DJ5" i="1"/>
  <c r="DJ4" i="1"/>
  <c r="DJ3" i="1"/>
  <c r="DJ2" i="1"/>
  <c r="DH53" i="1"/>
  <c r="DH52" i="1"/>
  <c r="DH51" i="1"/>
  <c r="DH50" i="1"/>
  <c r="DH49" i="1"/>
  <c r="DH48" i="1"/>
  <c r="DH47" i="1"/>
  <c r="DH46" i="1"/>
  <c r="DH45" i="1"/>
  <c r="DH44" i="1"/>
  <c r="DH43" i="1"/>
  <c r="DH42" i="1"/>
  <c r="DH41" i="1"/>
  <c r="DH40" i="1"/>
  <c r="DH39" i="1"/>
  <c r="DH38" i="1"/>
  <c r="DH37" i="1"/>
  <c r="DH36" i="1"/>
  <c r="DH35" i="1"/>
  <c r="DH34" i="1"/>
  <c r="DH33" i="1"/>
  <c r="DH32" i="1"/>
  <c r="DH31" i="1"/>
  <c r="DH30" i="1"/>
  <c r="DH29" i="1"/>
  <c r="DH27" i="1"/>
  <c r="DH26" i="1"/>
  <c r="DH25" i="1"/>
  <c r="DH24" i="1"/>
  <c r="DH23" i="1"/>
  <c r="DH22" i="1"/>
  <c r="DH20" i="1"/>
  <c r="DH19" i="1"/>
  <c r="DH17" i="1"/>
  <c r="DH16" i="1"/>
  <c r="DH14" i="1"/>
  <c r="DH13" i="1"/>
  <c r="DH12" i="1"/>
  <c r="DH11" i="1"/>
  <c r="DH10" i="1"/>
  <c r="DH9" i="1"/>
  <c r="DH8" i="1"/>
  <c r="DH7" i="1"/>
  <c r="DH6" i="1"/>
  <c r="DH5" i="1"/>
  <c r="DH4" i="1"/>
  <c r="DH3" i="1"/>
  <c r="DH2" i="1"/>
  <c r="DF53" i="1"/>
  <c r="DF52" i="1"/>
  <c r="DF51" i="1"/>
  <c r="DF50" i="1"/>
  <c r="DF49" i="1"/>
  <c r="DF48" i="1"/>
  <c r="DF47" i="1"/>
  <c r="DF46" i="1"/>
  <c r="DF45" i="1"/>
  <c r="DF44" i="1"/>
  <c r="DF43" i="1"/>
  <c r="DF42" i="1"/>
  <c r="DF41" i="1"/>
  <c r="DF40" i="1"/>
  <c r="DF39" i="1"/>
  <c r="DF38" i="1"/>
  <c r="DF36" i="1"/>
  <c r="DF35" i="1"/>
  <c r="DF34" i="1"/>
  <c r="DF33" i="1"/>
  <c r="DF32" i="1"/>
  <c r="DF31" i="1"/>
  <c r="DF30" i="1"/>
  <c r="DF29" i="1"/>
  <c r="DF28" i="1"/>
  <c r="DF27" i="1"/>
  <c r="DF26" i="1"/>
  <c r="DF25" i="1"/>
  <c r="DF24" i="1"/>
  <c r="DF23" i="1"/>
  <c r="DF22" i="1"/>
  <c r="DF21" i="1"/>
  <c r="DF20" i="1"/>
  <c r="DF19" i="1"/>
  <c r="DF18" i="1"/>
  <c r="DF17" i="1"/>
  <c r="DF16" i="1"/>
  <c r="DF15" i="1"/>
  <c r="DF14" i="1"/>
  <c r="DF13" i="1"/>
  <c r="DF12" i="1"/>
  <c r="DF11" i="1"/>
  <c r="DF10" i="1"/>
  <c r="DF9" i="1"/>
  <c r="DF8" i="1"/>
  <c r="DF7" i="1"/>
  <c r="DF6" i="1"/>
  <c r="DF5" i="1"/>
  <c r="DF4" i="1"/>
  <c r="DF3" i="1"/>
  <c r="DF2" i="1"/>
  <c r="DD53" i="1"/>
  <c r="DD52" i="1"/>
  <c r="DD51" i="1"/>
  <c r="DD50" i="1"/>
  <c r="DD49" i="1"/>
  <c r="DD48" i="1"/>
  <c r="DD47" i="1"/>
  <c r="DD46" i="1"/>
  <c r="DD45" i="1"/>
  <c r="DD44" i="1"/>
  <c r="DD43" i="1"/>
  <c r="DD42" i="1"/>
  <c r="DD41" i="1"/>
  <c r="DD40" i="1"/>
  <c r="DD39" i="1"/>
  <c r="DD38" i="1"/>
  <c r="DD37" i="1"/>
  <c r="DD36" i="1"/>
  <c r="DD35" i="1"/>
  <c r="DD34" i="1"/>
  <c r="DD33" i="1"/>
  <c r="DD32" i="1"/>
  <c r="DD31" i="1"/>
  <c r="DD30" i="1"/>
  <c r="DD28" i="1"/>
  <c r="DD27" i="1"/>
  <c r="DD26" i="1"/>
  <c r="DD25" i="1"/>
  <c r="DD24" i="1"/>
  <c r="DD23" i="1"/>
  <c r="DD22" i="1"/>
  <c r="DD21" i="1"/>
  <c r="DD20" i="1"/>
  <c r="DD19" i="1"/>
  <c r="DD18" i="1"/>
  <c r="DD17" i="1"/>
  <c r="DD16" i="1"/>
  <c r="DD15" i="1"/>
  <c r="DD14" i="1"/>
  <c r="DD13" i="1"/>
  <c r="DD12" i="1"/>
  <c r="DD11" i="1"/>
  <c r="DD10" i="1"/>
  <c r="DD9" i="1"/>
  <c r="DD8" i="1"/>
  <c r="DD7" i="1"/>
  <c r="DD6" i="1"/>
  <c r="DD5" i="1"/>
  <c r="DD4" i="1"/>
  <c r="DD3" i="1"/>
  <c r="DD2" i="1"/>
  <c r="DB53" i="1"/>
  <c r="DB52" i="1"/>
  <c r="DB51" i="1"/>
  <c r="DB50" i="1"/>
  <c r="DB49" i="1"/>
  <c r="DB48" i="1"/>
  <c r="DB47" i="1"/>
  <c r="DB46" i="1"/>
  <c r="DB45" i="1"/>
  <c r="DB44" i="1"/>
  <c r="DB43" i="1"/>
  <c r="DB42" i="1"/>
  <c r="DB41" i="1"/>
  <c r="DB40" i="1"/>
  <c r="DB39" i="1"/>
  <c r="DB38" i="1"/>
  <c r="DB37" i="1"/>
  <c r="DB36" i="1"/>
  <c r="DB35" i="1"/>
  <c r="DB34" i="1"/>
  <c r="DB33" i="1"/>
  <c r="DB32" i="1"/>
  <c r="DB31" i="1"/>
  <c r="DB30" i="1"/>
  <c r="DB29" i="1"/>
  <c r="DB28" i="1"/>
  <c r="DB27" i="1"/>
  <c r="DB26" i="1"/>
  <c r="DB25" i="1"/>
  <c r="DB24" i="1"/>
  <c r="DB23" i="1"/>
  <c r="DB22" i="1"/>
  <c r="DB21" i="1"/>
  <c r="DB20" i="1"/>
  <c r="DB19" i="1"/>
  <c r="DB18" i="1"/>
  <c r="DB17" i="1"/>
  <c r="DB16" i="1"/>
  <c r="DB15" i="1"/>
  <c r="DB14" i="1"/>
  <c r="DB13" i="1"/>
  <c r="DB12" i="1"/>
  <c r="DB11" i="1"/>
  <c r="DB9" i="1"/>
  <c r="DB8" i="1"/>
  <c r="DB7" i="1"/>
  <c r="DB6" i="1"/>
  <c r="DB5" i="1"/>
  <c r="DB4" i="1"/>
  <c r="DB3" i="1"/>
  <c r="DB2" i="1"/>
  <c r="CZ53" i="1"/>
  <c r="CZ52" i="1"/>
  <c r="CZ50" i="1"/>
  <c r="CZ49" i="1"/>
  <c r="CZ48" i="1"/>
  <c r="CZ46" i="1"/>
  <c r="CZ45" i="1"/>
  <c r="CZ44" i="1"/>
  <c r="CZ43" i="1"/>
  <c r="CZ42" i="1"/>
  <c r="CZ41" i="1"/>
  <c r="CZ40" i="1"/>
  <c r="CZ39" i="1"/>
  <c r="CZ38" i="1"/>
  <c r="CZ37" i="1"/>
  <c r="CZ36" i="1"/>
  <c r="CZ35" i="1"/>
  <c r="CZ34" i="1"/>
  <c r="CZ33" i="1"/>
  <c r="CZ32" i="1"/>
  <c r="CZ31" i="1"/>
  <c r="CZ30" i="1"/>
  <c r="CZ29" i="1"/>
  <c r="CZ28" i="1"/>
  <c r="CZ26" i="1"/>
  <c r="CZ25" i="1"/>
  <c r="CZ24" i="1"/>
  <c r="CZ23" i="1"/>
  <c r="CZ22" i="1"/>
  <c r="CZ21" i="1"/>
  <c r="CZ20" i="1"/>
  <c r="CZ19" i="1"/>
  <c r="CZ18" i="1"/>
  <c r="CZ17" i="1"/>
  <c r="CZ14" i="1"/>
  <c r="CZ13" i="1"/>
  <c r="CZ12" i="1"/>
  <c r="CZ11" i="1"/>
  <c r="CZ10" i="1"/>
  <c r="CZ9" i="1"/>
  <c r="CZ8" i="1"/>
  <c r="CZ7" i="1"/>
  <c r="CZ6" i="1"/>
  <c r="CZ5" i="1"/>
  <c r="CZ4" i="1"/>
  <c r="CZ3" i="1"/>
  <c r="CZ2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4" i="1"/>
  <c r="CX13" i="1"/>
  <c r="CX12" i="1"/>
  <c r="CX11" i="1"/>
  <c r="CX10" i="1"/>
  <c r="CX9" i="1"/>
  <c r="CX8" i="1"/>
  <c r="CX7" i="1"/>
  <c r="CX6" i="1"/>
  <c r="CX5" i="1"/>
  <c r="CX4" i="1"/>
  <c r="CX3" i="1"/>
  <c r="CX2" i="1"/>
  <c r="CV53" i="1"/>
  <c r="CV52" i="1"/>
  <c r="CV51" i="1"/>
  <c r="CV50" i="1"/>
  <c r="CV49" i="1"/>
  <c r="CV48" i="1"/>
  <c r="CV46" i="1"/>
  <c r="CV45" i="1"/>
  <c r="CV44" i="1"/>
  <c r="CV43" i="1"/>
  <c r="CV42" i="1"/>
  <c r="CV41" i="1"/>
  <c r="CV40" i="1"/>
  <c r="CV39" i="1"/>
  <c r="CV38" i="1"/>
  <c r="CV37" i="1"/>
  <c r="CV36" i="1"/>
  <c r="CV31" i="1"/>
  <c r="CV30" i="1"/>
  <c r="CV29" i="1"/>
  <c r="CV28" i="1"/>
  <c r="CV27" i="1"/>
  <c r="CV26" i="1"/>
  <c r="CV25" i="1"/>
  <c r="CV24" i="1"/>
  <c r="CV23" i="1"/>
  <c r="CV22" i="1"/>
  <c r="CV21" i="1"/>
  <c r="CV20" i="1"/>
  <c r="CV19" i="1"/>
  <c r="CV18" i="1"/>
  <c r="CV17" i="1"/>
  <c r="CV16" i="1"/>
  <c r="CV15" i="1"/>
  <c r="CV14" i="1"/>
  <c r="CV13" i="1"/>
  <c r="CV12" i="1"/>
  <c r="CV11" i="1"/>
  <c r="CV10" i="1"/>
  <c r="CV9" i="1"/>
  <c r="CV8" i="1"/>
  <c r="CV7" i="1"/>
  <c r="CV6" i="1"/>
  <c r="CV5" i="1"/>
  <c r="CV4" i="1"/>
  <c r="CV3" i="1"/>
  <c r="CV2" i="1"/>
  <c r="CT53" i="1"/>
  <c r="CT52" i="1"/>
  <c r="CT51" i="1"/>
  <c r="CT50" i="1"/>
  <c r="CT49" i="1"/>
  <c r="CT48" i="1"/>
  <c r="CT46" i="1"/>
  <c r="CT45" i="1"/>
  <c r="CT44" i="1"/>
  <c r="CT43" i="1"/>
  <c r="CT42" i="1"/>
  <c r="CT41" i="1"/>
  <c r="CT40" i="1"/>
  <c r="CT39" i="1"/>
  <c r="CT38" i="1"/>
  <c r="CT37" i="1"/>
  <c r="CT36" i="1"/>
  <c r="CT35" i="1"/>
  <c r="CT34" i="1"/>
  <c r="CT33" i="1"/>
  <c r="CT32" i="1"/>
  <c r="CT31" i="1"/>
  <c r="CT30" i="1"/>
  <c r="CT29" i="1"/>
  <c r="CT28" i="1"/>
  <c r="CT27" i="1"/>
  <c r="CT26" i="1"/>
  <c r="CT25" i="1"/>
  <c r="CT24" i="1"/>
  <c r="CT23" i="1"/>
  <c r="CT22" i="1"/>
  <c r="CT21" i="1"/>
  <c r="CT20" i="1"/>
  <c r="CT19" i="1"/>
  <c r="CT18" i="1"/>
  <c r="CT17" i="1"/>
  <c r="CT16" i="1"/>
  <c r="CT15" i="1"/>
  <c r="CT14" i="1"/>
  <c r="CT13" i="1"/>
  <c r="CT12" i="1"/>
  <c r="CT11" i="1"/>
  <c r="CT10" i="1"/>
  <c r="CT9" i="1"/>
  <c r="CT8" i="1"/>
  <c r="CT7" i="1"/>
  <c r="CT6" i="1"/>
  <c r="CT5" i="1"/>
  <c r="CT4" i="1"/>
  <c r="CT3" i="1"/>
  <c r="CT2" i="1"/>
  <c r="CR53" i="1"/>
  <c r="CR52" i="1"/>
  <c r="CR50" i="1"/>
  <c r="CR49" i="1"/>
  <c r="CR48" i="1"/>
  <c r="CR47" i="1"/>
  <c r="CR46" i="1"/>
  <c r="CR45" i="1"/>
  <c r="CR44" i="1"/>
  <c r="CR43" i="1"/>
  <c r="CR42" i="1"/>
  <c r="CR41" i="1"/>
  <c r="CR40" i="1"/>
  <c r="CR39" i="1"/>
  <c r="CR38" i="1"/>
  <c r="CR37" i="1"/>
  <c r="CR36" i="1"/>
  <c r="CR35" i="1"/>
  <c r="CR34" i="1"/>
  <c r="CR33" i="1"/>
  <c r="CR32" i="1"/>
  <c r="CR31" i="1"/>
  <c r="CR30" i="1"/>
  <c r="CR29" i="1"/>
  <c r="CR28" i="1"/>
  <c r="CR27" i="1"/>
  <c r="CR26" i="1"/>
  <c r="CR25" i="1"/>
  <c r="CR24" i="1"/>
  <c r="CR23" i="1"/>
  <c r="CR22" i="1"/>
  <c r="CR21" i="1"/>
  <c r="CR20" i="1"/>
  <c r="CR19" i="1"/>
  <c r="CR18" i="1"/>
  <c r="CR17" i="1"/>
  <c r="CR16" i="1"/>
  <c r="CR15" i="1"/>
  <c r="CR14" i="1"/>
  <c r="CR13" i="1"/>
  <c r="CR12" i="1"/>
  <c r="CR11" i="1"/>
  <c r="CR10" i="1"/>
  <c r="CR9" i="1"/>
  <c r="CR8" i="1"/>
  <c r="CR7" i="1"/>
  <c r="CR6" i="1"/>
  <c r="CR5" i="1"/>
  <c r="CR4" i="1"/>
  <c r="CR3" i="1"/>
  <c r="CR2" i="1"/>
  <c r="CP53" i="1"/>
  <c r="CP52" i="1"/>
  <c r="CP51" i="1"/>
  <c r="CP50" i="1"/>
  <c r="CP49" i="1"/>
  <c r="CP48" i="1"/>
  <c r="CP47" i="1"/>
  <c r="CP46" i="1"/>
  <c r="CP45" i="1"/>
  <c r="CP44" i="1"/>
  <c r="CP43" i="1"/>
  <c r="CP42" i="1"/>
  <c r="CP41" i="1"/>
  <c r="CP40" i="1"/>
  <c r="CP39" i="1"/>
  <c r="CP38" i="1"/>
  <c r="CP37" i="1"/>
  <c r="CP36" i="1"/>
  <c r="CP35" i="1"/>
  <c r="CP34" i="1"/>
  <c r="CP33" i="1"/>
  <c r="CP31" i="1"/>
  <c r="CP30" i="1"/>
  <c r="CP29" i="1"/>
  <c r="CP28" i="1"/>
  <c r="CP27" i="1"/>
  <c r="CP26" i="1"/>
  <c r="CP25" i="1"/>
  <c r="CP24" i="1"/>
  <c r="CP23" i="1"/>
  <c r="CP22" i="1"/>
  <c r="CP21" i="1"/>
  <c r="CP20" i="1"/>
  <c r="CP19" i="1"/>
  <c r="CP18" i="1"/>
  <c r="CP17" i="1"/>
  <c r="CP16" i="1"/>
  <c r="CP15" i="1"/>
  <c r="CP14" i="1"/>
  <c r="CP13" i="1"/>
  <c r="CP12" i="1"/>
  <c r="CP11" i="1"/>
  <c r="CP10" i="1"/>
  <c r="CP9" i="1"/>
  <c r="CP8" i="1"/>
  <c r="CP7" i="1"/>
  <c r="CP6" i="1"/>
  <c r="CP5" i="1"/>
  <c r="CP4" i="1"/>
  <c r="CP3" i="1"/>
  <c r="CP2" i="1"/>
  <c r="CN53" i="1"/>
  <c r="CN52" i="1"/>
  <c r="CN51" i="1"/>
  <c r="CN50" i="1"/>
  <c r="CN49" i="1"/>
  <c r="CN48" i="1"/>
  <c r="CN47" i="1"/>
  <c r="CN46" i="1"/>
  <c r="CN45" i="1"/>
  <c r="CN44" i="1"/>
  <c r="CN43" i="1"/>
  <c r="CN41" i="1"/>
  <c r="CN40" i="1"/>
  <c r="CN39" i="1"/>
  <c r="CN38" i="1"/>
  <c r="CN37" i="1"/>
  <c r="CN36" i="1"/>
  <c r="CN35" i="1"/>
  <c r="CN34" i="1"/>
  <c r="CN33" i="1"/>
  <c r="CN32" i="1"/>
  <c r="CN31" i="1"/>
  <c r="CN30" i="1"/>
  <c r="CN29" i="1"/>
  <c r="CN28" i="1"/>
  <c r="CN27" i="1"/>
  <c r="CN26" i="1"/>
  <c r="CN25" i="1"/>
  <c r="CN24" i="1"/>
  <c r="CN23" i="1"/>
  <c r="CN22" i="1"/>
  <c r="CN21" i="1"/>
  <c r="CN20" i="1"/>
  <c r="CN19" i="1"/>
  <c r="CN18" i="1"/>
  <c r="CN17" i="1"/>
  <c r="CN16" i="1"/>
  <c r="CN14" i="1"/>
  <c r="CN12" i="1"/>
  <c r="CN11" i="1"/>
  <c r="CN10" i="1"/>
  <c r="CN9" i="1"/>
  <c r="CN8" i="1"/>
  <c r="CN7" i="1"/>
  <c r="CN6" i="1"/>
  <c r="CN5" i="1"/>
  <c r="CN4" i="1"/>
  <c r="CN3" i="1"/>
  <c r="CN2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4" i="1"/>
  <c r="CL13" i="1"/>
  <c r="CL12" i="1"/>
  <c r="CL11" i="1"/>
  <c r="CL10" i="1"/>
  <c r="CL9" i="1"/>
  <c r="CL8" i="1"/>
  <c r="CL7" i="1"/>
  <c r="CL6" i="1"/>
  <c r="CL5" i="1"/>
  <c r="CL4" i="1"/>
  <c r="CL3" i="1"/>
  <c r="CL2" i="1"/>
  <c r="CJ53" i="1"/>
  <c r="CJ52" i="1"/>
  <c r="CJ48" i="1"/>
  <c r="CJ47" i="1"/>
  <c r="CJ46" i="1"/>
  <c r="CJ45" i="1"/>
  <c r="CJ44" i="1"/>
  <c r="CJ43" i="1"/>
  <c r="CJ42" i="1"/>
  <c r="CJ41" i="1"/>
  <c r="CJ40" i="1"/>
  <c r="CJ39" i="1"/>
  <c r="CJ38" i="1"/>
  <c r="CJ37" i="1"/>
  <c r="CJ36" i="1"/>
  <c r="CJ35" i="1"/>
  <c r="CJ34" i="1"/>
  <c r="CJ33" i="1"/>
  <c r="CJ32" i="1"/>
  <c r="CJ31" i="1"/>
  <c r="CJ30" i="1"/>
  <c r="CJ29" i="1"/>
  <c r="CJ28" i="1"/>
  <c r="CJ27" i="1"/>
  <c r="CJ26" i="1"/>
  <c r="CJ25" i="1"/>
  <c r="CJ24" i="1"/>
  <c r="CJ23" i="1"/>
  <c r="CJ22" i="1"/>
  <c r="CJ21" i="1"/>
  <c r="CJ20" i="1"/>
  <c r="CJ19" i="1"/>
  <c r="CJ18" i="1"/>
  <c r="CJ17" i="1"/>
  <c r="CJ16" i="1"/>
  <c r="CJ15" i="1"/>
  <c r="CJ14" i="1"/>
  <c r="CJ13" i="1"/>
  <c r="CJ12" i="1"/>
  <c r="CJ11" i="1"/>
  <c r="CJ10" i="1"/>
  <c r="CJ9" i="1"/>
  <c r="CJ8" i="1"/>
  <c r="CJ7" i="1"/>
  <c r="CJ6" i="1"/>
  <c r="CJ5" i="1"/>
  <c r="CJ4" i="1"/>
  <c r="CJ3" i="1"/>
  <c r="CJ2" i="1"/>
  <c r="CH53" i="1"/>
  <c r="CH52" i="1"/>
  <c r="CH51" i="1"/>
  <c r="CH50" i="1"/>
  <c r="CH49" i="1"/>
  <c r="CH48" i="1"/>
  <c r="CH47" i="1"/>
  <c r="CH46" i="1"/>
  <c r="CH45" i="1"/>
  <c r="CH44" i="1"/>
  <c r="CH43" i="1"/>
  <c r="CH42" i="1"/>
  <c r="CH41" i="1"/>
  <c r="CH40" i="1"/>
  <c r="CH39" i="1"/>
  <c r="CH38" i="1"/>
  <c r="CH37" i="1"/>
  <c r="CH36" i="1"/>
  <c r="CH35" i="1"/>
  <c r="CH34" i="1"/>
  <c r="CH33" i="1"/>
  <c r="CH32" i="1"/>
  <c r="CH31" i="1"/>
  <c r="CH30" i="1"/>
  <c r="CH29" i="1"/>
  <c r="CH28" i="1"/>
  <c r="CH27" i="1"/>
  <c r="CH26" i="1"/>
  <c r="CH25" i="1"/>
  <c r="CH24" i="1"/>
  <c r="CH22" i="1"/>
  <c r="CH21" i="1"/>
  <c r="CH20" i="1"/>
  <c r="CH19" i="1"/>
  <c r="CH18" i="1"/>
  <c r="CH17" i="1"/>
  <c r="CH16" i="1"/>
  <c r="CH15" i="1"/>
  <c r="CH14" i="1"/>
  <c r="CH13" i="1"/>
  <c r="CH12" i="1"/>
  <c r="CH11" i="1"/>
  <c r="CH10" i="1"/>
  <c r="CH9" i="1"/>
  <c r="CH8" i="1"/>
  <c r="CH7" i="1"/>
  <c r="CH6" i="1"/>
  <c r="CH5" i="1"/>
  <c r="CH4" i="1"/>
  <c r="CH3" i="1"/>
  <c r="CH2" i="1"/>
  <c r="CF53" i="1"/>
  <c r="CF52" i="1"/>
  <c r="CF48" i="1"/>
  <c r="CF47" i="1"/>
  <c r="CF46" i="1"/>
  <c r="CF45" i="1"/>
  <c r="CF44" i="1"/>
  <c r="CF43" i="1"/>
  <c r="CF42" i="1"/>
  <c r="CF41" i="1"/>
  <c r="CF40" i="1"/>
  <c r="CF39" i="1"/>
  <c r="CF38" i="1"/>
  <c r="CF37" i="1"/>
  <c r="CF36" i="1"/>
  <c r="CF35" i="1"/>
  <c r="CF34" i="1"/>
  <c r="CF33" i="1"/>
  <c r="CF32" i="1"/>
  <c r="CF31" i="1"/>
  <c r="CF30" i="1"/>
  <c r="CF29" i="1"/>
  <c r="CF28" i="1"/>
  <c r="CF27" i="1"/>
  <c r="CF26" i="1"/>
  <c r="CF25" i="1"/>
  <c r="CF24" i="1"/>
  <c r="CF23" i="1"/>
  <c r="CF22" i="1"/>
  <c r="CF21" i="1"/>
  <c r="CF20" i="1"/>
  <c r="CF19" i="1"/>
  <c r="CF18" i="1"/>
  <c r="CF17" i="1"/>
  <c r="CF16" i="1"/>
  <c r="CF15" i="1"/>
  <c r="CF14" i="1"/>
  <c r="CF13" i="1"/>
  <c r="CF12" i="1"/>
  <c r="CF11" i="1"/>
  <c r="CF10" i="1"/>
  <c r="CF9" i="1"/>
  <c r="CF8" i="1"/>
  <c r="CF7" i="1"/>
  <c r="CF6" i="1"/>
  <c r="CF5" i="1"/>
  <c r="CF4" i="1"/>
  <c r="CF3" i="1"/>
  <c r="CF2" i="1"/>
  <c r="CD53" i="1"/>
  <c r="CD52" i="1"/>
  <c r="CD51" i="1"/>
  <c r="CD50" i="1"/>
  <c r="CD49" i="1"/>
  <c r="CD47" i="1"/>
  <c r="CD46" i="1"/>
  <c r="CD44" i="1"/>
  <c r="CD43" i="1"/>
  <c r="CD42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5" i="1"/>
  <c r="CD14" i="1"/>
  <c r="CD13" i="1"/>
  <c r="CD11" i="1"/>
  <c r="CD9" i="1"/>
  <c r="CD8" i="1"/>
  <c r="CD7" i="1"/>
  <c r="CD6" i="1"/>
  <c r="CD5" i="1"/>
  <c r="CD3" i="1"/>
  <c r="CB52" i="1"/>
  <c r="CB51" i="1"/>
  <c r="CB50" i="1"/>
  <c r="CB49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6" i="1"/>
  <c r="CB15" i="1"/>
  <c r="CB14" i="1"/>
  <c r="CB13" i="1"/>
  <c r="CB12" i="1"/>
  <c r="CB11" i="1"/>
  <c r="CB10" i="1"/>
  <c r="CB9" i="1"/>
  <c r="CB8" i="1"/>
  <c r="CB7" i="1"/>
  <c r="CB6" i="1"/>
  <c r="CB5" i="1"/>
  <c r="CB4" i="1"/>
  <c r="CB3" i="1"/>
  <c r="CB2" i="1"/>
  <c r="BZ53" i="1"/>
  <c r="BZ52" i="1"/>
  <c r="BZ51" i="1"/>
  <c r="BZ49" i="1"/>
  <c r="BZ48" i="1"/>
  <c r="BZ46" i="1"/>
  <c r="BZ45" i="1"/>
  <c r="BZ44" i="1"/>
  <c r="BZ43" i="1"/>
  <c r="BZ42" i="1"/>
  <c r="BZ41" i="1"/>
  <c r="BZ40" i="1"/>
  <c r="BZ37" i="1"/>
  <c r="BZ36" i="1"/>
  <c r="BZ35" i="1"/>
  <c r="BZ34" i="1"/>
  <c r="BZ33" i="1"/>
  <c r="BZ32" i="1"/>
  <c r="BZ31" i="1"/>
  <c r="BZ30" i="1"/>
  <c r="BZ29" i="1"/>
  <c r="BZ27" i="1"/>
  <c r="BZ26" i="1"/>
  <c r="BZ25" i="1"/>
  <c r="BZ24" i="1"/>
  <c r="BZ23" i="1"/>
  <c r="BZ22" i="1"/>
  <c r="BZ20" i="1"/>
  <c r="BZ19" i="1"/>
  <c r="BZ18" i="1"/>
  <c r="BZ17" i="1"/>
  <c r="BZ16" i="1"/>
  <c r="BZ15" i="1"/>
  <c r="BZ14" i="1"/>
  <c r="BZ13" i="1"/>
  <c r="BZ12" i="1"/>
  <c r="BZ10" i="1"/>
  <c r="BZ7" i="1"/>
  <c r="BZ5" i="1"/>
  <c r="BZ2" i="1"/>
  <c r="BX53" i="1"/>
  <c r="BX52" i="1"/>
  <c r="BX51" i="1"/>
  <c r="BX50" i="1"/>
  <c r="BX49" i="1"/>
  <c r="BX48" i="1"/>
  <c r="BX47" i="1"/>
  <c r="BX46" i="1"/>
  <c r="BX45" i="1"/>
  <c r="BX44" i="1"/>
  <c r="BX43" i="1"/>
  <c r="BX42" i="1"/>
  <c r="BX41" i="1"/>
  <c r="BX40" i="1"/>
  <c r="BX39" i="1"/>
  <c r="BX38" i="1"/>
  <c r="BX37" i="1"/>
  <c r="BX36" i="1"/>
  <c r="BX35" i="1"/>
  <c r="BX34" i="1"/>
  <c r="BX33" i="1"/>
  <c r="BX32" i="1"/>
  <c r="BX30" i="1"/>
  <c r="BX29" i="1"/>
  <c r="BX28" i="1"/>
  <c r="BX26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X9" i="1"/>
  <c r="BX8" i="1"/>
  <c r="BX7" i="1"/>
  <c r="BX6" i="1"/>
  <c r="BX5" i="1"/>
  <c r="BX4" i="1"/>
  <c r="BX3" i="1"/>
  <c r="BX2" i="1"/>
  <c r="BV53" i="1"/>
  <c r="BV52" i="1"/>
  <c r="BV51" i="1"/>
  <c r="BV50" i="1"/>
  <c r="BV49" i="1"/>
  <c r="BV48" i="1"/>
  <c r="BV47" i="1"/>
  <c r="BV46" i="1"/>
  <c r="BV45" i="1"/>
  <c r="BV44" i="1"/>
  <c r="BV42" i="1"/>
  <c r="BV41" i="1"/>
  <c r="BV40" i="1"/>
  <c r="BV39" i="1"/>
  <c r="BV38" i="1"/>
  <c r="BV37" i="1"/>
  <c r="BV36" i="1"/>
  <c r="BV35" i="1"/>
  <c r="BV34" i="1"/>
  <c r="BV33" i="1"/>
  <c r="BV32" i="1"/>
  <c r="BV31" i="1"/>
  <c r="BV30" i="1"/>
  <c r="BV29" i="1"/>
  <c r="BV28" i="1"/>
  <c r="BV27" i="1"/>
  <c r="BV26" i="1"/>
  <c r="BV25" i="1"/>
  <c r="BV24" i="1"/>
  <c r="BV23" i="1"/>
  <c r="BV22" i="1"/>
  <c r="BV21" i="1"/>
  <c r="BV20" i="1"/>
  <c r="BV19" i="1"/>
  <c r="BV18" i="1"/>
  <c r="BV17" i="1"/>
  <c r="BV16" i="1"/>
  <c r="BV15" i="1"/>
  <c r="BV14" i="1"/>
  <c r="BV13" i="1"/>
  <c r="BV12" i="1"/>
  <c r="BV11" i="1"/>
  <c r="BV10" i="1"/>
  <c r="BV9" i="1"/>
  <c r="BV8" i="1"/>
  <c r="BV7" i="1"/>
  <c r="BV6" i="1"/>
  <c r="BV5" i="1"/>
  <c r="BV4" i="1"/>
  <c r="BV3" i="1"/>
  <c r="BV2" i="1"/>
  <c r="BT53" i="1"/>
  <c r="BT52" i="1"/>
  <c r="BT51" i="1"/>
  <c r="BT50" i="1"/>
  <c r="BT49" i="1"/>
  <c r="BT47" i="1"/>
  <c r="BT37" i="1"/>
  <c r="BT36" i="1"/>
  <c r="BT19" i="1"/>
  <c r="BT16" i="1"/>
  <c r="BT15" i="1"/>
  <c r="BT14" i="1"/>
  <c r="BT11" i="1"/>
  <c r="BT3" i="1"/>
  <c r="BT2" i="1"/>
  <c r="BR53" i="1"/>
  <c r="BR52" i="1"/>
  <c r="BR48" i="1"/>
  <c r="BR46" i="1"/>
  <c r="BR45" i="1"/>
  <c r="BR44" i="1"/>
  <c r="BR43" i="1"/>
  <c r="BR41" i="1"/>
  <c r="BR40" i="1"/>
  <c r="BR39" i="1"/>
  <c r="BR38" i="1"/>
  <c r="BR37" i="1"/>
  <c r="BR36" i="1"/>
  <c r="BR31" i="1"/>
  <c r="BR29" i="1"/>
  <c r="BR28" i="1"/>
  <c r="BR27" i="1"/>
  <c r="BR26" i="1"/>
  <c r="BR25" i="1"/>
  <c r="BR24" i="1"/>
  <c r="BR23" i="1"/>
  <c r="BR19" i="1"/>
  <c r="BR14" i="1"/>
  <c r="BR7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3" i="1"/>
  <c r="BN12" i="1"/>
  <c r="BN11" i="1"/>
  <c r="BN10" i="1"/>
  <c r="BN9" i="1"/>
  <c r="BN8" i="1"/>
  <c r="BN7" i="1"/>
  <c r="BN6" i="1"/>
  <c r="BN5" i="1"/>
  <c r="BN4" i="1"/>
  <c r="BN3" i="1"/>
  <c r="BN2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1" i="1"/>
  <c r="BL10" i="1"/>
  <c r="BL9" i="1"/>
  <c r="BL8" i="1"/>
  <c r="BL7" i="1"/>
  <c r="BL6" i="1"/>
  <c r="BL5" i="1"/>
  <c r="BL4" i="1"/>
  <c r="BL3" i="1"/>
  <c r="BL2" i="1"/>
  <c r="BH11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3" i="1"/>
  <c r="BF12" i="1"/>
  <c r="BF11" i="1"/>
  <c r="BF10" i="1"/>
  <c r="BF9" i="1"/>
  <c r="BF8" i="1"/>
  <c r="BF7" i="1"/>
  <c r="BF6" i="1"/>
  <c r="BF5" i="1"/>
  <c r="BF4" i="1"/>
  <c r="BF3" i="1"/>
  <c r="BF2" i="1"/>
  <c r="BD53" i="1"/>
  <c r="BD52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0" i="1"/>
  <c r="BB9" i="1"/>
  <c r="BB8" i="1"/>
  <c r="BB7" i="1"/>
  <c r="BB6" i="1"/>
  <c r="BB5" i="1"/>
  <c r="BB4" i="1"/>
  <c r="BB3" i="1"/>
  <c r="BB2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Z2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X2" i="1"/>
  <c r="AV53" i="1"/>
  <c r="AV52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V2" i="1"/>
  <c r="AT53" i="1"/>
  <c r="AT52" i="1"/>
  <c r="AT51" i="1"/>
  <c r="AT50" i="1"/>
  <c r="AT49" i="1"/>
  <c r="AT48" i="1"/>
  <c r="AT47" i="1"/>
  <c r="AT46" i="1"/>
  <c r="AT45" i="1"/>
  <c r="AT44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T2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4" i="1"/>
  <c r="AR13" i="1"/>
  <c r="AR12" i="1"/>
  <c r="AR11" i="1"/>
  <c r="AR10" i="1"/>
  <c r="AR9" i="1"/>
  <c r="AR8" i="1"/>
  <c r="AR7" i="1"/>
  <c r="AR6" i="1"/>
  <c r="AR5" i="1"/>
  <c r="AR4" i="1"/>
  <c r="AR3" i="1"/>
  <c r="AR2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AP2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2" i="1"/>
  <c r="AL53" i="1"/>
  <c r="AL52" i="1"/>
  <c r="AL51" i="1"/>
  <c r="AL50" i="1"/>
  <c r="AL49" i="1"/>
  <c r="AL48" i="1"/>
  <c r="AL45" i="1"/>
  <c r="AL44" i="1"/>
  <c r="AL43" i="1"/>
  <c r="AL40" i="1"/>
  <c r="AL39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4" i="1"/>
  <c r="AL12" i="1"/>
  <c r="AL11" i="1"/>
  <c r="AL10" i="1"/>
  <c r="AL7" i="1"/>
  <c r="AL6" i="1"/>
  <c r="AL4" i="1"/>
  <c r="AL2" i="1"/>
  <c r="AJ53" i="1"/>
  <c r="AJ52" i="1"/>
  <c r="AJ51" i="1"/>
  <c r="AJ50" i="1"/>
  <c r="AJ49" i="1"/>
  <c r="AJ48" i="1"/>
  <c r="AJ47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AJ2" i="1"/>
  <c r="AH53" i="1"/>
  <c r="AH52" i="1"/>
  <c r="AH51" i="1"/>
  <c r="AH50" i="1"/>
  <c r="AH49" i="1"/>
  <c r="AH48" i="1"/>
  <c r="AH47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F4" i="1"/>
  <c r="AF3" i="1"/>
  <c r="AF2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B43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X41" i="1"/>
  <c r="X40" i="1"/>
  <c r="X39" i="1"/>
  <c r="X38" i="1"/>
  <c r="X35" i="1"/>
  <c r="X34" i="1"/>
  <c r="X33" i="1"/>
  <c r="X32" i="1"/>
  <c r="T43" i="1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F134" i="6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I2" i="6" a="1"/>
  <c r="I2" i="6" s="1"/>
  <c r="H2" i="6" a="1"/>
  <c r="H2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F2" i="6"/>
  <c r="D2" i="5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EP5" i="1"/>
  <c r="ED5" i="1"/>
  <c r="DX21" i="1"/>
  <c r="DR13" i="1"/>
  <c r="DP25" i="1"/>
  <c r="DJ49" i="1"/>
  <c r="DJ17" i="1"/>
  <c r="DH21" i="1"/>
  <c r="DF37" i="1"/>
  <c r="DD29" i="1"/>
  <c r="CV33" i="1"/>
  <c r="CN13" i="1"/>
  <c r="CL53" i="1"/>
  <c r="CJ49" i="1"/>
  <c r="CF49" i="1"/>
  <c r="CD45" i="1"/>
  <c r="CD41" i="1"/>
  <c r="CD17" i="1"/>
  <c r="CB53" i="1"/>
  <c r="BZ21" i="1"/>
  <c r="BZ9" i="1"/>
  <c r="BX25" i="1"/>
  <c r="BT45" i="1"/>
  <c r="BT41" i="1"/>
  <c r="BT33" i="1"/>
  <c r="BT29" i="1"/>
  <c r="BT25" i="1"/>
  <c r="BT21" i="1"/>
  <c r="BT17" i="1"/>
  <c r="BT13" i="1"/>
  <c r="BT9" i="1"/>
  <c r="BT5" i="1"/>
  <c r="BR49" i="1"/>
  <c r="BR33" i="1"/>
  <c r="BR21" i="1"/>
  <c r="BR17" i="1"/>
  <c r="BR13" i="1"/>
  <c r="BR9" i="1"/>
  <c r="BR5" i="1"/>
  <c r="CL15" i="1"/>
  <c r="CF51" i="1"/>
  <c r="BZ3" i="1"/>
  <c r="BX27" i="1"/>
  <c r="BT39" i="1"/>
  <c r="BT31" i="1"/>
  <c r="BT23" i="1"/>
  <c r="BR51" i="1"/>
  <c r="BR11" i="1"/>
  <c r="BR3" i="1"/>
  <c r="EH46" i="1"/>
  <c r="EB30" i="1"/>
  <c r="DZ50" i="1"/>
  <c r="DX30" i="1"/>
  <c r="DV10" i="1"/>
  <c r="DJ14" i="1"/>
  <c r="DH18" i="1"/>
  <c r="DB10" i="1"/>
  <c r="CJ50" i="1"/>
  <c r="CD10" i="1"/>
  <c r="BZ50" i="1"/>
  <c r="BZ6" i="1"/>
  <c r="BT42" i="1"/>
  <c r="BT34" i="1"/>
  <c r="BT30" i="1"/>
  <c r="BT22" i="1"/>
  <c r="BT6" i="1"/>
  <c r="BR42" i="1"/>
  <c r="BR30" i="1"/>
  <c r="BR22" i="1"/>
  <c r="BR6" i="1"/>
  <c r="EL28" i="1"/>
  <c r="EF12" i="1"/>
  <c r="DV12" i="1"/>
  <c r="DT52" i="1"/>
  <c r="DL12" i="1"/>
  <c r="DJ28" i="1"/>
  <c r="DJ20" i="1"/>
  <c r="DH28" i="1"/>
  <c r="CZ16" i="1"/>
  <c r="CX16" i="1"/>
  <c r="CV32" i="1"/>
  <c r="CP32" i="1"/>
  <c r="CL16" i="1"/>
  <c r="CD48" i="1"/>
  <c r="CD16" i="1"/>
  <c r="CD12" i="1"/>
  <c r="CD4" i="1"/>
  <c r="BZ28" i="1"/>
  <c r="BZ8" i="1"/>
  <c r="BZ4" i="1"/>
  <c r="BT48" i="1"/>
  <c r="BT44" i="1"/>
  <c r="BT40" i="1"/>
  <c r="BT32" i="1"/>
  <c r="BT28" i="1"/>
  <c r="BT24" i="1"/>
  <c r="BT20" i="1"/>
  <c r="BT12" i="1"/>
  <c r="BT8" i="1"/>
  <c r="BT4" i="1"/>
  <c r="BR32" i="1"/>
  <c r="BR20" i="1"/>
  <c r="BR16" i="1"/>
  <c r="BR12" i="1"/>
  <c r="BR8" i="1"/>
  <c r="BR4" i="1"/>
  <c r="CN15" i="1"/>
  <c r="CJ51" i="1"/>
  <c r="CH23" i="1"/>
  <c r="BZ47" i="1"/>
  <c r="BZ39" i="1"/>
  <c r="BZ11" i="1"/>
  <c r="BX31" i="1"/>
  <c r="BV43" i="1"/>
  <c r="BT43" i="1"/>
  <c r="BT35" i="1"/>
  <c r="BT27" i="1"/>
  <c r="BT7" i="1"/>
  <c r="BR47" i="1"/>
  <c r="BR35" i="1"/>
  <c r="BR15" i="1"/>
  <c r="EF10" i="1"/>
  <c r="DX50" i="1"/>
  <c r="DX26" i="1"/>
  <c r="CV34" i="1"/>
  <c r="CN42" i="1"/>
  <c r="CF50" i="1"/>
  <c r="CD2" i="1"/>
  <c r="BZ38" i="1"/>
  <c r="BT46" i="1"/>
  <c r="BT38" i="1"/>
  <c r="BT26" i="1"/>
  <c r="BT18" i="1"/>
  <c r="BT10" i="1"/>
  <c r="BR50" i="1"/>
  <c r="BR34" i="1"/>
  <c r="BR18" i="1"/>
  <c r="BR10" i="1"/>
  <c r="BR2" i="1"/>
  <c r="ET11" i="1"/>
  <c r="ER39" i="1"/>
  <c r="EN47" i="1"/>
  <c r="EJ7" i="1"/>
  <c r="DZ51" i="1"/>
  <c r="DZ11" i="1"/>
  <c r="DX23" i="1"/>
  <c r="DV11" i="1"/>
  <c r="DP31" i="1"/>
  <c r="DP27" i="1"/>
  <c r="DN51" i="1"/>
  <c r="DJ23" i="1"/>
  <c r="DH15" i="1"/>
  <c r="CZ51" i="1"/>
  <c r="CZ47" i="1"/>
  <c r="CZ27" i="1"/>
  <c r="CZ15" i="1"/>
  <c r="CX15" i="1"/>
  <c r="CV47" i="1"/>
  <c r="CV35" i="1"/>
  <c r="CT47" i="1"/>
  <c r="CR51" i="1"/>
  <c r="BP9" i="1"/>
  <c r="BP5" i="1"/>
  <c r="BJ53" i="1"/>
  <c r="BJ49" i="1"/>
  <c r="BJ45" i="1"/>
  <c r="BJ41" i="1"/>
  <c r="BJ37" i="1"/>
  <c r="BJ33" i="1"/>
  <c r="BJ29" i="1"/>
  <c r="BJ25" i="1"/>
  <c r="BJ21" i="1"/>
  <c r="BJ17" i="1"/>
  <c r="BJ13" i="1"/>
  <c r="BJ9" i="1"/>
  <c r="BJ5" i="1"/>
  <c r="BH53" i="1"/>
  <c r="BH49" i="1"/>
  <c r="BH45" i="1"/>
  <c r="BH41" i="1"/>
  <c r="BH37" i="1"/>
  <c r="BH33" i="1"/>
  <c r="BH29" i="1"/>
  <c r="BH25" i="1"/>
  <c r="BH21" i="1"/>
  <c r="BH17" i="1"/>
  <c r="BH13" i="1"/>
  <c r="BH9" i="1"/>
  <c r="BH5" i="1"/>
  <c r="BD49" i="1"/>
  <c r="BD45" i="1"/>
  <c r="BD41" i="1"/>
  <c r="BD37" i="1"/>
  <c r="BD33" i="1"/>
  <c r="BD29" i="1"/>
  <c r="BD25" i="1"/>
  <c r="BD21" i="1"/>
  <c r="BD17" i="1"/>
  <c r="BD13" i="1"/>
  <c r="BD9" i="1"/>
  <c r="BD5" i="1"/>
  <c r="AZ17" i="1"/>
  <c r="AX41" i="1"/>
  <c r="AV49" i="1"/>
  <c r="BJ46" i="1"/>
  <c r="BJ34" i="1"/>
  <c r="BJ22" i="1"/>
  <c r="BJ6" i="1"/>
  <c r="BH50" i="1"/>
  <c r="BH38" i="1"/>
  <c r="BH26" i="1"/>
  <c r="BH14" i="1"/>
  <c r="BH2" i="1"/>
  <c r="BD50" i="1"/>
  <c r="BD38" i="1"/>
  <c r="BD26" i="1"/>
  <c r="BD14" i="1"/>
  <c r="BD2" i="1"/>
  <c r="BP8" i="1"/>
  <c r="BP4" i="1"/>
  <c r="BL12" i="1"/>
  <c r="BJ52" i="1"/>
  <c r="BJ48" i="1"/>
  <c r="BJ44" i="1"/>
  <c r="BJ40" i="1"/>
  <c r="BJ36" i="1"/>
  <c r="BJ32" i="1"/>
  <c r="BJ28" i="1"/>
  <c r="BJ24" i="1"/>
  <c r="BJ20" i="1"/>
  <c r="BJ16" i="1"/>
  <c r="BJ12" i="1"/>
  <c r="BJ8" i="1"/>
  <c r="BJ4" i="1"/>
  <c r="BH52" i="1"/>
  <c r="BH48" i="1"/>
  <c r="BH44" i="1"/>
  <c r="BH40" i="1"/>
  <c r="BH36" i="1"/>
  <c r="BH32" i="1"/>
  <c r="BH28" i="1"/>
  <c r="BH24" i="1"/>
  <c r="BH20" i="1"/>
  <c r="BH16" i="1"/>
  <c r="BH12" i="1"/>
  <c r="BH8" i="1"/>
  <c r="BH4" i="1"/>
  <c r="BF32" i="1"/>
  <c r="BD48" i="1"/>
  <c r="BD44" i="1"/>
  <c r="BD40" i="1"/>
  <c r="BD36" i="1"/>
  <c r="BD32" i="1"/>
  <c r="BD28" i="1"/>
  <c r="BD24" i="1"/>
  <c r="BD20" i="1"/>
  <c r="BD16" i="1"/>
  <c r="BD12" i="1"/>
  <c r="BD8" i="1"/>
  <c r="BD4" i="1"/>
  <c r="AX40" i="1"/>
  <c r="BP6" i="1"/>
  <c r="BN14" i="1"/>
  <c r="BJ42" i="1"/>
  <c r="BJ30" i="1"/>
  <c r="BJ18" i="1"/>
  <c r="BJ10" i="1"/>
  <c r="BH46" i="1"/>
  <c r="BH34" i="1"/>
  <c r="BH22" i="1"/>
  <c r="BH10" i="1"/>
  <c r="BF14" i="1"/>
  <c r="BD46" i="1"/>
  <c r="BD34" i="1"/>
  <c r="BD22" i="1"/>
  <c r="BD10" i="1"/>
  <c r="AV50" i="1"/>
  <c r="BP7" i="1"/>
  <c r="BP3" i="1"/>
  <c r="BJ51" i="1"/>
  <c r="BJ47" i="1"/>
  <c r="BJ43" i="1"/>
  <c r="BJ39" i="1"/>
  <c r="BJ35" i="1"/>
  <c r="BJ31" i="1"/>
  <c r="BJ27" i="1"/>
  <c r="BJ23" i="1"/>
  <c r="BJ19" i="1"/>
  <c r="BJ15" i="1"/>
  <c r="BJ11" i="1"/>
  <c r="BJ7" i="1"/>
  <c r="BJ3" i="1"/>
  <c r="BH51" i="1"/>
  <c r="BH47" i="1"/>
  <c r="BH43" i="1"/>
  <c r="BH39" i="1"/>
  <c r="BH35" i="1"/>
  <c r="BH31" i="1"/>
  <c r="BH27" i="1"/>
  <c r="BH23" i="1"/>
  <c r="BH19" i="1"/>
  <c r="BH15" i="1"/>
  <c r="BH7" i="1"/>
  <c r="BH3" i="1"/>
  <c r="BD51" i="1"/>
  <c r="BD47" i="1"/>
  <c r="BD43" i="1"/>
  <c r="BD39" i="1"/>
  <c r="BD35" i="1"/>
  <c r="BD31" i="1"/>
  <c r="BD27" i="1"/>
  <c r="BD23" i="1"/>
  <c r="BD19" i="1"/>
  <c r="BD15" i="1"/>
  <c r="BD11" i="1"/>
  <c r="BD7" i="1"/>
  <c r="BD3" i="1"/>
  <c r="BB11" i="1"/>
  <c r="AX39" i="1"/>
  <c r="AV51" i="1"/>
  <c r="BP2" i="1"/>
  <c r="BJ50" i="1"/>
  <c r="BJ38" i="1"/>
  <c r="BJ26" i="1"/>
  <c r="BJ14" i="1"/>
  <c r="BJ2" i="1"/>
  <c r="BH42" i="1"/>
  <c r="BH30" i="1"/>
  <c r="BH18" i="1"/>
  <c r="BH6" i="1"/>
  <c r="BD42" i="1"/>
  <c r="BD30" i="1"/>
  <c r="BD18" i="1"/>
  <c r="BD6" i="1"/>
  <c r="AX38" i="1"/>
  <c r="AT43" i="1"/>
  <c r="AR16" i="1"/>
  <c r="AR15" i="1"/>
  <c r="AP41" i="1"/>
  <c r="AP38" i="1"/>
  <c r="AP40" i="1"/>
  <c r="AP39" i="1"/>
  <c r="AN33" i="1"/>
  <c r="AN32" i="1"/>
  <c r="AN34" i="1"/>
  <c r="AN35" i="1"/>
  <c r="AL41" i="1"/>
  <c r="AL13" i="1"/>
  <c r="AL9" i="1"/>
  <c r="AL5" i="1"/>
  <c r="AJ45" i="1"/>
  <c r="AH45" i="1"/>
  <c r="AF33" i="1"/>
  <c r="AD33" i="1"/>
  <c r="AB53" i="1"/>
  <c r="AB49" i="1"/>
  <c r="AB45" i="1"/>
  <c r="AB41" i="1"/>
  <c r="AB37" i="1"/>
  <c r="AB33" i="1"/>
  <c r="AB29" i="1"/>
  <c r="AB25" i="1"/>
  <c r="AB21" i="1"/>
  <c r="AB17" i="1"/>
  <c r="AB13" i="1"/>
  <c r="AB9" i="1"/>
  <c r="AB5" i="1"/>
  <c r="AD34" i="1"/>
  <c r="AB46" i="1"/>
  <c r="AB38" i="1"/>
  <c r="AB26" i="1"/>
  <c r="AB14" i="1"/>
  <c r="AB2" i="1"/>
  <c r="AL16" i="1"/>
  <c r="AL8" i="1"/>
  <c r="AJ44" i="1"/>
  <c r="AH44" i="1"/>
  <c r="AF32" i="1"/>
  <c r="AD32" i="1"/>
  <c r="AB52" i="1"/>
  <c r="AB48" i="1"/>
  <c r="AB44" i="1"/>
  <c r="AB40" i="1"/>
  <c r="AB36" i="1"/>
  <c r="AB32" i="1"/>
  <c r="AB28" i="1"/>
  <c r="AB24" i="1"/>
  <c r="AB20" i="1"/>
  <c r="AB16" i="1"/>
  <c r="AB12" i="1"/>
  <c r="AB8" i="1"/>
  <c r="AB4" i="1"/>
  <c r="AB34" i="1"/>
  <c r="AB18" i="1"/>
  <c r="AB6" i="1"/>
  <c r="AL47" i="1"/>
  <c r="AL15" i="1"/>
  <c r="AL3" i="1"/>
  <c r="AJ43" i="1"/>
  <c r="AF35" i="1"/>
  <c r="AD35" i="1"/>
  <c r="AB51" i="1"/>
  <c r="AB47" i="1"/>
  <c r="AB39" i="1"/>
  <c r="AB35" i="1"/>
  <c r="AB31" i="1"/>
  <c r="AB27" i="1"/>
  <c r="AB23" i="1"/>
  <c r="AB19" i="1"/>
  <c r="AB15" i="1"/>
  <c r="AB11" i="1"/>
  <c r="AB7" i="1"/>
  <c r="AB3" i="1"/>
  <c r="AB50" i="1"/>
  <c r="AB42" i="1"/>
  <c r="AB30" i="1"/>
  <c r="AB22" i="1"/>
  <c r="AB10" i="1"/>
  <c r="AL46" i="1"/>
  <c r="AL42" i="1"/>
  <c r="AL38" i="1"/>
  <c r="AJ46" i="1"/>
  <c r="AH46" i="1"/>
  <c r="AF34" i="1"/>
  <c r="Z33" i="1"/>
  <c r="Z34" i="1"/>
  <c r="Z32" i="1"/>
  <c r="Z35" i="1"/>
  <c r="X53" i="1"/>
  <c r="X49" i="1"/>
  <c r="X45" i="1"/>
  <c r="X37" i="1"/>
  <c r="X29" i="1"/>
  <c r="X25" i="1"/>
  <c r="X21" i="1"/>
  <c r="X17" i="1"/>
  <c r="X13" i="1"/>
  <c r="X9" i="1"/>
  <c r="X5" i="1"/>
  <c r="X42" i="1"/>
  <c r="X26" i="1"/>
  <c r="X14" i="1"/>
  <c r="X2" i="1"/>
  <c r="X52" i="1"/>
  <c r="X48" i="1"/>
  <c r="X44" i="1"/>
  <c r="X36" i="1"/>
  <c r="X28" i="1"/>
  <c r="X24" i="1"/>
  <c r="X20" i="1"/>
  <c r="X16" i="1"/>
  <c r="X12" i="1"/>
  <c r="X8" i="1"/>
  <c r="X4" i="1"/>
  <c r="X46" i="1"/>
  <c r="X22" i="1"/>
  <c r="X10" i="1"/>
  <c r="X51" i="1"/>
  <c r="X47" i="1"/>
  <c r="X43" i="1"/>
  <c r="X31" i="1"/>
  <c r="X27" i="1"/>
  <c r="X23" i="1"/>
  <c r="X19" i="1"/>
  <c r="X15" i="1"/>
  <c r="X11" i="1"/>
  <c r="X7" i="1"/>
  <c r="X3" i="1"/>
  <c r="X50" i="1"/>
  <c r="X30" i="1"/>
  <c r="X18" i="1"/>
  <c r="X6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42" i="1"/>
  <c r="V30" i="1"/>
  <c r="V18" i="1"/>
  <c r="V6" i="1"/>
  <c r="V52" i="1"/>
  <c r="V48" i="1"/>
  <c r="V44" i="1"/>
  <c r="V40" i="1"/>
  <c r="V36" i="1"/>
  <c r="V32" i="1"/>
  <c r="V28" i="1"/>
  <c r="V24" i="1"/>
  <c r="V20" i="1"/>
  <c r="V16" i="1"/>
  <c r="V12" i="1"/>
  <c r="V8" i="1"/>
  <c r="V4" i="1"/>
  <c r="V46" i="1"/>
  <c r="V34" i="1"/>
  <c r="V22" i="1"/>
  <c r="V10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50" i="1"/>
  <c r="V38" i="1"/>
  <c r="V26" i="1"/>
  <c r="V14" i="1"/>
  <c r="V2" i="1"/>
  <c r="T53" i="1"/>
  <c r="T49" i="1"/>
  <c r="T45" i="1"/>
  <c r="T41" i="1"/>
  <c r="T37" i="1"/>
  <c r="T33" i="1"/>
  <c r="T29" i="1"/>
  <c r="T25" i="1"/>
  <c r="T21" i="1"/>
  <c r="T17" i="1"/>
  <c r="T13" i="1"/>
  <c r="T9" i="1"/>
  <c r="T5" i="1"/>
  <c r="T47" i="1"/>
  <c r="T31" i="1"/>
  <c r="T23" i="1"/>
  <c r="T15" i="1"/>
  <c r="T7" i="1"/>
  <c r="T46" i="1"/>
  <c r="T38" i="1"/>
  <c r="T30" i="1"/>
  <c r="T22" i="1"/>
  <c r="T14" i="1"/>
  <c r="T6" i="1"/>
  <c r="T52" i="1"/>
  <c r="T48" i="1"/>
  <c r="T44" i="1"/>
  <c r="T40" i="1"/>
  <c r="T36" i="1"/>
  <c r="T32" i="1"/>
  <c r="T28" i="1"/>
  <c r="T24" i="1"/>
  <c r="T20" i="1"/>
  <c r="T16" i="1"/>
  <c r="T12" i="1"/>
  <c r="T8" i="1"/>
  <c r="T4" i="1"/>
  <c r="T51" i="1"/>
  <c r="T39" i="1"/>
  <c r="T35" i="1"/>
  <c r="T27" i="1"/>
  <c r="T19" i="1"/>
  <c r="T11" i="1"/>
  <c r="T3" i="1"/>
  <c r="T50" i="1"/>
  <c r="T42" i="1"/>
  <c r="T34" i="1"/>
  <c r="T26" i="1"/>
  <c r="T18" i="1"/>
  <c r="T10" i="1"/>
  <c r="T2" i="1"/>
  <c r="R3" i="1"/>
  <c r="R7" i="1"/>
  <c r="R11" i="1"/>
  <c r="R15" i="1"/>
  <c r="R19" i="1"/>
  <c r="R23" i="1"/>
  <c r="R27" i="1"/>
  <c r="R31" i="1"/>
  <c r="R35" i="1"/>
  <c r="R39" i="1"/>
  <c r="R43" i="1"/>
  <c r="R47" i="1"/>
  <c r="R51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" i="1"/>
  <c r="R9" i="1"/>
  <c r="R13" i="1"/>
  <c r="R17" i="1"/>
  <c r="R21" i="1"/>
  <c r="R25" i="1"/>
  <c r="R29" i="1"/>
  <c r="R33" i="1"/>
  <c r="R37" i="1"/>
  <c r="R41" i="1"/>
  <c r="R45" i="1"/>
  <c r="R49" i="1"/>
  <c r="R53" i="1"/>
  <c r="R6" i="1"/>
  <c r="R10" i="1"/>
  <c r="R14" i="1"/>
  <c r="R18" i="1"/>
  <c r="R22" i="1"/>
  <c r="R26" i="1"/>
  <c r="R30" i="1"/>
  <c r="R34" i="1"/>
  <c r="R38" i="1"/>
  <c r="R42" i="1"/>
  <c r="R46" i="1"/>
  <c r="R50" i="1"/>
  <c r="R2" i="1"/>
  <c r="I133" i="6" l="1"/>
  <c r="I121" i="6"/>
  <c r="I105" i="6"/>
  <c r="I93" i="6"/>
  <c r="I85" i="6"/>
  <c r="I69" i="6"/>
  <c r="I61" i="6"/>
  <c r="I45" i="6"/>
  <c r="I37" i="6"/>
  <c r="I29" i="6"/>
  <c r="I21" i="6"/>
  <c r="I5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I40" i="6"/>
  <c r="I36" i="6"/>
  <c r="I32" i="6"/>
  <c r="I28" i="6"/>
  <c r="I24" i="6"/>
  <c r="I20" i="6"/>
  <c r="I16" i="6"/>
  <c r="I12" i="6"/>
  <c r="I8" i="6"/>
  <c r="I4" i="6"/>
  <c r="I125" i="6"/>
  <c r="I113" i="6"/>
  <c r="I97" i="6"/>
  <c r="I81" i="6"/>
  <c r="I73" i="6"/>
  <c r="I57" i="6"/>
  <c r="I49" i="6"/>
  <c r="I33" i="6"/>
  <c r="I25" i="6"/>
  <c r="I17" i="6"/>
  <c r="I9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3" i="6"/>
  <c r="I129" i="6"/>
  <c r="I117" i="6"/>
  <c r="I109" i="6"/>
  <c r="I101" i="6"/>
  <c r="I89" i="6"/>
  <c r="I77" i="6"/>
  <c r="I65" i="6"/>
  <c r="I53" i="6"/>
  <c r="I41" i="6"/>
  <c r="I13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H121" i="6"/>
  <c r="H109" i="6"/>
  <c r="H101" i="6"/>
  <c r="H85" i="6"/>
  <c r="H73" i="6"/>
  <c r="H65" i="6"/>
  <c r="H53" i="6"/>
  <c r="H41" i="6"/>
  <c r="H33" i="6"/>
  <c r="H25" i="6"/>
  <c r="H17" i="6"/>
  <c r="H5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125" i="6"/>
  <c r="H113" i="6"/>
  <c r="H97" i="6"/>
  <c r="H89" i="6"/>
  <c r="H77" i="6"/>
  <c r="H61" i="6"/>
  <c r="H49" i="6"/>
  <c r="H37" i="6"/>
  <c r="H29" i="6"/>
  <c r="H21" i="6"/>
  <c r="H9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133" i="6"/>
  <c r="H129" i="6"/>
  <c r="H117" i="6"/>
  <c r="H105" i="6"/>
  <c r="H93" i="6"/>
  <c r="H81" i="6"/>
  <c r="H69" i="6"/>
  <c r="H57" i="6"/>
  <c r="H45" i="6"/>
  <c r="H13" i="6"/>
  <c r="H134" i="6"/>
  <c r="H130" i="6"/>
  <c r="H126" i="6"/>
  <c r="H122" i="6"/>
  <c r="H118" i="6"/>
  <c r="H114" i="6"/>
  <c r="H110" i="6"/>
  <c r="H106" i="6"/>
  <c r="H102" i="6"/>
  <c r="H98" i="6"/>
  <c r="H94" i="6"/>
  <c r="H90" i="6"/>
  <c r="H86" i="6"/>
  <c r="H82" i="6"/>
  <c r="H78" i="6"/>
  <c r="H74" i="6"/>
  <c r="H70" i="6"/>
  <c r="H66" i="6"/>
  <c r="H62" i="6"/>
  <c r="H58" i="6"/>
  <c r="H54" i="6"/>
  <c r="H50" i="6"/>
  <c r="H46" i="6"/>
  <c r="H42" i="6"/>
  <c r="H38" i="6"/>
  <c r="H34" i="6"/>
  <c r="H30" i="6"/>
  <c r="H26" i="6"/>
  <c r="H22" i="6"/>
  <c r="H18" i="6"/>
  <c r="H14" i="6"/>
  <c r="H10" i="6"/>
  <c r="H6" i="6"/>
  <c r="B5" i="5" a="1"/>
  <c r="B5" i="5" s="1"/>
  <c r="F2" i="5"/>
  <c r="H2" i="5" s="1"/>
  <c r="J2" i="5" s="1"/>
  <c r="L2" i="5" s="1"/>
  <c r="N2" i="5" s="1"/>
  <c r="P2" i="5" s="1"/>
  <c r="R2" i="5" s="1"/>
  <c r="T2" i="5" s="1"/>
  <c r="V2" i="5" s="1"/>
  <c r="X2" i="5" s="1"/>
  <c r="Z2" i="5" s="1"/>
  <c r="AB2" i="5" s="1"/>
  <c r="AD2" i="5" s="1"/>
  <c r="AF2" i="5" s="1"/>
  <c r="AH2" i="5" s="1"/>
  <c r="AJ2" i="5" s="1"/>
  <c r="AL2" i="5" s="1"/>
  <c r="AN2" i="5" s="1"/>
  <c r="AP2" i="5" s="1"/>
  <c r="AR2" i="5" s="1"/>
  <c r="AT2" i="5" s="1"/>
  <c r="AV2" i="5" s="1"/>
  <c r="AX2" i="5" s="1"/>
  <c r="AZ2" i="5" s="1"/>
  <c r="BB2" i="5" s="1"/>
  <c r="BD2" i="5" s="1"/>
  <c r="BF2" i="5" s="1"/>
  <c r="BH2" i="5" s="1"/>
  <c r="BJ2" i="5" s="1"/>
  <c r="BL2" i="5" s="1"/>
  <c r="BN2" i="5" s="1"/>
  <c r="BP2" i="5" s="1"/>
  <c r="BR2" i="5" s="1"/>
  <c r="BT2" i="5" s="1"/>
  <c r="BV2" i="5" s="1"/>
  <c r="BX2" i="5" s="1"/>
  <c r="BZ2" i="5" s="1"/>
  <c r="CB2" i="5" s="1"/>
  <c r="CD2" i="5" s="1"/>
  <c r="CF2" i="5" s="1"/>
  <c r="CH2" i="5" s="1"/>
  <c r="CJ2" i="5" s="1"/>
  <c r="CL2" i="5" s="1"/>
  <c r="CN2" i="5" s="1"/>
  <c r="CP2" i="5" s="1"/>
  <c r="CR2" i="5" s="1"/>
  <c r="CT2" i="5" s="1"/>
  <c r="CV2" i="5" s="1"/>
  <c r="CX2" i="5" s="1"/>
  <c r="CZ2" i="5" s="1"/>
  <c r="DB2" i="5" s="1"/>
  <c r="DD2" i="5" s="1"/>
  <c r="DF2" i="5" s="1"/>
  <c r="DH2" i="5" s="1"/>
  <c r="DJ2" i="5" s="1"/>
  <c r="DL2" i="5" s="1"/>
  <c r="DN2" i="5" s="1"/>
  <c r="DP2" i="5" s="1"/>
  <c r="DR2" i="5" s="1"/>
  <c r="DT2" i="5" s="1"/>
  <c r="DV2" i="5" s="1"/>
  <c r="DX2" i="5" s="1"/>
  <c r="DZ2" i="5" s="1"/>
  <c r="EB2" i="5" s="1"/>
  <c r="ED2" i="5" s="1"/>
  <c r="A15" i="7"/>
  <c r="A31" i="7"/>
  <c r="A47" i="7"/>
  <c r="A12" i="7"/>
  <c r="A28" i="7"/>
  <c r="A48" i="7"/>
  <c r="A5" i="7"/>
  <c r="A25" i="7"/>
  <c r="A41" i="7"/>
  <c r="A6" i="7"/>
  <c r="A22" i="7"/>
  <c r="A38" i="7"/>
  <c r="A2" i="7"/>
  <c r="A3" i="7"/>
  <c r="A19" i="7"/>
  <c r="A35" i="7"/>
  <c r="A51" i="7"/>
  <c r="A16" i="7"/>
  <c r="A32" i="7"/>
  <c r="A9" i="7"/>
  <c r="A13" i="7"/>
  <c r="A29" i="7"/>
  <c r="A45" i="7"/>
  <c r="A10" i="7"/>
  <c r="A26" i="7"/>
  <c r="A42" i="7"/>
  <c r="A7" i="7"/>
  <c r="A23" i="7"/>
  <c r="A39" i="7"/>
  <c r="A4" i="7"/>
  <c r="A20" i="7"/>
  <c r="A36" i="7"/>
  <c r="A40" i="7"/>
  <c r="A17" i="7"/>
  <c r="A33" i="7"/>
  <c r="A49" i="7"/>
  <c r="A14" i="7"/>
  <c r="A30" i="7"/>
  <c r="A46" i="7"/>
  <c r="A11" i="7"/>
  <c r="A27" i="7"/>
  <c r="A43" i="7"/>
  <c r="A8" i="7"/>
  <c r="A24" i="7"/>
  <c r="A44" i="7"/>
  <c r="A52" i="7"/>
  <c r="A21" i="7"/>
  <c r="A37" i="7"/>
  <c r="A53" i="7"/>
  <c r="A18" i="7"/>
  <c r="A34" i="7"/>
  <c r="A50" i="7"/>
  <c r="CL5" i="5" l="1"/>
  <c r="BS5" i="5"/>
  <c r="CI5" i="5"/>
  <c r="J5" i="5"/>
  <c r="BV5" i="5"/>
  <c r="M5" i="5"/>
  <c r="BC5" i="5"/>
  <c r="Z5" i="5"/>
  <c r="G5" i="5"/>
  <c r="AP5" i="5"/>
  <c r="DB5" i="5"/>
  <c r="W5" i="5"/>
  <c r="BF5" i="5"/>
  <c r="DR5" i="5"/>
  <c r="AM5" i="5"/>
  <c r="CY5" i="5"/>
  <c r="R5" i="5"/>
  <c r="AH5" i="5"/>
  <c r="AX5" i="5"/>
  <c r="BN5" i="5"/>
  <c r="CD5" i="5"/>
  <c r="CT5" i="5"/>
  <c r="DJ5" i="5"/>
  <c r="DZ5" i="5"/>
  <c r="CC5" i="5"/>
  <c r="O5" i="5"/>
  <c r="AE5" i="5"/>
  <c r="AU5" i="5"/>
  <c r="BK5" i="5"/>
  <c r="CA5" i="5"/>
  <c r="CQ5" i="5"/>
  <c r="DG5" i="5"/>
  <c r="DW5" i="5"/>
  <c r="L5" i="5"/>
  <c r="AB5" i="5"/>
  <c r="AR5" i="5"/>
  <c r="BH5" i="5"/>
  <c r="BX5" i="5"/>
  <c r="CN5" i="5"/>
  <c r="DD5" i="5"/>
  <c r="DT5" i="5"/>
  <c r="I5" i="5"/>
  <c r="AC5" i="5"/>
  <c r="AS5" i="5"/>
  <c r="BM5" i="5"/>
  <c r="CG5" i="5"/>
  <c r="CW5" i="5"/>
  <c r="DU5" i="5"/>
  <c r="DA5" i="5"/>
  <c r="DO5" i="5"/>
  <c r="D5" i="5"/>
  <c r="T5" i="5"/>
  <c r="AJ5" i="5"/>
  <c r="AZ5" i="5"/>
  <c r="BP5" i="5"/>
  <c r="CF5" i="5"/>
  <c r="CV5" i="5"/>
  <c r="DL5" i="5"/>
  <c r="EB5" i="5"/>
  <c r="U5" i="5"/>
  <c r="AK5" i="5"/>
  <c r="BA5" i="5"/>
  <c r="BU5" i="5"/>
  <c r="EC5" i="5"/>
  <c r="DI5" i="5"/>
  <c r="CO5" i="5"/>
  <c r="N5" i="5"/>
  <c r="AD5" i="5"/>
  <c r="AT5" i="5"/>
  <c r="BJ5" i="5"/>
  <c r="BZ5" i="5"/>
  <c r="CP5" i="5"/>
  <c r="DF5" i="5"/>
  <c r="DV5" i="5"/>
  <c r="BI5" i="5"/>
  <c r="K5" i="5"/>
  <c r="AA5" i="5"/>
  <c r="AQ5" i="5"/>
  <c r="BG5" i="5"/>
  <c r="BW5" i="5"/>
  <c r="CM5" i="5"/>
  <c r="DC5" i="5"/>
  <c r="DS5" i="5"/>
  <c r="H5" i="5"/>
  <c r="X5" i="5"/>
  <c r="AN5" i="5"/>
  <c r="BD5" i="5"/>
  <c r="BT5" i="5"/>
  <c r="CJ5" i="5"/>
  <c r="CZ5" i="5"/>
  <c r="DP5" i="5"/>
  <c r="E5" i="5"/>
  <c r="Y5" i="5"/>
  <c r="AO5" i="5"/>
  <c r="BE5" i="5"/>
  <c r="BY5" i="5"/>
  <c r="DM5" i="5"/>
  <c r="CS5" i="5"/>
  <c r="DQ5" i="5"/>
  <c r="F5" i="5"/>
  <c r="V5" i="5"/>
  <c r="AL5" i="5"/>
  <c r="BB5" i="5"/>
  <c r="BR5" i="5"/>
  <c r="CH5" i="5"/>
  <c r="CX5" i="5"/>
  <c r="DN5" i="5"/>
  <c r="ED5" i="5"/>
  <c r="C5" i="5"/>
  <c r="S5" i="5"/>
  <c r="AI5" i="5"/>
  <c r="AY5" i="5"/>
  <c r="BO5" i="5"/>
  <c r="CE5" i="5"/>
  <c r="CU5" i="5"/>
  <c r="DK5" i="5"/>
  <c r="EA5" i="5"/>
  <c r="P5" i="5"/>
  <c r="AF5" i="5"/>
  <c r="AV5" i="5"/>
  <c r="BL5" i="5"/>
  <c r="CB5" i="5"/>
  <c r="CR5" i="5"/>
  <c r="DH5" i="5"/>
  <c r="DX5" i="5"/>
  <c r="Q5" i="5"/>
  <c r="AG5" i="5"/>
  <c r="AW5" i="5"/>
  <c r="BQ5" i="5"/>
  <c r="CK5" i="5"/>
  <c r="DY5" i="5"/>
  <c r="DE5" i="5"/>
  <c r="B2" i="6" a="1"/>
  <c r="CK14" i="7"/>
  <c r="CK34" i="7"/>
  <c r="CK23" i="7"/>
  <c r="CK3" i="7"/>
  <c r="CK4" i="7"/>
  <c r="CK20" i="7"/>
  <c r="CK36" i="7"/>
  <c r="CK52" i="7"/>
  <c r="CK15" i="7"/>
  <c r="CK10" i="7"/>
  <c r="CK30" i="7"/>
  <c r="CK50" i="7"/>
  <c r="CK6" i="7"/>
  <c r="CK35" i="7"/>
  <c r="CK19" i="7"/>
  <c r="CK8" i="7"/>
  <c r="CK24" i="7"/>
  <c r="CK40" i="7"/>
  <c r="CK27" i="7"/>
  <c r="CK26" i="7"/>
  <c r="CK46" i="7"/>
  <c r="CK2" i="7"/>
  <c r="CK22" i="7"/>
  <c r="CK47" i="7"/>
  <c r="CK31" i="7"/>
  <c r="CK12" i="7"/>
  <c r="CK28" i="7"/>
  <c r="CK44" i="7"/>
  <c r="CK39" i="7"/>
  <c r="CK42" i="7"/>
  <c r="CK18" i="7"/>
  <c r="CK38" i="7"/>
  <c r="CK11" i="7"/>
  <c r="CK51" i="7"/>
  <c r="CK43" i="7"/>
  <c r="CK16" i="7"/>
  <c r="CK32" i="7"/>
  <c r="CK48" i="7"/>
  <c r="CK7" i="7"/>
  <c r="CK13" i="7"/>
  <c r="CK29" i="7"/>
  <c r="CK45" i="7"/>
  <c r="CK17" i="7"/>
  <c r="CK33" i="7"/>
  <c r="CK49" i="7"/>
  <c r="CK5" i="7"/>
  <c r="CK21" i="7"/>
  <c r="CK37" i="7"/>
  <c r="CK53" i="7"/>
  <c r="CK9" i="7"/>
  <c r="CK25" i="7"/>
  <c r="CK41" i="7"/>
  <c r="BU39" i="7"/>
  <c r="BU47" i="7"/>
  <c r="BU7" i="7"/>
  <c r="BU31" i="7"/>
  <c r="BU15" i="7"/>
  <c r="BU18" i="7"/>
  <c r="BU50" i="7"/>
  <c r="BU27" i="7"/>
  <c r="BU6" i="7"/>
  <c r="BU38" i="7"/>
  <c r="BU4" i="7"/>
  <c r="BU20" i="7"/>
  <c r="BU36" i="7"/>
  <c r="BU52" i="7"/>
  <c r="BU23" i="7"/>
  <c r="BU26" i="7"/>
  <c r="BU3" i="7"/>
  <c r="BU35" i="7"/>
  <c r="BU14" i="7"/>
  <c r="BU46" i="7"/>
  <c r="BU8" i="7"/>
  <c r="BU24" i="7"/>
  <c r="BU40" i="7"/>
  <c r="BU2" i="7"/>
  <c r="BU34" i="7"/>
  <c r="BU11" i="7"/>
  <c r="BU43" i="7"/>
  <c r="BU22" i="7"/>
  <c r="BU12" i="7"/>
  <c r="BU28" i="7"/>
  <c r="BU44" i="7"/>
  <c r="BU10" i="7"/>
  <c r="BU42" i="7"/>
  <c r="BU19" i="7"/>
  <c r="BU51" i="7"/>
  <c r="BU30" i="7"/>
  <c r="BU16" i="7"/>
  <c r="BU32" i="7"/>
  <c r="BU48" i="7"/>
  <c r="BU5" i="7"/>
  <c r="BU21" i="7"/>
  <c r="BU37" i="7"/>
  <c r="BU53" i="7"/>
  <c r="BU9" i="7"/>
  <c r="BU25" i="7"/>
  <c r="BU41" i="7"/>
  <c r="BU13" i="7"/>
  <c r="BU29" i="7"/>
  <c r="BU45" i="7"/>
  <c r="BU17" i="7"/>
  <c r="BU33" i="7"/>
  <c r="BU49" i="7"/>
  <c r="BE6" i="7"/>
  <c r="BE2" i="7"/>
  <c r="BE10" i="7"/>
  <c r="BE38" i="7"/>
  <c r="BE14" i="7"/>
  <c r="BE22" i="7"/>
  <c r="BE26" i="7"/>
  <c r="BE30" i="7"/>
  <c r="BE42" i="7"/>
  <c r="BE46" i="7"/>
  <c r="BE34" i="7"/>
  <c r="BE15" i="7"/>
  <c r="BE31" i="7"/>
  <c r="BE47" i="7"/>
  <c r="BE4" i="7"/>
  <c r="BE20" i="7"/>
  <c r="BE36" i="7"/>
  <c r="BE52" i="7"/>
  <c r="BE9" i="7"/>
  <c r="BE25" i="7"/>
  <c r="BE41" i="7"/>
  <c r="BE50" i="7"/>
  <c r="BE3" i="7"/>
  <c r="BE19" i="7"/>
  <c r="BE35" i="7"/>
  <c r="BE51" i="7"/>
  <c r="BE8" i="7"/>
  <c r="BE24" i="7"/>
  <c r="BE40" i="7"/>
  <c r="BE13" i="7"/>
  <c r="BE29" i="7"/>
  <c r="BE45" i="7"/>
  <c r="BE7" i="7"/>
  <c r="BE23" i="7"/>
  <c r="BE39" i="7"/>
  <c r="BE12" i="7"/>
  <c r="BE28" i="7"/>
  <c r="BE44" i="7"/>
  <c r="BE17" i="7"/>
  <c r="BE33" i="7"/>
  <c r="BE49" i="7"/>
  <c r="BE18" i="7"/>
  <c r="BE11" i="7"/>
  <c r="BE27" i="7"/>
  <c r="BE43" i="7"/>
  <c r="BE16" i="7"/>
  <c r="BE32" i="7"/>
  <c r="BE48" i="7"/>
  <c r="BE5" i="7"/>
  <c r="BE21" i="7"/>
  <c r="BE37" i="7"/>
  <c r="BE53" i="7"/>
  <c r="Q18" i="7"/>
  <c r="Q22" i="7"/>
  <c r="Q23" i="7"/>
  <c r="Q27" i="7"/>
  <c r="Q4" i="7"/>
  <c r="Q34" i="7"/>
  <c r="Q38" i="7"/>
  <c r="Q35" i="7"/>
  <c r="Q39" i="7"/>
  <c r="Q8" i="7"/>
  <c r="Q26" i="7"/>
  <c r="Q14" i="7"/>
  <c r="Q10" i="7"/>
  <c r="Q46" i="7"/>
  <c r="Q51" i="7"/>
  <c r="Q50" i="7"/>
  <c r="Q24" i="7"/>
  <c r="Q30" i="7"/>
  <c r="Q2" i="7"/>
  <c r="Q6" i="7"/>
  <c r="Q11" i="7"/>
  <c r="Q15" i="7"/>
  <c r="Q40" i="7"/>
  <c r="Q42" i="7"/>
  <c r="Q3" i="7"/>
  <c r="Q47" i="7"/>
  <c r="Q16" i="7"/>
  <c r="Q32" i="7"/>
  <c r="Q48" i="7"/>
  <c r="Q19" i="7"/>
  <c r="Q5" i="7"/>
  <c r="Q21" i="7"/>
  <c r="Q37" i="7"/>
  <c r="Q53" i="7"/>
  <c r="Q20" i="7"/>
  <c r="Q36" i="7"/>
  <c r="Q52" i="7"/>
  <c r="Q31" i="7"/>
  <c r="Q9" i="7"/>
  <c r="Q25" i="7"/>
  <c r="Q41" i="7"/>
  <c r="Q43" i="7"/>
  <c r="Q13" i="7"/>
  <c r="Q29" i="7"/>
  <c r="Q45" i="7"/>
  <c r="Q12" i="7"/>
  <c r="Q28" i="7"/>
  <c r="Q44" i="7"/>
  <c r="Q7" i="7"/>
  <c r="Q17" i="7"/>
  <c r="Q33" i="7"/>
  <c r="Q49" i="7"/>
  <c r="CC6" i="7"/>
  <c r="CC22" i="7"/>
  <c r="CC26" i="7"/>
  <c r="CC46" i="7"/>
  <c r="CC2" i="7"/>
  <c r="CC11" i="7"/>
  <c r="CC27" i="7"/>
  <c r="CC43" i="7"/>
  <c r="CC42" i="7"/>
  <c r="CC18" i="7"/>
  <c r="CC15" i="7"/>
  <c r="CC31" i="7"/>
  <c r="CC47" i="7"/>
  <c r="CC8" i="7"/>
  <c r="CC38" i="7"/>
  <c r="CC14" i="7"/>
  <c r="CC34" i="7"/>
  <c r="CC3" i="7"/>
  <c r="CC19" i="7"/>
  <c r="CC35" i="7"/>
  <c r="CC51" i="7"/>
  <c r="CC12" i="7"/>
  <c r="CC10" i="7"/>
  <c r="CC30" i="7"/>
  <c r="CC50" i="7"/>
  <c r="CC7" i="7"/>
  <c r="CC23" i="7"/>
  <c r="CC39" i="7"/>
  <c r="CC24" i="7"/>
  <c r="CC16" i="7"/>
  <c r="CC32" i="7"/>
  <c r="CC48" i="7"/>
  <c r="CC5" i="7"/>
  <c r="CC21" i="7"/>
  <c r="CC37" i="7"/>
  <c r="CC53" i="7"/>
  <c r="CC4" i="7"/>
  <c r="CC20" i="7"/>
  <c r="CC36" i="7"/>
  <c r="CC52" i="7"/>
  <c r="CC9" i="7"/>
  <c r="CC25" i="7"/>
  <c r="CC41" i="7"/>
  <c r="CC40" i="7"/>
  <c r="CC13" i="7"/>
  <c r="CC29" i="7"/>
  <c r="CC45" i="7"/>
  <c r="CC28" i="7"/>
  <c r="CC44" i="7"/>
  <c r="CC17" i="7"/>
  <c r="CC33" i="7"/>
  <c r="CC49" i="7"/>
  <c r="BG6" i="7"/>
  <c r="BG10" i="7"/>
  <c r="BG22" i="7"/>
  <c r="BG26" i="7"/>
  <c r="BG2" i="7"/>
  <c r="BG14" i="7"/>
  <c r="BG38" i="7"/>
  <c r="BG50" i="7"/>
  <c r="BG42" i="7"/>
  <c r="BG34" i="7"/>
  <c r="BG18" i="7"/>
  <c r="BG46" i="7"/>
  <c r="BG11" i="7"/>
  <c r="BG27" i="7"/>
  <c r="BG43" i="7"/>
  <c r="BG16" i="7"/>
  <c r="BG32" i="7"/>
  <c r="BG48" i="7"/>
  <c r="BG5" i="7"/>
  <c r="BG21" i="7"/>
  <c r="BG37" i="7"/>
  <c r="BG53" i="7"/>
  <c r="BG15" i="7"/>
  <c r="BG31" i="7"/>
  <c r="BG47" i="7"/>
  <c r="BG4" i="7"/>
  <c r="BG20" i="7"/>
  <c r="BG36" i="7"/>
  <c r="BG52" i="7"/>
  <c r="BG9" i="7"/>
  <c r="BG25" i="7"/>
  <c r="BG41" i="7"/>
  <c r="BG3" i="7"/>
  <c r="BG19" i="7"/>
  <c r="BG35" i="7"/>
  <c r="BG51" i="7"/>
  <c r="BG8" i="7"/>
  <c r="BG24" i="7"/>
  <c r="BG40" i="7"/>
  <c r="BG13" i="7"/>
  <c r="BG29" i="7"/>
  <c r="BG45" i="7"/>
  <c r="BG30" i="7"/>
  <c r="BG7" i="7"/>
  <c r="BG23" i="7"/>
  <c r="BG39" i="7"/>
  <c r="BG12" i="7"/>
  <c r="BG28" i="7"/>
  <c r="BG44" i="7"/>
  <c r="BG17" i="7"/>
  <c r="BG33" i="7"/>
  <c r="BG49" i="7"/>
  <c r="DS43" i="7"/>
  <c r="DS18" i="7"/>
  <c r="DS27" i="7"/>
  <c r="DS19" i="7"/>
  <c r="DS34" i="7"/>
  <c r="DS35" i="7"/>
  <c r="DS10" i="7"/>
  <c r="DS50" i="7"/>
  <c r="DS51" i="7"/>
  <c r="DS42" i="7"/>
  <c r="DS11" i="7"/>
  <c r="DS2" i="7"/>
  <c r="DS26" i="7"/>
  <c r="DS3" i="7"/>
  <c r="DS30" i="7"/>
  <c r="DS7" i="7"/>
  <c r="DS39" i="7"/>
  <c r="DS4" i="7"/>
  <c r="DS20" i="7"/>
  <c r="DS36" i="7"/>
  <c r="DS52" i="7"/>
  <c r="DS9" i="7"/>
  <c r="DS25" i="7"/>
  <c r="DS41" i="7"/>
  <c r="DS6" i="7"/>
  <c r="DS38" i="7"/>
  <c r="DS15" i="7"/>
  <c r="DS47" i="7"/>
  <c r="DS8" i="7"/>
  <c r="DS24" i="7"/>
  <c r="DS40" i="7"/>
  <c r="DS13" i="7"/>
  <c r="DS29" i="7"/>
  <c r="DS45" i="7"/>
  <c r="DS14" i="7"/>
  <c r="DS46" i="7"/>
  <c r="DS23" i="7"/>
  <c r="DS12" i="7"/>
  <c r="DS28" i="7"/>
  <c r="DS44" i="7"/>
  <c r="DS17" i="7"/>
  <c r="DS33" i="7"/>
  <c r="DS49" i="7"/>
  <c r="DS22" i="7"/>
  <c r="DS31" i="7"/>
  <c r="DS16" i="7"/>
  <c r="DS32" i="7"/>
  <c r="DS48" i="7"/>
  <c r="DS5" i="7"/>
  <c r="DS21" i="7"/>
  <c r="DS37" i="7"/>
  <c r="DS53" i="7"/>
  <c r="AI10" i="7"/>
  <c r="AI51" i="7"/>
  <c r="AI2" i="7"/>
  <c r="AI43" i="7"/>
  <c r="AI26" i="7"/>
  <c r="AI6" i="7"/>
  <c r="AI50" i="7"/>
  <c r="AI15" i="7"/>
  <c r="AI47" i="7"/>
  <c r="AI12" i="7"/>
  <c r="AI28" i="7"/>
  <c r="AI44" i="7"/>
  <c r="AI13" i="7"/>
  <c r="AI29" i="7"/>
  <c r="AI45" i="7"/>
  <c r="AI19" i="7"/>
  <c r="AI11" i="7"/>
  <c r="AI35" i="7"/>
  <c r="AI18" i="7"/>
  <c r="AI23" i="7"/>
  <c r="AI16" i="7"/>
  <c r="AI32" i="7"/>
  <c r="AI48" i="7"/>
  <c r="AI17" i="7"/>
  <c r="AI33" i="7"/>
  <c r="AI49" i="7"/>
  <c r="AI30" i="7"/>
  <c r="AI22" i="7"/>
  <c r="AI3" i="7"/>
  <c r="AI46" i="7"/>
  <c r="AI27" i="7"/>
  <c r="AI31" i="7"/>
  <c r="AI4" i="7"/>
  <c r="AI20" i="7"/>
  <c r="AI36" i="7"/>
  <c r="AI52" i="7"/>
  <c r="AI5" i="7"/>
  <c r="AI21" i="7"/>
  <c r="AI37" i="7"/>
  <c r="AI53" i="7"/>
  <c r="AI42" i="7"/>
  <c r="AI34" i="7"/>
  <c r="AI14" i="7"/>
  <c r="AI38" i="7"/>
  <c r="AI7" i="7"/>
  <c r="AI39" i="7"/>
  <c r="AI8" i="7"/>
  <c r="AI24" i="7"/>
  <c r="AI40" i="7"/>
  <c r="AI9" i="7"/>
  <c r="AI25" i="7"/>
  <c r="AI41" i="7"/>
  <c r="CU10" i="7"/>
  <c r="CU30" i="7"/>
  <c r="CU50" i="7"/>
  <c r="CU11" i="7"/>
  <c r="CU27" i="7"/>
  <c r="CU43" i="7"/>
  <c r="CU16" i="7"/>
  <c r="CU32" i="7"/>
  <c r="CU48" i="7"/>
  <c r="CU6" i="7"/>
  <c r="CU26" i="7"/>
  <c r="CU46" i="7"/>
  <c r="CU2" i="7"/>
  <c r="CU15" i="7"/>
  <c r="CU31" i="7"/>
  <c r="CU47" i="7"/>
  <c r="CU4" i="7"/>
  <c r="CU20" i="7"/>
  <c r="CU36" i="7"/>
  <c r="CU52" i="7"/>
  <c r="CU22" i="7"/>
  <c r="CU42" i="7"/>
  <c r="CU18" i="7"/>
  <c r="CU3" i="7"/>
  <c r="CU19" i="7"/>
  <c r="CU35" i="7"/>
  <c r="CU51" i="7"/>
  <c r="CU8" i="7"/>
  <c r="CU24" i="7"/>
  <c r="CU40" i="7"/>
  <c r="CU38" i="7"/>
  <c r="CU14" i="7"/>
  <c r="CU34" i="7"/>
  <c r="CU7" i="7"/>
  <c r="CU23" i="7"/>
  <c r="CU39" i="7"/>
  <c r="CU12" i="7"/>
  <c r="CU28" i="7"/>
  <c r="CU44" i="7"/>
  <c r="CU9" i="7"/>
  <c r="CU25" i="7"/>
  <c r="CU41" i="7"/>
  <c r="CU13" i="7"/>
  <c r="CU29" i="7"/>
  <c r="CU45" i="7"/>
  <c r="CU17" i="7"/>
  <c r="CU33" i="7"/>
  <c r="CU49" i="7"/>
  <c r="CU5" i="7"/>
  <c r="CU21" i="7"/>
  <c r="CU37" i="7"/>
  <c r="CU53" i="7"/>
  <c r="AS46" i="7"/>
  <c r="AS31" i="7"/>
  <c r="AS6" i="7"/>
  <c r="AS39" i="7"/>
  <c r="AS26" i="7"/>
  <c r="AS11" i="7"/>
  <c r="AS43" i="7"/>
  <c r="AS8" i="7"/>
  <c r="AS24" i="7"/>
  <c r="AS40" i="7"/>
  <c r="AS9" i="7"/>
  <c r="AS25" i="7"/>
  <c r="AS41" i="7"/>
  <c r="AS47" i="7"/>
  <c r="AS22" i="7"/>
  <c r="AS2" i="7"/>
  <c r="AS34" i="7"/>
  <c r="AS19" i="7"/>
  <c r="AS51" i="7"/>
  <c r="AS12" i="7"/>
  <c r="AS28" i="7"/>
  <c r="AS44" i="7"/>
  <c r="AS13" i="7"/>
  <c r="AS29" i="7"/>
  <c r="AS45" i="7"/>
  <c r="AS14" i="7"/>
  <c r="AS38" i="7"/>
  <c r="AS7" i="7"/>
  <c r="AS10" i="7"/>
  <c r="AS42" i="7"/>
  <c r="AS27" i="7"/>
  <c r="AS16" i="7"/>
  <c r="AS32" i="7"/>
  <c r="AS48" i="7"/>
  <c r="AS17" i="7"/>
  <c r="AS33" i="7"/>
  <c r="AS49" i="7"/>
  <c r="AS30" i="7"/>
  <c r="AS15" i="7"/>
  <c r="AS23" i="7"/>
  <c r="AS18" i="7"/>
  <c r="AS50" i="7"/>
  <c r="AS3" i="7"/>
  <c r="AS35" i="7"/>
  <c r="AS4" i="7"/>
  <c r="AS20" i="7"/>
  <c r="AS36" i="7"/>
  <c r="AS52" i="7"/>
  <c r="AS5" i="7"/>
  <c r="AS21" i="7"/>
  <c r="AS37" i="7"/>
  <c r="AS53" i="7"/>
  <c r="DE44" i="7"/>
  <c r="DE37" i="7"/>
  <c r="DE24" i="7"/>
  <c r="DE52" i="7"/>
  <c r="DE29" i="7"/>
  <c r="DE25" i="7"/>
  <c r="DE22" i="7"/>
  <c r="DE53" i="7"/>
  <c r="DE32" i="7"/>
  <c r="DE4" i="7"/>
  <c r="DE45" i="7"/>
  <c r="DE33" i="7"/>
  <c r="DE2" i="7"/>
  <c r="DE38" i="7"/>
  <c r="DE12" i="7"/>
  <c r="DE5" i="7"/>
  <c r="DE8" i="7"/>
  <c r="DE40" i="7"/>
  <c r="DE20" i="7"/>
  <c r="DE9" i="7"/>
  <c r="DE41" i="7"/>
  <c r="DE6" i="7"/>
  <c r="DE28" i="7"/>
  <c r="DE21" i="7"/>
  <c r="DE16" i="7"/>
  <c r="DE48" i="7"/>
  <c r="DE36" i="7"/>
  <c r="DE13" i="7"/>
  <c r="DE17" i="7"/>
  <c r="DE49" i="7"/>
  <c r="DE18" i="7"/>
  <c r="DE14" i="7"/>
  <c r="DE30" i="7"/>
  <c r="DE46" i="7"/>
  <c r="DE3" i="7"/>
  <c r="DE19" i="7"/>
  <c r="DE35" i="7"/>
  <c r="DE51" i="7"/>
  <c r="DE34" i="7"/>
  <c r="DE50" i="7"/>
  <c r="DE7" i="7"/>
  <c r="DE23" i="7"/>
  <c r="DE39" i="7"/>
  <c r="DE11" i="7"/>
  <c r="DE27" i="7"/>
  <c r="DE43" i="7"/>
  <c r="DE10" i="7"/>
  <c r="DE26" i="7"/>
  <c r="DE42" i="7"/>
  <c r="DE15" i="7"/>
  <c r="DE31" i="7"/>
  <c r="DE47" i="7"/>
  <c r="W10" i="7"/>
  <c r="W11" i="7"/>
  <c r="W27" i="7"/>
  <c r="W43" i="7"/>
  <c r="W22" i="7"/>
  <c r="W15" i="7"/>
  <c r="W31" i="7"/>
  <c r="W51" i="7"/>
  <c r="W2" i="7"/>
  <c r="W34" i="7"/>
  <c r="W3" i="7"/>
  <c r="W19" i="7"/>
  <c r="W35" i="7"/>
  <c r="W14" i="7"/>
  <c r="W46" i="7"/>
  <c r="W7" i="7"/>
  <c r="W23" i="7"/>
  <c r="W39" i="7"/>
  <c r="W42" i="7"/>
  <c r="W12" i="7"/>
  <c r="W47" i="7"/>
  <c r="W30" i="7"/>
  <c r="W4" i="7"/>
  <c r="W20" i="7"/>
  <c r="W36" i="7"/>
  <c r="W52" i="7"/>
  <c r="W6" i="7"/>
  <c r="W50" i="7"/>
  <c r="W9" i="7"/>
  <c r="W25" i="7"/>
  <c r="W41" i="7"/>
  <c r="W8" i="7"/>
  <c r="W24" i="7"/>
  <c r="W40" i="7"/>
  <c r="W18" i="7"/>
  <c r="W13" i="7"/>
  <c r="W29" i="7"/>
  <c r="W45" i="7"/>
  <c r="W28" i="7"/>
  <c r="W44" i="7"/>
  <c r="W26" i="7"/>
  <c r="W17" i="7"/>
  <c r="W33" i="7"/>
  <c r="W49" i="7"/>
  <c r="W16" i="7"/>
  <c r="W32" i="7"/>
  <c r="W48" i="7"/>
  <c r="W38" i="7"/>
  <c r="W5" i="7"/>
  <c r="W21" i="7"/>
  <c r="W37" i="7"/>
  <c r="W53" i="7"/>
  <c r="CI46" i="7"/>
  <c r="CI2" i="7"/>
  <c r="CI22" i="7"/>
  <c r="CI42" i="7"/>
  <c r="CI27" i="7"/>
  <c r="CI11" i="7"/>
  <c r="CI8" i="7"/>
  <c r="CI24" i="7"/>
  <c r="CI40" i="7"/>
  <c r="CI19" i="7"/>
  <c r="CI25" i="7"/>
  <c r="CI18" i="7"/>
  <c r="CI38" i="7"/>
  <c r="CI39" i="7"/>
  <c r="CI23" i="7"/>
  <c r="CI12" i="7"/>
  <c r="CI28" i="7"/>
  <c r="CI44" i="7"/>
  <c r="CI31" i="7"/>
  <c r="CI29" i="7"/>
  <c r="CI14" i="7"/>
  <c r="CI34" i="7"/>
  <c r="CI10" i="7"/>
  <c r="CI3" i="7"/>
  <c r="CI51" i="7"/>
  <c r="CI35" i="7"/>
  <c r="CI16" i="7"/>
  <c r="CI32" i="7"/>
  <c r="CI48" i="7"/>
  <c r="CI43" i="7"/>
  <c r="CI9" i="7"/>
  <c r="CI41" i="7"/>
  <c r="CI30" i="7"/>
  <c r="CI50" i="7"/>
  <c r="CI6" i="7"/>
  <c r="CI26" i="7"/>
  <c r="CI15" i="7"/>
  <c r="CI47" i="7"/>
  <c r="CI4" i="7"/>
  <c r="CI20" i="7"/>
  <c r="CI36" i="7"/>
  <c r="CI52" i="7"/>
  <c r="CI7" i="7"/>
  <c r="CI13" i="7"/>
  <c r="CI45" i="7"/>
  <c r="CI17" i="7"/>
  <c r="CI33" i="7"/>
  <c r="CI49" i="7"/>
  <c r="CI5" i="7"/>
  <c r="CI21" i="7"/>
  <c r="CI37" i="7"/>
  <c r="CI53" i="7"/>
  <c r="U14" i="7"/>
  <c r="U15" i="7"/>
  <c r="U31" i="7"/>
  <c r="U47" i="7"/>
  <c r="U42" i="7"/>
  <c r="U16" i="7"/>
  <c r="U26" i="7"/>
  <c r="U3" i="7"/>
  <c r="U19" i="7"/>
  <c r="U35" i="7"/>
  <c r="U51" i="7"/>
  <c r="U32" i="7"/>
  <c r="U38" i="7"/>
  <c r="U7" i="7"/>
  <c r="U23" i="7"/>
  <c r="U39" i="7"/>
  <c r="U6" i="7"/>
  <c r="U48" i="7"/>
  <c r="U2" i="7"/>
  <c r="U50" i="7"/>
  <c r="U11" i="7"/>
  <c r="U27" i="7"/>
  <c r="U43" i="7"/>
  <c r="U18" i="7"/>
  <c r="U30" i="7"/>
  <c r="U8" i="7"/>
  <c r="U24" i="7"/>
  <c r="U40" i="7"/>
  <c r="U10" i="7"/>
  <c r="U13" i="7"/>
  <c r="U29" i="7"/>
  <c r="U45" i="7"/>
  <c r="U12" i="7"/>
  <c r="U28" i="7"/>
  <c r="U44" i="7"/>
  <c r="U22" i="7"/>
  <c r="U17" i="7"/>
  <c r="U33" i="7"/>
  <c r="U49" i="7"/>
  <c r="U34" i="7"/>
  <c r="U5" i="7"/>
  <c r="U21" i="7"/>
  <c r="U37" i="7"/>
  <c r="U53" i="7"/>
  <c r="U4" i="7"/>
  <c r="U20" i="7"/>
  <c r="U36" i="7"/>
  <c r="U52" i="7"/>
  <c r="U46" i="7"/>
  <c r="U9" i="7"/>
  <c r="U25" i="7"/>
  <c r="U41" i="7"/>
  <c r="CG6" i="7"/>
  <c r="CG38" i="7"/>
  <c r="CG15" i="7"/>
  <c r="CG26" i="7"/>
  <c r="CG3" i="7"/>
  <c r="CG35" i="7"/>
  <c r="CG12" i="7"/>
  <c r="CG28" i="7"/>
  <c r="CG44" i="7"/>
  <c r="CG13" i="7"/>
  <c r="CG45" i="7"/>
  <c r="CG14" i="7"/>
  <c r="CG50" i="7"/>
  <c r="CG23" i="7"/>
  <c r="CG2" i="7"/>
  <c r="CG34" i="7"/>
  <c r="CG11" i="7"/>
  <c r="CG46" i="7"/>
  <c r="CG43" i="7"/>
  <c r="CG16" i="7"/>
  <c r="CG32" i="7"/>
  <c r="CG48" i="7"/>
  <c r="CG17" i="7"/>
  <c r="CG49" i="7"/>
  <c r="CG22" i="7"/>
  <c r="CG31" i="7"/>
  <c r="CG10" i="7"/>
  <c r="CG42" i="7"/>
  <c r="CG19" i="7"/>
  <c r="CG4" i="7"/>
  <c r="CG20" i="7"/>
  <c r="CG36" i="7"/>
  <c r="CG52" i="7"/>
  <c r="CG51" i="7"/>
  <c r="CG29" i="7"/>
  <c r="CG30" i="7"/>
  <c r="CG7" i="7"/>
  <c r="CG39" i="7"/>
  <c r="CG18" i="7"/>
  <c r="CG27" i="7"/>
  <c r="CG47" i="7"/>
  <c r="CG8" i="7"/>
  <c r="CG24" i="7"/>
  <c r="CG40" i="7"/>
  <c r="CG33" i="7"/>
  <c r="CG5" i="7"/>
  <c r="CG21" i="7"/>
  <c r="CG37" i="7"/>
  <c r="CG53" i="7"/>
  <c r="CG9" i="7"/>
  <c r="CG25" i="7"/>
  <c r="CG41" i="7"/>
  <c r="BK43" i="7"/>
  <c r="BK51" i="7"/>
  <c r="BK35" i="7"/>
  <c r="BK10" i="7"/>
  <c r="BK2" i="7"/>
  <c r="BK14" i="7"/>
  <c r="BK19" i="7"/>
  <c r="BK6" i="7"/>
  <c r="BK3" i="7"/>
  <c r="BK22" i="7"/>
  <c r="BK8" i="7"/>
  <c r="BK31" i="7"/>
  <c r="BK13" i="7"/>
  <c r="BK42" i="7"/>
  <c r="BK24" i="7"/>
  <c r="BK40" i="7"/>
  <c r="BK27" i="7"/>
  <c r="BK7" i="7"/>
  <c r="BK30" i="7"/>
  <c r="BK12" i="7"/>
  <c r="BK39" i="7"/>
  <c r="BK18" i="7"/>
  <c r="BK50" i="7"/>
  <c r="BK28" i="7"/>
  <c r="BK44" i="7"/>
  <c r="BK11" i="7"/>
  <c r="BK38" i="7"/>
  <c r="BK16" i="7"/>
  <c r="BK47" i="7"/>
  <c r="BK5" i="7"/>
  <c r="BK26" i="7"/>
  <c r="BK32" i="7"/>
  <c r="BK48" i="7"/>
  <c r="BK15" i="7"/>
  <c r="BK46" i="7"/>
  <c r="BK4" i="7"/>
  <c r="BK23" i="7"/>
  <c r="BK9" i="7"/>
  <c r="BK34" i="7"/>
  <c r="BK20" i="7"/>
  <c r="BK36" i="7"/>
  <c r="BK52" i="7"/>
  <c r="BK25" i="7"/>
  <c r="BK41" i="7"/>
  <c r="BK29" i="7"/>
  <c r="BK45" i="7"/>
  <c r="BK17" i="7"/>
  <c r="BK33" i="7"/>
  <c r="BK49" i="7"/>
  <c r="BK21" i="7"/>
  <c r="BK37" i="7"/>
  <c r="BK53" i="7"/>
  <c r="DW42" i="7"/>
  <c r="DW51" i="7"/>
  <c r="DW43" i="7"/>
  <c r="DW2" i="7"/>
  <c r="DW18" i="7"/>
  <c r="DW3" i="7"/>
  <c r="DW10" i="7"/>
  <c r="DW34" i="7"/>
  <c r="DW11" i="7"/>
  <c r="DW50" i="7"/>
  <c r="DW35" i="7"/>
  <c r="DW26" i="7"/>
  <c r="DW19" i="7"/>
  <c r="DW27" i="7"/>
  <c r="DW22" i="7"/>
  <c r="DW31" i="7"/>
  <c r="DW12" i="7"/>
  <c r="DW28" i="7"/>
  <c r="DW44" i="7"/>
  <c r="DW17" i="7"/>
  <c r="DW33" i="7"/>
  <c r="DW49" i="7"/>
  <c r="DW30" i="7"/>
  <c r="DW7" i="7"/>
  <c r="DW39" i="7"/>
  <c r="DW16" i="7"/>
  <c r="DW32" i="7"/>
  <c r="DW48" i="7"/>
  <c r="DW5" i="7"/>
  <c r="DW21" i="7"/>
  <c r="DW37" i="7"/>
  <c r="DW53" i="7"/>
  <c r="DW6" i="7"/>
  <c r="DW38" i="7"/>
  <c r="DW15" i="7"/>
  <c r="DW47" i="7"/>
  <c r="DW4" i="7"/>
  <c r="DW20" i="7"/>
  <c r="DW36" i="7"/>
  <c r="DW52" i="7"/>
  <c r="DW9" i="7"/>
  <c r="DW25" i="7"/>
  <c r="DW41" i="7"/>
  <c r="DW14" i="7"/>
  <c r="DW46" i="7"/>
  <c r="DW23" i="7"/>
  <c r="DW8" i="7"/>
  <c r="DW24" i="7"/>
  <c r="DW40" i="7"/>
  <c r="DW13" i="7"/>
  <c r="DW29" i="7"/>
  <c r="DW45" i="7"/>
  <c r="BO27" i="7"/>
  <c r="BO3" i="7"/>
  <c r="BO11" i="7"/>
  <c r="BO35" i="7"/>
  <c r="BO43" i="7"/>
  <c r="BO19" i="7"/>
  <c r="BO14" i="7"/>
  <c r="BO46" i="7"/>
  <c r="BO23" i="7"/>
  <c r="BO2" i="7"/>
  <c r="BO34" i="7"/>
  <c r="BO16" i="7"/>
  <c r="BO32" i="7"/>
  <c r="BO48" i="7"/>
  <c r="BO51" i="7"/>
  <c r="BO22" i="7"/>
  <c r="BO31" i="7"/>
  <c r="BO10" i="7"/>
  <c r="BO42" i="7"/>
  <c r="BO4" i="7"/>
  <c r="BO20" i="7"/>
  <c r="BO36" i="7"/>
  <c r="BO52" i="7"/>
  <c r="BO30" i="7"/>
  <c r="BO7" i="7"/>
  <c r="BO39" i="7"/>
  <c r="BO18" i="7"/>
  <c r="BO50" i="7"/>
  <c r="BO8" i="7"/>
  <c r="BO24" i="7"/>
  <c r="BO40" i="7"/>
  <c r="BO6" i="7"/>
  <c r="BO38" i="7"/>
  <c r="BO15" i="7"/>
  <c r="BO47" i="7"/>
  <c r="BO26" i="7"/>
  <c r="BO12" i="7"/>
  <c r="BO28" i="7"/>
  <c r="BO44" i="7"/>
  <c r="BO17" i="7"/>
  <c r="BO33" i="7"/>
  <c r="BO49" i="7"/>
  <c r="BO5" i="7"/>
  <c r="BO21" i="7"/>
  <c r="BO37" i="7"/>
  <c r="BO53" i="7"/>
  <c r="BO9" i="7"/>
  <c r="BO25" i="7"/>
  <c r="BO41" i="7"/>
  <c r="BO13" i="7"/>
  <c r="BO29" i="7"/>
  <c r="BO45" i="7"/>
  <c r="M12" i="7"/>
  <c r="M28" i="7"/>
  <c r="M44" i="7"/>
  <c r="M13" i="7"/>
  <c r="M14" i="7"/>
  <c r="M30" i="7"/>
  <c r="M46" i="7"/>
  <c r="M11" i="7"/>
  <c r="M27" i="7"/>
  <c r="M43" i="7"/>
  <c r="M4" i="7"/>
  <c r="M29" i="7"/>
  <c r="M45" i="7"/>
  <c r="M16" i="7"/>
  <c r="M32" i="7"/>
  <c r="M48" i="7"/>
  <c r="M2" i="7"/>
  <c r="M18" i="7"/>
  <c r="M34" i="7"/>
  <c r="M50" i="7"/>
  <c r="M15" i="7"/>
  <c r="M31" i="7"/>
  <c r="M47" i="7"/>
  <c r="M17" i="7"/>
  <c r="M33" i="7"/>
  <c r="M49" i="7"/>
  <c r="M20" i="7"/>
  <c r="M36" i="7"/>
  <c r="M5" i="7"/>
  <c r="M6" i="7"/>
  <c r="M22" i="7"/>
  <c r="M38" i="7"/>
  <c r="M3" i="7"/>
  <c r="M19" i="7"/>
  <c r="M35" i="7"/>
  <c r="M51" i="7"/>
  <c r="M21" i="7"/>
  <c r="M37" i="7"/>
  <c r="M53" i="7"/>
  <c r="M8" i="7"/>
  <c r="M24" i="7"/>
  <c r="M40" i="7"/>
  <c r="M9" i="7"/>
  <c r="M10" i="7"/>
  <c r="M26" i="7"/>
  <c r="M42" i="7"/>
  <c r="M7" i="7"/>
  <c r="M23" i="7"/>
  <c r="M39" i="7"/>
  <c r="M52" i="7"/>
  <c r="M25" i="7"/>
  <c r="M41" i="7"/>
  <c r="DO34" i="7"/>
  <c r="DO19" i="7"/>
  <c r="DO50" i="7"/>
  <c r="DO3" i="7"/>
  <c r="DO51" i="7"/>
  <c r="DO10" i="7"/>
  <c r="DO35" i="7"/>
  <c r="DO11" i="7"/>
  <c r="DO26" i="7"/>
  <c r="DO27" i="7"/>
  <c r="DO18" i="7"/>
  <c r="DO42" i="7"/>
  <c r="DO2" i="7"/>
  <c r="DO43" i="7"/>
  <c r="DO6" i="7"/>
  <c r="DO38" i="7"/>
  <c r="DO15" i="7"/>
  <c r="DO47" i="7"/>
  <c r="DO12" i="7"/>
  <c r="DO28" i="7"/>
  <c r="DO44" i="7"/>
  <c r="DO17" i="7"/>
  <c r="DO33" i="7"/>
  <c r="DO49" i="7"/>
  <c r="DO14" i="7"/>
  <c r="DO46" i="7"/>
  <c r="DO23" i="7"/>
  <c r="DO16" i="7"/>
  <c r="DO32" i="7"/>
  <c r="DO48" i="7"/>
  <c r="DO5" i="7"/>
  <c r="DO21" i="7"/>
  <c r="DO37" i="7"/>
  <c r="DO53" i="7"/>
  <c r="DO22" i="7"/>
  <c r="DO31" i="7"/>
  <c r="DO4" i="7"/>
  <c r="DO20" i="7"/>
  <c r="DO36" i="7"/>
  <c r="DO52" i="7"/>
  <c r="DO9" i="7"/>
  <c r="DO25" i="7"/>
  <c r="DO41" i="7"/>
  <c r="DO30" i="7"/>
  <c r="DO7" i="7"/>
  <c r="DO39" i="7"/>
  <c r="DO8" i="7"/>
  <c r="DO24" i="7"/>
  <c r="DO40" i="7"/>
  <c r="DO13" i="7"/>
  <c r="DO29" i="7"/>
  <c r="DO45" i="7"/>
  <c r="BA41" i="7"/>
  <c r="BA18" i="7"/>
  <c r="BA42" i="7"/>
  <c r="BA20" i="7"/>
  <c r="BA45" i="7"/>
  <c r="BA21" i="7"/>
  <c r="BA2" i="7"/>
  <c r="BA24" i="7"/>
  <c r="BA50" i="7"/>
  <c r="BA17" i="7"/>
  <c r="BA4" i="7"/>
  <c r="BA25" i="7"/>
  <c r="BA12" i="7"/>
  <c r="BA5" i="7"/>
  <c r="BA26" i="7"/>
  <c r="BA6" i="7"/>
  <c r="BA8" i="7"/>
  <c r="BA29" i="7"/>
  <c r="BA33" i="7"/>
  <c r="BA9" i="7"/>
  <c r="BA30" i="7"/>
  <c r="BA28" i="7"/>
  <c r="BA10" i="7"/>
  <c r="BA46" i="7"/>
  <c r="BA22" i="7"/>
  <c r="BA13" i="7"/>
  <c r="BA34" i="7"/>
  <c r="BA49" i="7"/>
  <c r="BA14" i="7"/>
  <c r="BA37" i="7"/>
  <c r="BA16" i="7"/>
  <c r="BA32" i="7"/>
  <c r="BA7" i="7"/>
  <c r="BA23" i="7"/>
  <c r="BA39" i="7"/>
  <c r="BA44" i="7"/>
  <c r="BA38" i="7"/>
  <c r="BA11" i="7"/>
  <c r="BA27" i="7"/>
  <c r="BA43" i="7"/>
  <c r="BA48" i="7"/>
  <c r="BA53" i="7"/>
  <c r="BA15" i="7"/>
  <c r="BA31" i="7"/>
  <c r="BA47" i="7"/>
  <c r="BA36" i="7"/>
  <c r="BA52" i="7"/>
  <c r="BA3" i="7"/>
  <c r="BA19" i="7"/>
  <c r="BA35" i="7"/>
  <c r="BA51" i="7"/>
  <c r="BA40" i="7"/>
  <c r="AE7" i="7"/>
  <c r="AE33" i="7"/>
  <c r="AE3" i="7"/>
  <c r="AE27" i="7"/>
  <c r="AE15" i="7"/>
  <c r="AE43" i="7"/>
  <c r="AE5" i="7"/>
  <c r="AE31" i="7"/>
  <c r="AE10" i="7"/>
  <c r="AE30" i="7"/>
  <c r="AE20" i="7"/>
  <c r="AE36" i="7"/>
  <c r="AE52" i="7"/>
  <c r="AE53" i="7"/>
  <c r="AE12" i="7"/>
  <c r="AE39" i="7"/>
  <c r="AE8" i="7"/>
  <c r="AE34" i="7"/>
  <c r="AE22" i="7"/>
  <c r="AE11" i="7"/>
  <c r="AE38" i="7"/>
  <c r="AE14" i="7"/>
  <c r="AE35" i="7"/>
  <c r="AE24" i="7"/>
  <c r="AE40" i="7"/>
  <c r="AE18" i="7"/>
  <c r="AE50" i="7"/>
  <c r="AE13" i="7"/>
  <c r="AE42" i="7"/>
  <c r="AE4" i="7"/>
  <c r="AE29" i="7"/>
  <c r="AE17" i="7"/>
  <c r="AE46" i="7"/>
  <c r="AE2" i="7"/>
  <c r="AE19" i="7"/>
  <c r="AE41" i="7"/>
  <c r="AE28" i="7"/>
  <c r="AE44" i="7"/>
  <c r="AE45" i="7"/>
  <c r="AE26" i="7"/>
  <c r="AE21" i="7"/>
  <c r="AE51" i="7"/>
  <c r="AE9" i="7"/>
  <c r="AE37" i="7"/>
  <c r="AE23" i="7"/>
  <c r="AE6" i="7"/>
  <c r="AE25" i="7"/>
  <c r="AE47" i="7"/>
  <c r="AE16" i="7"/>
  <c r="AE32" i="7"/>
  <c r="AE48" i="7"/>
  <c r="AE49" i="7"/>
  <c r="I14" i="7"/>
  <c r="I3" i="7"/>
  <c r="I19" i="7"/>
  <c r="I35" i="7"/>
  <c r="I51" i="7"/>
  <c r="I4" i="7"/>
  <c r="I20" i="7"/>
  <c r="I36" i="7"/>
  <c r="I52" i="7"/>
  <c r="I34" i="7"/>
  <c r="I13" i="7"/>
  <c r="I29" i="7"/>
  <c r="I45" i="7"/>
  <c r="I26" i="7"/>
  <c r="I7" i="7"/>
  <c r="I23" i="7"/>
  <c r="I39" i="7"/>
  <c r="I18" i="7"/>
  <c r="I8" i="7"/>
  <c r="I24" i="7"/>
  <c r="I40" i="7"/>
  <c r="I6" i="7"/>
  <c r="I46" i="7"/>
  <c r="I17" i="7"/>
  <c r="I33" i="7"/>
  <c r="I49" i="7"/>
  <c r="I38" i="7"/>
  <c r="I11" i="7"/>
  <c r="I27" i="7"/>
  <c r="I43" i="7"/>
  <c r="I30" i="7"/>
  <c r="I12" i="7"/>
  <c r="I28" i="7"/>
  <c r="I44" i="7"/>
  <c r="I10" i="7"/>
  <c r="I5" i="7"/>
  <c r="I21" i="7"/>
  <c r="I37" i="7"/>
  <c r="I53" i="7"/>
  <c r="I2" i="7"/>
  <c r="I50" i="7"/>
  <c r="I15" i="7"/>
  <c r="I31" i="7"/>
  <c r="I47" i="7"/>
  <c r="I42" i="7"/>
  <c r="I16" i="7"/>
  <c r="I32" i="7"/>
  <c r="I48" i="7"/>
  <c r="I22" i="7"/>
  <c r="I9" i="7"/>
  <c r="I25" i="7"/>
  <c r="I41" i="7"/>
  <c r="DY30" i="7"/>
  <c r="DY15" i="7"/>
  <c r="DY46" i="7"/>
  <c r="DY47" i="7"/>
  <c r="DY6" i="7"/>
  <c r="DY31" i="7"/>
  <c r="DY7" i="7"/>
  <c r="DY22" i="7"/>
  <c r="DY23" i="7"/>
  <c r="DY38" i="7"/>
  <c r="DY14" i="7"/>
  <c r="DY39" i="7"/>
  <c r="DY2" i="7"/>
  <c r="DY34" i="7"/>
  <c r="DY11" i="7"/>
  <c r="DY43" i="7"/>
  <c r="DY8" i="7"/>
  <c r="DY24" i="7"/>
  <c r="DY40" i="7"/>
  <c r="DY13" i="7"/>
  <c r="DY29" i="7"/>
  <c r="DY45" i="7"/>
  <c r="DY10" i="7"/>
  <c r="DY42" i="7"/>
  <c r="DY19" i="7"/>
  <c r="DY51" i="7"/>
  <c r="DY12" i="7"/>
  <c r="DY28" i="7"/>
  <c r="DY44" i="7"/>
  <c r="DY17" i="7"/>
  <c r="DY33" i="7"/>
  <c r="DY49" i="7"/>
  <c r="DY18" i="7"/>
  <c r="DY50" i="7"/>
  <c r="DY27" i="7"/>
  <c r="DY16" i="7"/>
  <c r="DY32" i="7"/>
  <c r="DY48" i="7"/>
  <c r="DY5" i="7"/>
  <c r="DY21" i="7"/>
  <c r="DY37" i="7"/>
  <c r="DY53" i="7"/>
  <c r="DY26" i="7"/>
  <c r="DY3" i="7"/>
  <c r="DY35" i="7"/>
  <c r="DY4" i="7"/>
  <c r="DY20" i="7"/>
  <c r="DY36" i="7"/>
  <c r="DY52" i="7"/>
  <c r="DY9" i="7"/>
  <c r="DY25" i="7"/>
  <c r="DY41" i="7"/>
  <c r="DC32" i="7"/>
  <c r="DC25" i="7"/>
  <c r="DC12" i="7"/>
  <c r="DC44" i="7"/>
  <c r="DC40" i="7"/>
  <c r="DC17" i="7"/>
  <c r="DC13" i="7"/>
  <c r="DC45" i="7"/>
  <c r="DC10" i="7"/>
  <c r="DC42" i="7"/>
  <c r="DC48" i="7"/>
  <c r="DC41" i="7"/>
  <c r="DC20" i="7"/>
  <c r="DC52" i="7"/>
  <c r="DC33" i="7"/>
  <c r="DC21" i="7"/>
  <c r="DC53" i="7"/>
  <c r="DC22" i="7"/>
  <c r="DC28" i="7"/>
  <c r="DC8" i="7"/>
  <c r="DC49" i="7"/>
  <c r="DC29" i="7"/>
  <c r="DC26" i="7"/>
  <c r="DC16" i="7"/>
  <c r="DC9" i="7"/>
  <c r="DC4" i="7"/>
  <c r="DC36" i="7"/>
  <c r="DC24" i="7"/>
  <c r="DC5" i="7"/>
  <c r="DC37" i="7"/>
  <c r="DC6" i="7"/>
  <c r="DC38" i="7"/>
  <c r="DC2" i="7"/>
  <c r="DC18" i="7"/>
  <c r="DC34" i="7"/>
  <c r="DC50" i="7"/>
  <c r="DC7" i="7"/>
  <c r="DC23" i="7"/>
  <c r="DC39" i="7"/>
  <c r="DC11" i="7"/>
  <c r="DC27" i="7"/>
  <c r="DC43" i="7"/>
  <c r="DC15" i="7"/>
  <c r="DC31" i="7"/>
  <c r="DC47" i="7"/>
  <c r="DC14" i="7"/>
  <c r="DC30" i="7"/>
  <c r="DC46" i="7"/>
  <c r="DC3" i="7"/>
  <c r="DC19" i="7"/>
  <c r="DC35" i="7"/>
  <c r="DC51" i="7"/>
  <c r="CE26" i="7"/>
  <c r="CE3" i="7"/>
  <c r="CE35" i="7"/>
  <c r="CE14" i="7"/>
  <c r="CE46" i="7"/>
  <c r="CE23" i="7"/>
  <c r="CE16" i="7"/>
  <c r="CE32" i="7"/>
  <c r="CE48" i="7"/>
  <c r="CE5" i="7"/>
  <c r="CE33" i="7"/>
  <c r="CE2" i="7"/>
  <c r="CE34" i="7"/>
  <c r="CE11" i="7"/>
  <c r="CE43" i="7"/>
  <c r="CE22" i="7"/>
  <c r="CE31" i="7"/>
  <c r="CE4" i="7"/>
  <c r="CE20" i="7"/>
  <c r="CE36" i="7"/>
  <c r="CE52" i="7"/>
  <c r="CE13" i="7"/>
  <c r="CE37" i="7"/>
  <c r="CE10" i="7"/>
  <c r="CE42" i="7"/>
  <c r="CE19" i="7"/>
  <c r="CE51" i="7"/>
  <c r="CE30" i="7"/>
  <c r="CE7" i="7"/>
  <c r="CE39" i="7"/>
  <c r="CE8" i="7"/>
  <c r="CE24" i="7"/>
  <c r="CE40" i="7"/>
  <c r="CE17" i="7"/>
  <c r="CE49" i="7"/>
  <c r="CE18" i="7"/>
  <c r="CE50" i="7"/>
  <c r="CE27" i="7"/>
  <c r="CE6" i="7"/>
  <c r="CE38" i="7"/>
  <c r="CE15" i="7"/>
  <c r="CE47" i="7"/>
  <c r="CE12" i="7"/>
  <c r="CE28" i="7"/>
  <c r="CE44" i="7"/>
  <c r="CE21" i="7"/>
  <c r="CE53" i="7"/>
  <c r="CE9" i="7"/>
  <c r="CE25" i="7"/>
  <c r="CE41" i="7"/>
  <c r="CE29" i="7"/>
  <c r="CE45" i="7"/>
  <c r="AC16" i="7"/>
  <c r="AC37" i="7"/>
  <c r="AC12" i="7"/>
  <c r="AC33" i="7"/>
  <c r="AC3" i="7"/>
  <c r="AC24" i="7"/>
  <c r="AC45" i="7"/>
  <c r="AC15" i="7"/>
  <c r="AC36" i="7"/>
  <c r="AC14" i="7"/>
  <c r="AC30" i="7"/>
  <c r="AC46" i="7"/>
  <c r="AC21" i="7"/>
  <c r="AC43" i="7"/>
  <c r="AC17" i="7"/>
  <c r="AC39" i="7"/>
  <c r="AC8" i="7"/>
  <c r="AC29" i="7"/>
  <c r="AC51" i="7"/>
  <c r="AC20" i="7"/>
  <c r="AC41" i="7"/>
  <c r="AC2" i="7"/>
  <c r="AC18" i="7"/>
  <c r="AC34" i="7"/>
  <c r="AC50" i="7"/>
  <c r="AC5" i="7"/>
  <c r="AC27" i="7"/>
  <c r="AC48" i="7"/>
  <c r="AC23" i="7"/>
  <c r="AC44" i="7"/>
  <c r="AC13" i="7"/>
  <c r="AC35" i="7"/>
  <c r="AC4" i="7"/>
  <c r="AC25" i="7"/>
  <c r="AC47" i="7"/>
  <c r="AC6" i="7"/>
  <c r="AC22" i="7"/>
  <c r="AC38" i="7"/>
  <c r="AC11" i="7"/>
  <c r="AC32" i="7"/>
  <c r="AC53" i="7"/>
  <c r="AC7" i="7"/>
  <c r="AC28" i="7"/>
  <c r="AC49" i="7"/>
  <c r="AC19" i="7"/>
  <c r="AC40" i="7"/>
  <c r="AC9" i="7"/>
  <c r="AC31" i="7"/>
  <c r="AC52" i="7"/>
  <c r="AC10" i="7"/>
  <c r="AC26" i="7"/>
  <c r="AC42" i="7"/>
  <c r="BS3" i="7"/>
  <c r="BS27" i="7"/>
  <c r="BS19" i="7"/>
  <c r="BS35" i="7"/>
  <c r="BS51" i="7"/>
  <c r="BS43" i="7"/>
  <c r="BS6" i="7"/>
  <c r="BS38" i="7"/>
  <c r="BS15" i="7"/>
  <c r="BS47" i="7"/>
  <c r="BS26" i="7"/>
  <c r="BS8" i="7"/>
  <c r="BS24" i="7"/>
  <c r="BS40" i="7"/>
  <c r="BS14" i="7"/>
  <c r="BS46" i="7"/>
  <c r="BS23" i="7"/>
  <c r="BS2" i="7"/>
  <c r="BS34" i="7"/>
  <c r="BS12" i="7"/>
  <c r="BS28" i="7"/>
  <c r="BS44" i="7"/>
  <c r="BS22" i="7"/>
  <c r="BS31" i="7"/>
  <c r="BS10" i="7"/>
  <c r="BS42" i="7"/>
  <c r="BS16" i="7"/>
  <c r="BS32" i="7"/>
  <c r="BS48" i="7"/>
  <c r="BS11" i="7"/>
  <c r="BS30" i="7"/>
  <c r="BS7" i="7"/>
  <c r="BS39" i="7"/>
  <c r="BS18" i="7"/>
  <c r="BS50" i="7"/>
  <c r="BS4" i="7"/>
  <c r="BS20" i="7"/>
  <c r="BS36" i="7"/>
  <c r="BS52" i="7"/>
  <c r="BS9" i="7"/>
  <c r="BS25" i="7"/>
  <c r="BS41" i="7"/>
  <c r="BS13" i="7"/>
  <c r="BS29" i="7"/>
  <c r="BS45" i="7"/>
  <c r="BS17" i="7"/>
  <c r="BS33" i="7"/>
  <c r="BS49" i="7"/>
  <c r="BS5" i="7"/>
  <c r="BS21" i="7"/>
  <c r="BS37" i="7"/>
  <c r="BS53" i="7"/>
  <c r="E10" i="7"/>
  <c r="E42" i="7"/>
  <c r="E19" i="7"/>
  <c r="E51" i="7"/>
  <c r="E16" i="7"/>
  <c r="E32" i="7"/>
  <c r="E48" i="7"/>
  <c r="E22" i="7"/>
  <c r="E7" i="7"/>
  <c r="E39" i="7"/>
  <c r="E13" i="7"/>
  <c r="E29" i="7"/>
  <c r="E45" i="7"/>
  <c r="E18" i="7"/>
  <c r="E46" i="7"/>
  <c r="E27" i="7"/>
  <c r="E4" i="7"/>
  <c r="E20" i="7"/>
  <c r="E36" i="7"/>
  <c r="E52" i="7"/>
  <c r="E30" i="7"/>
  <c r="E15" i="7"/>
  <c r="E47" i="7"/>
  <c r="E17" i="7"/>
  <c r="E33" i="7"/>
  <c r="E49" i="7"/>
  <c r="E26" i="7"/>
  <c r="E3" i="7"/>
  <c r="E35" i="7"/>
  <c r="E8" i="7"/>
  <c r="E24" i="7"/>
  <c r="E40" i="7"/>
  <c r="E6" i="7"/>
  <c r="E38" i="7"/>
  <c r="E23" i="7"/>
  <c r="E5" i="7"/>
  <c r="E21" i="7"/>
  <c r="E37" i="7"/>
  <c r="E53" i="7"/>
  <c r="E2" i="7"/>
  <c r="E34" i="7"/>
  <c r="E11" i="7"/>
  <c r="E43" i="7"/>
  <c r="E12" i="7"/>
  <c r="E28" i="7"/>
  <c r="E44" i="7"/>
  <c r="E14" i="7"/>
  <c r="E50" i="7"/>
  <c r="E31" i="7"/>
  <c r="E9" i="7"/>
  <c r="E25" i="7"/>
  <c r="E41" i="7"/>
  <c r="EC39" i="7"/>
  <c r="EC14" i="7"/>
  <c r="EC23" i="7"/>
  <c r="EC15" i="7"/>
  <c r="EC30" i="7"/>
  <c r="EC31" i="7"/>
  <c r="EC46" i="7"/>
  <c r="EC6" i="7"/>
  <c r="EC47" i="7"/>
  <c r="EC38" i="7"/>
  <c r="EC7" i="7"/>
  <c r="EC22" i="7"/>
  <c r="EC26" i="7"/>
  <c r="EC3" i="7"/>
  <c r="EC35" i="7"/>
  <c r="EC16" i="7"/>
  <c r="EC32" i="7"/>
  <c r="EC48" i="7"/>
  <c r="EC5" i="7"/>
  <c r="EC21" i="7"/>
  <c r="EC37" i="7"/>
  <c r="EC53" i="7"/>
  <c r="EC2" i="7"/>
  <c r="EC34" i="7"/>
  <c r="EC11" i="7"/>
  <c r="EC43" i="7"/>
  <c r="EC4" i="7"/>
  <c r="EC20" i="7"/>
  <c r="EC36" i="7"/>
  <c r="EC52" i="7"/>
  <c r="EC9" i="7"/>
  <c r="EC25" i="7"/>
  <c r="EC41" i="7"/>
  <c r="EC10" i="7"/>
  <c r="EC42" i="7"/>
  <c r="EC19" i="7"/>
  <c r="EC51" i="7"/>
  <c r="EC8" i="7"/>
  <c r="EC24" i="7"/>
  <c r="EC40" i="7"/>
  <c r="EC13" i="7"/>
  <c r="EC29" i="7"/>
  <c r="EC45" i="7"/>
  <c r="EC18" i="7"/>
  <c r="EC50" i="7"/>
  <c r="EC27" i="7"/>
  <c r="EC12" i="7"/>
  <c r="EC28" i="7"/>
  <c r="EC44" i="7"/>
  <c r="EC17" i="7"/>
  <c r="EC33" i="7"/>
  <c r="EC49" i="7"/>
  <c r="DG49" i="7"/>
  <c r="DG4" i="7"/>
  <c r="DG36" i="7"/>
  <c r="DG41" i="7"/>
  <c r="DG5" i="7"/>
  <c r="DG37" i="7"/>
  <c r="DG8" i="7"/>
  <c r="DG12" i="7"/>
  <c r="DG44" i="7"/>
  <c r="DG16" i="7"/>
  <c r="DG13" i="7"/>
  <c r="DG45" i="7"/>
  <c r="DG24" i="7"/>
  <c r="DG17" i="7"/>
  <c r="DG20" i="7"/>
  <c r="DG52" i="7"/>
  <c r="DG32" i="7"/>
  <c r="DG9" i="7"/>
  <c r="DG21" i="7"/>
  <c r="DG53" i="7"/>
  <c r="DG2" i="7"/>
  <c r="DG40" i="7"/>
  <c r="DG33" i="7"/>
  <c r="DG28" i="7"/>
  <c r="DG48" i="7"/>
  <c r="DG25" i="7"/>
  <c r="DG29" i="7"/>
  <c r="DG18" i="7"/>
  <c r="DG10" i="7"/>
  <c r="DG26" i="7"/>
  <c r="DG42" i="7"/>
  <c r="DG15" i="7"/>
  <c r="DG31" i="7"/>
  <c r="DG47" i="7"/>
  <c r="DG14" i="7"/>
  <c r="DG30" i="7"/>
  <c r="DG46" i="7"/>
  <c r="DG3" i="7"/>
  <c r="DG19" i="7"/>
  <c r="DG35" i="7"/>
  <c r="DG51" i="7"/>
  <c r="DG34" i="7"/>
  <c r="DG50" i="7"/>
  <c r="DG7" i="7"/>
  <c r="DG23" i="7"/>
  <c r="DG39" i="7"/>
  <c r="DG6" i="7"/>
  <c r="DG22" i="7"/>
  <c r="DG38" i="7"/>
  <c r="DG11" i="7"/>
  <c r="DG27" i="7"/>
  <c r="DG43" i="7"/>
  <c r="AO22" i="7"/>
  <c r="AO7" i="7"/>
  <c r="AO46" i="7"/>
  <c r="AO15" i="7"/>
  <c r="AO2" i="7"/>
  <c r="AO34" i="7"/>
  <c r="AO19" i="7"/>
  <c r="AO51" i="7"/>
  <c r="AO16" i="7"/>
  <c r="AO32" i="7"/>
  <c r="AO48" i="7"/>
  <c r="AO17" i="7"/>
  <c r="AO33" i="7"/>
  <c r="AO49" i="7"/>
  <c r="AO38" i="7"/>
  <c r="AO23" i="7"/>
  <c r="AO31" i="7"/>
  <c r="AO10" i="7"/>
  <c r="AO42" i="7"/>
  <c r="AO27" i="7"/>
  <c r="AO4" i="7"/>
  <c r="AO20" i="7"/>
  <c r="AO36" i="7"/>
  <c r="AO52" i="7"/>
  <c r="AO5" i="7"/>
  <c r="AO21" i="7"/>
  <c r="AO37" i="7"/>
  <c r="AO53" i="7"/>
  <c r="AO39" i="7"/>
  <c r="AO14" i="7"/>
  <c r="AO47" i="7"/>
  <c r="AO18" i="7"/>
  <c r="AO50" i="7"/>
  <c r="AO3" i="7"/>
  <c r="AO35" i="7"/>
  <c r="AO8" i="7"/>
  <c r="AO24" i="7"/>
  <c r="AO40" i="7"/>
  <c r="AO9" i="7"/>
  <c r="AO25" i="7"/>
  <c r="AO41" i="7"/>
  <c r="AO6" i="7"/>
  <c r="AO30" i="7"/>
  <c r="AO26" i="7"/>
  <c r="AO11" i="7"/>
  <c r="AO43" i="7"/>
  <c r="AO12" i="7"/>
  <c r="AO28" i="7"/>
  <c r="AO44" i="7"/>
  <c r="AO13" i="7"/>
  <c r="AO29" i="7"/>
  <c r="AO45" i="7"/>
  <c r="DQ6" i="7"/>
  <c r="DQ7" i="7"/>
  <c r="DQ30" i="7"/>
  <c r="DQ22" i="7"/>
  <c r="DQ14" i="7"/>
  <c r="DQ23" i="7"/>
  <c r="DQ31" i="7"/>
  <c r="DQ38" i="7"/>
  <c r="DQ46" i="7"/>
  <c r="DQ15" i="7"/>
  <c r="DQ39" i="7"/>
  <c r="DQ47" i="7"/>
  <c r="DQ18" i="7"/>
  <c r="DQ50" i="7"/>
  <c r="DQ27" i="7"/>
  <c r="DQ8" i="7"/>
  <c r="DQ24" i="7"/>
  <c r="DQ40" i="7"/>
  <c r="DQ13" i="7"/>
  <c r="DQ29" i="7"/>
  <c r="DQ45" i="7"/>
  <c r="DQ26" i="7"/>
  <c r="DQ3" i="7"/>
  <c r="DQ35" i="7"/>
  <c r="DQ12" i="7"/>
  <c r="DQ28" i="7"/>
  <c r="DQ44" i="7"/>
  <c r="DQ17" i="7"/>
  <c r="DQ33" i="7"/>
  <c r="DQ49" i="7"/>
  <c r="DQ2" i="7"/>
  <c r="DQ34" i="7"/>
  <c r="DQ11" i="7"/>
  <c r="DQ43" i="7"/>
  <c r="DQ16" i="7"/>
  <c r="DQ32" i="7"/>
  <c r="DQ48" i="7"/>
  <c r="DQ5" i="7"/>
  <c r="DQ21" i="7"/>
  <c r="DQ37" i="7"/>
  <c r="DQ53" i="7"/>
  <c r="DQ10" i="7"/>
  <c r="DQ42" i="7"/>
  <c r="DQ19" i="7"/>
  <c r="DQ51" i="7"/>
  <c r="DQ4" i="7"/>
  <c r="DQ20" i="7"/>
  <c r="DQ36" i="7"/>
  <c r="DQ52" i="7"/>
  <c r="DQ9" i="7"/>
  <c r="DQ25" i="7"/>
  <c r="DQ41" i="7"/>
  <c r="AG18" i="7"/>
  <c r="AG10" i="7"/>
  <c r="AG34" i="7"/>
  <c r="AG15" i="7"/>
  <c r="AG3" i="7"/>
  <c r="AG35" i="7"/>
  <c r="AG16" i="7"/>
  <c r="AG32" i="7"/>
  <c r="AG48" i="7"/>
  <c r="AG17" i="7"/>
  <c r="AG33" i="7"/>
  <c r="AG49" i="7"/>
  <c r="AG30" i="7"/>
  <c r="AG22" i="7"/>
  <c r="AG2" i="7"/>
  <c r="AG46" i="7"/>
  <c r="AG26" i="7"/>
  <c r="AG11" i="7"/>
  <c r="AG43" i="7"/>
  <c r="AG4" i="7"/>
  <c r="AG20" i="7"/>
  <c r="AG36" i="7"/>
  <c r="AG52" i="7"/>
  <c r="AG5" i="7"/>
  <c r="AG21" i="7"/>
  <c r="AG37" i="7"/>
  <c r="AG53" i="7"/>
  <c r="AG39" i="7"/>
  <c r="AG31" i="7"/>
  <c r="AG14" i="7"/>
  <c r="AG38" i="7"/>
  <c r="AG19" i="7"/>
  <c r="AG51" i="7"/>
  <c r="AG8" i="7"/>
  <c r="AG24" i="7"/>
  <c r="AG40" i="7"/>
  <c r="AG9" i="7"/>
  <c r="AG25" i="7"/>
  <c r="AG41" i="7"/>
  <c r="AG7" i="7"/>
  <c r="AG50" i="7"/>
  <c r="AG42" i="7"/>
  <c r="AG23" i="7"/>
  <c r="AG6" i="7"/>
  <c r="AG47" i="7"/>
  <c r="AG27" i="7"/>
  <c r="AG12" i="7"/>
  <c r="AG28" i="7"/>
  <c r="AG44" i="7"/>
  <c r="AG13" i="7"/>
  <c r="AG29" i="7"/>
  <c r="AG45" i="7"/>
  <c r="CS42" i="7"/>
  <c r="CS18" i="7"/>
  <c r="CS38" i="7"/>
  <c r="CS15" i="7"/>
  <c r="CS31" i="7"/>
  <c r="CS47" i="7"/>
  <c r="CS4" i="7"/>
  <c r="CS20" i="7"/>
  <c r="CS36" i="7"/>
  <c r="CS52" i="7"/>
  <c r="CS14" i="7"/>
  <c r="CS34" i="7"/>
  <c r="CS3" i="7"/>
  <c r="CS19" i="7"/>
  <c r="CS35" i="7"/>
  <c r="CS51" i="7"/>
  <c r="CS8" i="7"/>
  <c r="CS24" i="7"/>
  <c r="CS40" i="7"/>
  <c r="CS10" i="7"/>
  <c r="CS30" i="7"/>
  <c r="CS50" i="7"/>
  <c r="CS6" i="7"/>
  <c r="CS7" i="7"/>
  <c r="CS23" i="7"/>
  <c r="CS39" i="7"/>
  <c r="CS12" i="7"/>
  <c r="CS28" i="7"/>
  <c r="CS44" i="7"/>
  <c r="CS26" i="7"/>
  <c r="CS46" i="7"/>
  <c r="CS2" i="7"/>
  <c r="CS22" i="7"/>
  <c r="CS11" i="7"/>
  <c r="CS27" i="7"/>
  <c r="CS43" i="7"/>
  <c r="CS16" i="7"/>
  <c r="CS32" i="7"/>
  <c r="CS48" i="7"/>
  <c r="CS13" i="7"/>
  <c r="CS29" i="7"/>
  <c r="CS45" i="7"/>
  <c r="CS17" i="7"/>
  <c r="CS33" i="7"/>
  <c r="CS49" i="7"/>
  <c r="CS5" i="7"/>
  <c r="CS21" i="7"/>
  <c r="CS37" i="7"/>
  <c r="CS53" i="7"/>
  <c r="CS9" i="7"/>
  <c r="CS25" i="7"/>
  <c r="CS41" i="7"/>
  <c r="K42" i="7"/>
  <c r="K18" i="7"/>
  <c r="K34" i="7"/>
  <c r="K3" i="7"/>
  <c r="K19" i="7"/>
  <c r="K35" i="7"/>
  <c r="K51" i="7"/>
  <c r="K16" i="7"/>
  <c r="K32" i="7"/>
  <c r="K48" i="7"/>
  <c r="K13" i="7"/>
  <c r="K29" i="7"/>
  <c r="K45" i="7"/>
  <c r="K6" i="7"/>
  <c r="K22" i="7"/>
  <c r="K38" i="7"/>
  <c r="K7" i="7"/>
  <c r="K23" i="7"/>
  <c r="K39" i="7"/>
  <c r="K4" i="7"/>
  <c r="K20" i="7"/>
  <c r="K36" i="7"/>
  <c r="K52" i="7"/>
  <c r="K17" i="7"/>
  <c r="K33" i="7"/>
  <c r="K49" i="7"/>
  <c r="K10" i="7"/>
  <c r="K26" i="7"/>
  <c r="K46" i="7"/>
  <c r="K11" i="7"/>
  <c r="K27" i="7"/>
  <c r="K43" i="7"/>
  <c r="K8" i="7"/>
  <c r="K24" i="7"/>
  <c r="K40" i="7"/>
  <c r="K5" i="7"/>
  <c r="K21" i="7"/>
  <c r="K37" i="7"/>
  <c r="K53" i="7"/>
  <c r="K2" i="7"/>
  <c r="K14" i="7"/>
  <c r="K30" i="7"/>
  <c r="K50" i="7"/>
  <c r="K15" i="7"/>
  <c r="K31" i="7"/>
  <c r="K47" i="7"/>
  <c r="K12" i="7"/>
  <c r="K28" i="7"/>
  <c r="K44" i="7"/>
  <c r="K9" i="7"/>
  <c r="K25" i="7"/>
  <c r="K41" i="7"/>
  <c r="BW43" i="7"/>
  <c r="BW19" i="7"/>
  <c r="BW27" i="7"/>
  <c r="BW51" i="7"/>
  <c r="BW11" i="7"/>
  <c r="BW30" i="7"/>
  <c r="BW7" i="7"/>
  <c r="BW39" i="7"/>
  <c r="BW18" i="7"/>
  <c r="BW50" i="7"/>
  <c r="BW16" i="7"/>
  <c r="BW32" i="7"/>
  <c r="BW48" i="7"/>
  <c r="BW6" i="7"/>
  <c r="BW38" i="7"/>
  <c r="BW15" i="7"/>
  <c r="BW47" i="7"/>
  <c r="BW26" i="7"/>
  <c r="BW4" i="7"/>
  <c r="BW20" i="7"/>
  <c r="BW36" i="7"/>
  <c r="BW52" i="7"/>
  <c r="BW3" i="7"/>
  <c r="BW14" i="7"/>
  <c r="BW46" i="7"/>
  <c r="BW23" i="7"/>
  <c r="BW2" i="7"/>
  <c r="BW34" i="7"/>
  <c r="BW8" i="7"/>
  <c r="BW24" i="7"/>
  <c r="BW40" i="7"/>
  <c r="BW35" i="7"/>
  <c r="BW22" i="7"/>
  <c r="BW31" i="7"/>
  <c r="BW10" i="7"/>
  <c r="BW42" i="7"/>
  <c r="BW12" i="7"/>
  <c r="BW28" i="7"/>
  <c r="BW44" i="7"/>
  <c r="BW17" i="7"/>
  <c r="BW33" i="7"/>
  <c r="BW49" i="7"/>
  <c r="BW5" i="7"/>
  <c r="BW21" i="7"/>
  <c r="BW37" i="7"/>
  <c r="BW53" i="7"/>
  <c r="BW9" i="7"/>
  <c r="BW25" i="7"/>
  <c r="BW41" i="7"/>
  <c r="BW13" i="7"/>
  <c r="BW29" i="7"/>
  <c r="BW45" i="7"/>
  <c r="AY29" i="7"/>
  <c r="AY14" i="7"/>
  <c r="AY30" i="7"/>
  <c r="AY49" i="7"/>
  <c r="AY53" i="7"/>
  <c r="AY15" i="7"/>
  <c r="AY31" i="7"/>
  <c r="AY50" i="7"/>
  <c r="AY48" i="7"/>
  <c r="AY16" i="7"/>
  <c r="AY32" i="7"/>
  <c r="AY52" i="7"/>
  <c r="AY42" i="7"/>
  <c r="AY2" i="7"/>
  <c r="AY18" i="7"/>
  <c r="AY34" i="7"/>
  <c r="AY13" i="7"/>
  <c r="AY3" i="7"/>
  <c r="AY19" i="7"/>
  <c r="AY35" i="7"/>
  <c r="AY9" i="7"/>
  <c r="AY4" i="7"/>
  <c r="AY20" i="7"/>
  <c r="AY36" i="7"/>
  <c r="AY5" i="7"/>
  <c r="AY6" i="7"/>
  <c r="AY22" i="7"/>
  <c r="AY38" i="7"/>
  <c r="AY21" i="7"/>
  <c r="AY7" i="7"/>
  <c r="AY23" i="7"/>
  <c r="AY40" i="7"/>
  <c r="AY25" i="7"/>
  <c r="AY8" i="7"/>
  <c r="AY24" i="7"/>
  <c r="AY41" i="7"/>
  <c r="AY17" i="7"/>
  <c r="AY10" i="7"/>
  <c r="AY26" i="7"/>
  <c r="AY44" i="7"/>
  <c r="AY33" i="7"/>
  <c r="AY11" i="7"/>
  <c r="AY27" i="7"/>
  <c r="AY45" i="7"/>
  <c r="AY37" i="7"/>
  <c r="AY12" i="7"/>
  <c r="AY28" i="7"/>
  <c r="AY46" i="7"/>
  <c r="AY43" i="7"/>
  <c r="AY47" i="7"/>
  <c r="AY51" i="7"/>
  <c r="AY39" i="7"/>
  <c r="DK17" i="7"/>
  <c r="DK9" i="7"/>
  <c r="DK34" i="7"/>
  <c r="DK27" i="7"/>
  <c r="DK35" i="7"/>
  <c r="DK42" i="7"/>
  <c r="DK29" i="7"/>
  <c r="DK4" i="7"/>
  <c r="DK50" i="7"/>
  <c r="DK18" i="7"/>
  <c r="DK5" i="7"/>
  <c r="DK51" i="7"/>
  <c r="DK12" i="7"/>
  <c r="DK43" i="7"/>
  <c r="DK13" i="7"/>
  <c r="DK8" i="7"/>
  <c r="DK22" i="7"/>
  <c r="DK23" i="7"/>
  <c r="DK2" i="7"/>
  <c r="DK19" i="7"/>
  <c r="DK46" i="7"/>
  <c r="DK7" i="7"/>
  <c r="DK26" i="7"/>
  <c r="DK20" i="7"/>
  <c r="DK36" i="7"/>
  <c r="DK52" i="7"/>
  <c r="DK41" i="7"/>
  <c r="DK6" i="7"/>
  <c r="DK25" i="7"/>
  <c r="DK11" i="7"/>
  <c r="DK31" i="7"/>
  <c r="DK24" i="7"/>
  <c r="DK40" i="7"/>
  <c r="DK45" i="7"/>
  <c r="DK10" i="7"/>
  <c r="DK30" i="7"/>
  <c r="DK15" i="7"/>
  <c r="DK39" i="7"/>
  <c r="DK28" i="7"/>
  <c r="DK44" i="7"/>
  <c r="DK33" i="7"/>
  <c r="DK49" i="7"/>
  <c r="DK14" i="7"/>
  <c r="DK38" i="7"/>
  <c r="DK3" i="7"/>
  <c r="DK21" i="7"/>
  <c r="DK47" i="7"/>
  <c r="DK16" i="7"/>
  <c r="DK32" i="7"/>
  <c r="DK48" i="7"/>
  <c r="DK37" i="7"/>
  <c r="DK53" i="7"/>
  <c r="BI14" i="7"/>
  <c r="BI18" i="7"/>
  <c r="BI22" i="7"/>
  <c r="BI34" i="7"/>
  <c r="BI38" i="7"/>
  <c r="BI50" i="7"/>
  <c r="BI26" i="7"/>
  <c r="BI2" i="7"/>
  <c r="BI46" i="7"/>
  <c r="BI6" i="7"/>
  <c r="BI30" i="7"/>
  <c r="BI7" i="7"/>
  <c r="BI23" i="7"/>
  <c r="BI39" i="7"/>
  <c r="BI12" i="7"/>
  <c r="BI28" i="7"/>
  <c r="BI44" i="7"/>
  <c r="BI17" i="7"/>
  <c r="BI33" i="7"/>
  <c r="BI49" i="7"/>
  <c r="BI10" i="7"/>
  <c r="BI11" i="7"/>
  <c r="BI27" i="7"/>
  <c r="BI43" i="7"/>
  <c r="BI16" i="7"/>
  <c r="BI32" i="7"/>
  <c r="BI48" i="7"/>
  <c r="BI5" i="7"/>
  <c r="BI21" i="7"/>
  <c r="BI37" i="7"/>
  <c r="BI53" i="7"/>
  <c r="BI15" i="7"/>
  <c r="BI31" i="7"/>
  <c r="BI47" i="7"/>
  <c r="BI4" i="7"/>
  <c r="BI20" i="7"/>
  <c r="BI36" i="7"/>
  <c r="BI52" i="7"/>
  <c r="BI9" i="7"/>
  <c r="BI25" i="7"/>
  <c r="BI41" i="7"/>
  <c r="BI42" i="7"/>
  <c r="BI3" i="7"/>
  <c r="BI19" i="7"/>
  <c r="BI35" i="7"/>
  <c r="BI51" i="7"/>
  <c r="BI8" i="7"/>
  <c r="BI24" i="7"/>
  <c r="BI40" i="7"/>
  <c r="BI13" i="7"/>
  <c r="BI29" i="7"/>
  <c r="BI45" i="7"/>
  <c r="DU22" i="7"/>
  <c r="DU30" i="7"/>
  <c r="DU6" i="7"/>
  <c r="DU31" i="7"/>
  <c r="DU23" i="7"/>
  <c r="DU46" i="7"/>
  <c r="DU38" i="7"/>
  <c r="DU7" i="7"/>
  <c r="DU47" i="7"/>
  <c r="DU39" i="7"/>
  <c r="DU14" i="7"/>
  <c r="DU15" i="7"/>
  <c r="DU10" i="7"/>
  <c r="DU42" i="7"/>
  <c r="DU19" i="7"/>
  <c r="DU51" i="7"/>
  <c r="DU16" i="7"/>
  <c r="DU32" i="7"/>
  <c r="DU48" i="7"/>
  <c r="DU5" i="7"/>
  <c r="DU21" i="7"/>
  <c r="DU37" i="7"/>
  <c r="DU53" i="7"/>
  <c r="DU18" i="7"/>
  <c r="DU50" i="7"/>
  <c r="DU27" i="7"/>
  <c r="DU4" i="7"/>
  <c r="DU20" i="7"/>
  <c r="DU36" i="7"/>
  <c r="DU52" i="7"/>
  <c r="DU9" i="7"/>
  <c r="DU25" i="7"/>
  <c r="DU41" i="7"/>
  <c r="DU26" i="7"/>
  <c r="DU3" i="7"/>
  <c r="DU35" i="7"/>
  <c r="DU8" i="7"/>
  <c r="DU24" i="7"/>
  <c r="DU40" i="7"/>
  <c r="DU13" i="7"/>
  <c r="DU29" i="7"/>
  <c r="DU45" i="7"/>
  <c r="DU2" i="7"/>
  <c r="DU34" i="7"/>
  <c r="DU11" i="7"/>
  <c r="DU43" i="7"/>
  <c r="DU12" i="7"/>
  <c r="DU28" i="7"/>
  <c r="DU44" i="7"/>
  <c r="DU17" i="7"/>
  <c r="DU33" i="7"/>
  <c r="DU49" i="7"/>
  <c r="AM10" i="7"/>
  <c r="AM34" i="7"/>
  <c r="AM3" i="7"/>
  <c r="AM22" i="7"/>
  <c r="AM7" i="7"/>
  <c r="AM39" i="7"/>
  <c r="AM4" i="7"/>
  <c r="AM20" i="7"/>
  <c r="AM36" i="7"/>
  <c r="AM52" i="7"/>
  <c r="AM5" i="7"/>
  <c r="AM21" i="7"/>
  <c r="AM37" i="7"/>
  <c r="AM53" i="7"/>
  <c r="AM26" i="7"/>
  <c r="AM11" i="7"/>
  <c r="AM50" i="7"/>
  <c r="AM19" i="7"/>
  <c r="AM30" i="7"/>
  <c r="AM15" i="7"/>
  <c r="AM47" i="7"/>
  <c r="AM8" i="7"/>
  <c r="AM24" i="7"/>
  <c r="AM40" i="7"/>
  <c r="AM9" i="7"/>
  <c r="AM25" i="7"/>
  <c r="AM41" i="7"/>
  <c r="AM42" i="7"/>
  <c r="AM27" i="7"/>
  <c r="AM2" i="7"/>
  <c r="AM35" i="7"/>
  <c r="AM6" i="7"/>
  <c r="AM38" i="7"/>
  <c r="AM23" i="7"/>
  <c r="AM12" i="7"/>
  <c r="AM28" i="7"/>
  <c r="AM44" i="7"/>
  <c r="AM13" i="7"/>
  <c r="AM29" i="7"/>
  <c r="AM45" i="7"/>
  <c r="AM43" i="7"/>
  <c r="AM18" i="7"/>
  <c r="AM51" i="7"/>
  <c r="AM14" i="7"/>
  <c r="AM46" i="7"/>
  <c r="AM31" i="7"/>
  <c r="AM16" i="7"/>
  <c r="AM32" i="7"/>
  <c r="AM48" i="7"/>
  <c r="AM17" i="7"/>
  <c r="AM33" i="7"/>
  <c r="AM49" i="7"/>
  <c r="CY9" i="7"/>
  <c r="CY41" i="7"/>
  <c r="CY6" i="7"/>
  <c r="CY34" i="7"/>
  <c r="CY15" i="7"/>
  <c r="CY31" i="7"/>
  <c r="CY47" i="7"/>
  <c r="CY13" i="7"/>
  <c r="CY45" i="7"/>
  <c r="CY2" i="7"/>
  <c r="CY38" i="7"/>
  <c r="CY16" i="7"/>
  <c r="CY32" i="7"/>
  <c r="CY48" i="7"/>
  <c r="CY17" i="7"/>
  <c r="CY49" i="7"/>
  <c r="CY14" i="7"/>
  <c r="CY46" i="7"/>
  <c r="CY3" i="7"/>
  <c r="CY19" i="7"/>
  <c r="CY35" i="7"/>
  <c r="CY51" i="7"/>
  <c r="CY21" i="7"/>
  <c r="CY53" i="7"/>
  <c r="CY10" i="7"/>
  <c r="CY42" i="7"/>
  <c r="CY4" i="7"/>
  <c r="CY20" i="7"/>
  <c r="CY36" i="7"/>
  <c r="CY52" i="7"/>
  <c r="CY25" i="7"/>
  <c r="CY18" i="7"/>
  <c r="CY7" i="7"/>
  <c r="CY23" i="7"/>
  <c r="CY39" i="7"/>
  <c r="CY29" i="7"/>
  <c r="CY22" i="7"/>
  <c r="CY50" i="7"/>
  <c r="CY8" i="7"/>
  <c r="CY24" i="7"/>
  <c r="CY40" i="7"/>
  <c r="CY33" i="7"/>
  <c r="CY26" i="7"/>
  <c r="CY11" i="7"/>
  <c r="CY27" i="7"/>
  <c r="CY43" i="7"/>
  <c r="CY5" i="7"/>
  <c r="CY37" i="7"/>
  <c r="CY30" i="7"/>
  <c r="CY12" i="7"/>
  <c r="CY28" i="7"/>
  <c r="CY44" i="7"/>
  <c r="AK47" i="7"/>
  <c r="AK22" i="7"/>
  <c r="AK10" i="7"/>
  <c r="AK42" i="7"/>
  <c r="AK27" i="7"/>
  <c r="AK8" i="7"/>
  <c r="AK24" i="7"/>
  <c r="AK40" i="7"/>
  <c r="AK9" i="7"/>
  <c r="AK25" i="7"/>
  <c r="AK41" i="7"/>
  <c r="AK14" i="7"/>
  <c r="AK2" i="7"/>
  <c r="AK38" i="7"/>
  <c r="AK7" i="7"/>
  <c r="AK18" i="7"/>
  <c r="AK50" i="7"/>
  <c r="AK3" i="7"/>
  <c r="AK35" i="7"/>
  <c r="AK12" i="7"/>
  <c r="AK28" i="7"/>
  <c r="AK44" i="7"/>
  <c r="AK13" i="7"/>
  <c r="AK29" i="7"/>
  <c r="AK45" i="7"/>
  <c r="AK30" i="7"/>
  <c r="AK15" i="7"/>
  <c r="AK23" i="7"/>
  <c r="AK26" i="7"/>
  <c r="AK11" i="7"/>
  <c r="AK43" i="7"/>
  <c r="AK16" i="7"/>
  <c r="AK32" i="7"/>
  <c r="AK48" i="7"/>
  <c r="AK17" i="7"/>
  <c r="AK33" i="7"/>
  <c r="AK49" i="7"/>
  <c r="AK46" i="7"/>
  <c r="AK31" i="7"/>
  <c r="AK6" i="7"/>
  <c r="AK39" i="7"/>
  <c r="AK34" i="7"/>
  <c r="AK19" i="7"/>
  <c r="AK51" i="7"/>
  <c r="AK4" i="7"/>
  <c r="AK20" i="7"/>
  <c r="AK36" i="7"/>
  <c r="AK52" i="7"/>
  <c r="AK5" i="7"/>
  <c r="AK21" i="7"/>
  <c r="AK37" i="7"/>
  <c r="AK53" i="7"/>
  <c r="CW6" i="7"/>
  <c r="CW50" i="7"/>
  <c r="CW15" i="7"/>
  <c r="CW31" i="7"/>
  <c r="CW47" i="7"/>
  <c r="CW30" i="7"/>
  <c r="CW8" i="7"/>
  <c r="CW24" i="7"/>
  <c r="CW40" i="7"/>
  <c r="CW10" i="7"/>
  <c r="CW9" i="7"/>
  <c r="CW25" i="7"/>
  <c r="CW41" i="7"/>
  <c r="CW14" i="7"/>
  <c r="CW3" i="7"/>
  <c r="CW19" i="7"/>
  <c r="CW35" i="7"/>
  <c r="CW51" i="7"/>
  <c r="CW34" i="7"/>
  <c r="CW12" i="7"/>
  <c r="CW28" i="7"/>
  <c r="CW44" i="7"/>
  <c r="CW22" i="7"/>
  <c r="CW13" i="7"/>
  <c r="CW29" i="7"/>
  <c r="CW45" i="7"/>
  <c r="CW26" i="7"/>
  <c r="CW7" i="7"/>
  <c r="CW23" i="7"/>
  <c r="CW39" i="7"/>
  <c r="CW2" i="7"/>
  <c r="CW46" i="7"/>
  <c r="CW16" i="7"/>
  <c r="CW32" i="7"/>
  <c r="CW48" i="7"/>
  <c r="CW42" i="7"/>
  <c r="CW17" i="7"/>
  <c r="CW33" i="7"/>
  <c r="CW49" i="7"/>
  <c r="CW38" i="7"/>
  <c r="CW11" i="7"/>
  <c r="CW27" i="7"/>
  <c r="CW43" i="7"/>
  <c r="CW18" i="7"/>
  <c r="CW4" i="7"/>
  <c r="CW20" i="7"/>
  <c r="CW36" i="7"/>
  <c r="CW52" i="7"/>
  <c r="CW5" i="7"/>
  <c r="CW21" i="7"/>
  <c r="CW37" i="7"/>
  <c r="CW53" i="7"/>
  <c r="O30" i="7"/>
  <c r="O18" i="7"/>
  <c r="O6" i="7"/>
  <c r="O10" i="7"/>
  <c r="O19" i="7"/>
  <c r="O23" i="7"/>
  <c r="O24" i="7"/>
  <c r="O46" i="7"/>
  <c r="O50" i="7"/>
  <c r="O22" i="7"/>
  <c r="O26" i="7"/>
  <c r="O35" i="7"/>
  <c r="O31" i="7"/>
  <c r="O8" i="7"/>
  <c r="O28" i="7"/>
  <c r="O38" i="7"/>
  <c r="O42" i="7"/>
  <c r="O51" i="7"/>
  <c r="O43" i="7"/>
  <c r="O12" i="7"/>
  <c r="O40" i="7"/>
  <c r="O14" i="7"/>
  <c r="O2" i="7"/>
  <c r="O34" i="7"/>
  <c r="O7" i="7"/>
  <c r="O16" i="7"/>
  <c r="O44" i="7"/>
  <c r="O11" i="7"/>
  <c r="O4" i="7"/>
  <c r="O20" i="7"/>
  <c r="O36" i="7"/>
  <c r="O52" i="7"/>
  <c r="O27" i="7"/>
  <c r="O9" i="7"/>
  <c r="O25" i="7"/>
  <c r="O41" i="7"/>
  <c r="O39" i="7"/>
  <c r="O13" i="7"/>
  <c r="O29" i="7"/>
  <c r="O45" i="7"/>
  <c r="O3" i="7"/>
  <c r="O47" i="7"/>
  <c r="O17" i="7"/>
  <c r="O33" i="7"/>
  <c r="O49" i="7"/>
  <c r="O32" i="7"/>
  <c r="O48" i="7"/>
  <c r="O15" i="7"/>
  <c r="O5" i="7"/>
  <c r="O21" i="7"/>
  <c r="O37" i="7"/>
  <c r="O53" i="7"/>
  <c r="CA42" i="7"/>
  <c r="CA10" i="7"/>
  <c r="CA14" i="7"/>
  <c r="CA34" i="7"/>
  <c r="CA15" i="7"/>
  <c r="CA31" i="7"/>
  <c r="CA47" i="7"/>
  <c r="CA16" i="7"/>
  <c r="CA48" i="7"/>
  <c r="CA26" i="7"/>
  <c r="CA30" i="7"/>
  <c r="CA50" i="7"/>
  <c r="CA6" i="7"/>
  <c r="CA3" i="7"/>
  <c r="CA19" i="7"/>
  <c r="CA35" i="7"/>
  <c r="CA51" i="7"/>
  <c r="CA28" i="7"/>
  <c r="CA46" i="7"/>
  <c r="CA2" i="7"/>
  <c r="CA22" i="7"/>
  <c r="CA7" i="7"/>
  <c r="CA23" i="7"/>
  <c r="CA39" i="7"/>
  <c r="CA32" i="7"/>
  <c r="CA18" i="7"/>
  <c r="CA38" i="7"/>
  <c r="CA11" i="7"/>
  <c r="CA27" i="7"/>
  <c r="CA43" i="7"/>
  <c r="CA12" i="7"/>
  <c r="CA44" i="7"/>
  <c r="CA4" i="7"/>
  <c r="CA20" i="7"/>
  <c r="CA36" i="7"/>
  <c r="CA52" i="7"/>
  <c r="CA9" i="7"/>
  <c r="CA25" i="7"/>
  <c r="CA41" i="7"/>
  <c r="CA8" i="7"/>
  <c r="CA24" i="7"/>
  <c r="CA40" i="7"/>
  <c r="CA13" i="7"/>
  <c r="CA29" i="7"/>
  <c r="CA45" i="7"/>
  <c r="CA17" i="7"/>
  <c r="CA33" i="7"/>
  <c r="CA49" i="7"/>
  <c r="CA5" i="7"/>
  <c r="CA21" i="7"/>
  <c r="CA37" i="7"/>
  <c r="CA53" i="7"/>
  <c r="DA21" i="7"/>
  <c r="DA18" i="7"/>
  <c r="DA11" i="7"/>
  <c r="DA32" i="7"/>
  <c r="DA28" i="7"/>
  <c r="DA14" i="7"/>
  <c r="DA12" i="7"/>
  <c r="DA33" i="7"/>
  <c r="DA30" i="7"/>
  <c r="DA36" i="7"/>
  <c r="DA29" i="7"/>
  <c r="DA15" i="7"/>
  <c r="DA40" i="7"/>
  <c r="DA44" i="7"/>
  <c r="DA23" i="7"/>
  <c r="DA16" i="7"/>
  <c r="DA41" i="7"/>
  <c r="DA42" i="7"/>
  <c r="DA5" i="7"/>
  <c r="DA52" i="7"/>
  <c r="DA2" i="7"/>
  <c r="DA45" i="7"/>
  <c r="DA3" i="7"/>
  <c r="DA19" i="7"/>
  <c r="DA48" i="7"/>
  <c r="DA9" i="7"/>
  <c r="DA37" i="7"/>
  <c r="DA4" i="7"/>
  <c r="DA20" i="7"/>
  <c r="DA49" i="7"/>
  <c r="DA46" i="7"/>
  <c r="DA13" i="7"/>
  <c r="DA10" i="7"/>
  <c r="DA7" i="7"/>
  <c r="DA24" i="7"/>
  <c r="DA17" i="7"/>
  <c r="DA6" i="7"/>
  <c r="DA53" i="7"/>
  <c r="DA8" i="7"/>
  <c r="DA25" i="7"/>
  <c r="DA26" i="7"/>
  <c r="DA22" i="7"/>
  <c r="DA38" i="7"/>
  <c r="DA27" i="7"/>
  <c r="DA43" i="7"/>
  <c r="DA31" i="7"/>
  <c r="DA47" i="7"/>
  <c r="DA35" i="7"/>
  <c r="DA51" i="7"/>
  <c r="DA34" i="7"/>
  <c r="DA50" i="7"/>
  <c r="DA39" i="7"/>
  <c r="AW6" i="7"/>
  <c r="AW30" i="7"/>
  <c r="AW18" i="7"/>
  <c r="AW50" i="7"/>
  <c r="AW3" i="7"/>
  <c r="AW35" i="7"/>
  <c r="AW16" i="7"/>
  <c r="AW32" i="7"/>
  <c r="AW48" i="7"/>
  <c r="AW17" i="7"/>
  <c r="AW33" i="7"/>
  <c r="AW49" i="7"/>
  <c r="AW22" i="7"/>
  <c r="AW7" i="7"/>
  <c r="AW46" i="7"/>
  <c r="AW15" i="7"/>
  <c r="AW26" i="7"/>
  <c r="AW11" i="7"/>
  <c r="AW43" i="7"/>
  <c r="AW4" i="7"/>
  <c r="AW20" i="7"/>
  <c r="AW36" i="7"/>
  <c r="AW52" i="7"/>
  <c r="AW5" i="7"/>
  <c r="AW21" i="7"/>
  <c r="AW37" i="7"/>
  <c r="AW53" i="7"/>
  <c r="AW38" i="7"/>
  <c r="AW23" i="7"/>
  <c r="AW31" i="7"/>
  <c r="AW2" i="7"/>
  <c r="AW34" i="7"/>
  <c r="AW19" i="7"/>
  <c r="AW51" i="7"/>
  <c r="AW8" i="7"/>
  <c r="AW24" i="7"/>
  <c r="AW40" i="7"/>
  <c r="AW9" i="7"/>
  <c r="AW25" i="7"/>
  <c r="AW41" i="7"/>
  <c r="AW39" i="7"/>
  <c r="AW14" i="7"/>
  <c r="AW47" i="7"/>
  <c r="AW10" i="7"/>
  <c r="AW42" i="7"/>
  <c r="AW27" i="7"/>
  <c r="AW12" i="7"/>
  <c r="AW28" i="7"/>
  <c r="AW44" i="7"/>
  <c r="AW13" i="7"/>
  <c r="AW29" i="7"/>
  <c r="AW45" i="7"/>
  <c r="DI4" i="7"/>
  <c r="DI16" i="7"/>
  <c r="DI48" i="7"/>
  <c r="DI12" i="7"/>
  <c r="DI53" i="7"/>
  <c r="DI17" i="7"/>
  <c r="DI49" i="7"/>
  <c r="DI20" i="7"/>
  <c r="DI13" i="7"/>
  <c r="DI24" i="7"/>
  <c r="DI28" i="7"/>
  <c r="DI5" i="7"/>
  <c r="DI25" i="7"/>
  <c r="DI44" i="7"/>
  <c r="DI29" i="7"/>
  <c r="DI32" i="7"/>
  <c r="DI36" i="7"/>
  <c r="DI21" i="7"/>
  <c r="DI33" i="7"/>
  <c r="DI45" i="7"/>
  <c r="DI8" i="7"/>
  <c r="DI40" i="7"/>
  <c r="DI52" i="7"/>
  <c r="DI37" i="7"/>
  <c r="DI9" i="7"/>
  <c r="DI41" i="7"/>
  <c r="DI6" i="7"/>
  <c r="DI22" i="7"/>
  <c r="DI38" i="7"/>
  <c r="DI11" i="7"/>
  <c r="DI27" i="7"/>
  <c r="DI43" i="7"/>
  <c r="DI10" i="7"/>
  <c r="DI26" i="7"/>
  <c r="DI42" i="7"/>
  <c r="DI15" i="7"/>
  <c r="DI31" i="7"/>
  <c r="DI47" i="7"/>
  <c r="DI14" i="7"/>
  <c r="DI30" i="7"/>
  <c r="DI46" i="7"/>
  <c r="DI3" i="7"/>
  <c r="DI19" i="7"/>
  <c r="DI35" i="7"/>
  <c r="DI51" i="7"/>
  <c r="DI2" i="7"/>
  <c r="DI18" i="7"/>
  <c r="DI34" i="7"/>
  <c r="DI50" i="7"/>
  <c r="DI7" i="7"/>
  <c r="DI23" i="7"/>
  <c r="DI39" i="7"/>
  <c r="AA2" i="7"/>
  <c r="AA3" i="7"/>
  <c r="AA27" i="7"/>
  <c r="AA47" i="7"/>
  <c r="AA6" i="7"/>
  <c r="AA14" i="7"/>
  <c r="AA11" i="7"/>
  <c r="AA31" i="7"/>
  <c r="AA51" i="7"/>
  <c r="AA26" i="7"/>
  <c r="AA42" i="7"/>
  <c r="AA15" i="7"/>
  <c r="AA35" i="7"/>
  <c r="AA34" i="7"/>
  <c r="AA19" i="7"/>
  <c r="AA43" i="7"/>
  <c r="AA50" i="7"/>
  <c r="AA7" i="7"/>
  <c r="AA23" i="7"/>
  <c r="AA39" i="7"/>
  <c r="AA18" i="7"/>
  <c r="AA12" i="7"/>
  <c r="AA28" i="7"/>
  <c r="AA44" i="7"/>
  <c r="AA38" i="7"/>
  <c r="AA17" i="7"/>
  <c r="AA33" i="7"/>
  <c r="AA49" i="7"/>
  <c r="AA16" i="7"/>
  <c r="AA32" i="7"/>
  <c r="AA48" i="7"/>
  <c r="AA10" i="7"/>
  <c r="AA46" i="7"/>
  <c r="AA5" i="7"/>
  <c r="AA21" i="7"/>
  <c r="AA37" i="7"/>
  <c r="AA53" i="7"/>
  <c r="AA4" i="7"/>
  <c r="AA20" i="7"/>
  <c r="AA36" i="7"/>
  <c r="AA52" i="7"/>
  <c r="AA22" i="7"/>
  <c r="AA9" i="7"/>
  <c r="AA25" i="7"/>
  <c r="AA41" i="7"/>
  <c r="AA8" i="7"/>
  <c r="AA24" i="7"/>
  <c r="AA40" i="7"/>
  <c r="AA30" i="7"/>
  <c r="AA13" i="7"/>
  <c r="AA29" i="7"/>
  <c r="AA45" i="7"/>
  <c r="CM6" i="7"/>
  <c r="CM26" i="7"/>
  <c r="CM46" i="7"/>
  <c r="CM2" i="7"/>
  <c r="CM11" i="7"/>
  <c r="CM27" i="7"/>
  <c r="CM43" i="7"/>
  <c r="CM7" i="7"/>
  <c r="CM16" i="7"/>
  <c r="CM32" i="7"/>
  <c r="CM48" i="7"/>
  <c r="CM22" i="7"/>
  <c r="CM42" i="7"/>
  <c r="CM18" i="7"/>
  <c r="CM15" i="7"/>
  <c r="CM31" i="7"/>
  <c r="CM47" i="7"/>
  <c r="CM4" i="7"/>
  <c r="CM20" i="7"/>
  <c r="CM36" i="7"/>
  <c r="CM52" i="7"/>
  <c r="CM38" i="7"/>
  <c r="CM14" i="7"/>
  <c r="CM34" i="7"/>
  <c r="CM19" i="7"/>
  <c r="CM35" i="7"/>
  <c r="CM51" i="7"/>
  <c r="CM8" i="7"/>
  <c r="CM24" i="7"/>
  <c r="CM40" i="7"/>
  <c r="CM10" i="7"/>
  <c r="CM30" i="7"/>
  <c r="CM50" i="7"/>
  <c r="CM23" i="7"/>
  <c r="CM39" i="7"/>
  <c r="CM12" i="7"/>
  <c r="CM28" i="7"/>
  <c r="CM44" i="7"/>
  <c r="CM3" i="7"/>
  <c r="CM9" i="7"/>
  <c r="CM25" i="7"/>
  <c r="CM41" i="7"/>
  <c r="CM13" i="7"/>
  <c r="CM29" i="7"/>
  <c r="CM45" i="7"/>
  <c r="CM17" i="7"/>
  <c r="CM33" i="7"/>
  <c r="CM49" i="7"/>
  <c r="CM5" i="7"/>
  <c r="CM21" i="7"/>
  <c r="CM37" i="7"/>
  <c r="CM53" i="7"/>
  <c r="C18" i="7"/>
  <c r="C7" i="7"/>
  <c r="C23" i="7"/>
  <c r="C39" i="7"/>
  <c r="C10" i="7"/>
  <c r="C4" i="7"/>
  <c r="C20" i="7"/>
  <c r="C36" i="7"/>
  <c r="C52" i="7"/>
  <c r="C38" i="7"/>
  <c r="C13" i="7"/>
  <c r="C29" i="7"/>
  <c r="C45" i="7"/>
  <c r="C30" i="7"/>
  <c r="C11" i="7"/>
  <c r="C27" i="7"/>
  <c r="C43" i="7"/>
  <c r="C22" i="7"/>
  <c r="C8" i="7"/>
  <c r="C24" i="7"/>
  <c r="C40" i="7"/>
  <c r="C2" i="7"/>
  <c r="C42" i="7"/>
  <c r="C17" i="7"/>
  <c r="C33" i="7"/>
  <c r="C49" i="7"/>
  <c r="C50" i="7"/>
  <c r="C15" i="7"/>
  <c r="C31" i="7"/>
  <c r="C47" i="7"/>
  <c r="C34" i="7"/>
  <c r="C12" i="7"/>
  <c r="C28" i="7"/>
  <c r="C44" i="7"/>
  <c r="C14" i="7"/>
  <c r="C5" i="7"/>
  <c r="C21" i="7"/>
  <c r="C37" i="7"/>
  <c r="C53" i="7"/>
  <c r="C6" i="7"/>
  <c r="C3" i="7"/>
  <c r="C19" i="7"/>
  <c r="C35" i="7"/>
  <c r="C51" i="7"/>
  <c r="C46" i="7"/>
  <c r="C16" i="7"/>
  <c r="C32" i="7"/>
  <c r="C48" i="7"/>
  <c r="C26" i="7"/>
  <c r="C9" i="7"/>
  <c r="C25" i="7"/>
  <c r="C41" i="7"/>
  <c r="EA2" i="7"/>
  <c r="EA3" i="7"/>
  <c r="EA10" i="7"/>
  <c r="EA18" i="7"/>
  <c r="EA26" i="7"/>
  <c r="EA19" i="7"/>
  <c r="EA42" i="7"/>
  <c r="EA27" i="7"/>
  <c r="EA34" i="7"/>
  <c r="EA11" i="7"/>
  <c r="EA35" i="7"/>
  <c r="EA50" i="7"/>
  <c r="EA43" i="7"/>
  <c r="EA51" i="7"/>
  <c r="EA14" i="7"/>
  <c r="EA46" i="7"/>
  <c r="EA23" i="7"/>
  <c r="EA4" i="7"/>
  <c r="EA20" i="7"/>
  <c r="EA36" i="7"/>
  <c r="EA52" i="7"/>
  <c r="EA9" i="7"/>
  <c r="EA25" i="7"/>
  <c r="EA41" i="7"/>
  <c r="EA22" i="7"/>
  <c r="EA31" i="7"/>
  <c r="EA8" i="7"/>
  <c r="EA24" i="7"/>
  <c r="EA40" i="7"/>
  <c r="EA13" i="7"/>
  <c r="EA29" i="7"/>
  <c r="EA45" i="7"/>
  <c r="EA30" i="7"/>
  <c r="EA7" i="7"/>
  <c r="EA39" i="7"/>
  <c r="EA12" i="7"/>
  <c r="EA28" i="7"/>
  <c r="EA44" i="7"/>
  <c r="EA17" i="7"/>
  <c r="EA33" i="7"/>
  <c r="EA49" i="7"/>
  <c r="EA6" i="7"/>
  <c r="EA38" i="7"/>
  <c r="EA15" i="7"/>
  <c r="EA47" i="7"/>
  <c r="EA16" i="7"/>
  <c r="EA32" i="7"/>
  <c r="EA48" i="7"/>
  <c r="EA5" i="7"/>
  <c r="EA21" i="7"/>
  <c r="EA37" i="7"/>
  <c r="EA53" i="7"/>
  <c r="BY30" i="7"/>
  <c r="BY7" i="7"/>
  <c r="BY46" i="7"/>
  <c r="BY15" i="7"/>
  <c r="BY10" i="7"/>
  <c r="BY22" i="7"/>
  <c r="BY42" i="7"/>
  <c r="BY19" i="7"/>
  <c r="BY35" i="7"/>
  <c r="BY51" i="7"/>
  <c r="BY12" i="7"/>
  <c r="BY28" i="7"/>
  <c r="BY44" i="7"/>
  <c r="BY18" i="7"/>
  <c r="BY38" i="7"/>
  <c r="BY6" i="7"/>
  <c r="BY23" i="7"/>
  <c r="BY39" i="7"/>
  <c r="BY16" i="7"/>
  <c r="BY32" i="7"/>
  <c r="BY48" i="7"/>
  <c r="BY34" i="7"/>
  <c r="BY3" i="7"/>
  <c r="BY14" i="7"/>
  <c r="BY27" i="7"/>
  <c r="BY43" i="7"/>
  <c r="BY4" i="7"/>
  <c r="BY20" i="7"/>
  <c r="BY36" i="7"/>
  <c r="BY52" i="7"/>
  <c r="BY2" i="7"/>
  <c r="BY50" i="7"/>
  <c r="BY11" i="7"/>
  <c r="BY26" i="7"/>
  <c r="BY31" i="7"/>
  <c r="BY47" i="7"/>
  <c r="BY8" i="7"/>
  <c r="BY24" i="7"/>
  <c r="BY40" i="7"/>
  <c r="BY13" i="7"/>
  <c r="BY29" i="7"/>
  <c r="BY45" i="7"/>
  <c r="BY17" i="7"/>
  <c r="BY33" i="7"/>
  <c r="BY49" i="7"/>
  <c r="BY5" i="7"/>
  <c r="BY21" i="7"/>
  <c r="BY37" i="7"/>
  <c r="BY53" i="7"/>
  <c r="BY9" i="7"/>
  <c r="BY25" i="7"/>
  <c r="BY41" i="7"/>
  <c r="BC46" i="7"/>
  <c r="BC50" i="7"/>
  <c r="BC42" i="7"/>
  <c r="BC26" i="7"/>
  <c r="BC2" i="7"/>
  <c r="BC14" i="7"/>
  <c r="BC18" i="7"/>
  <c r="BC30" i="7"/>
  <c r="BC34" i="7"/>
  <c r="BC10" i="7"/>
  <c r="BC6" i="7"/>
  <c r="BC22" i="7"/>
  <c r="BC3" i="7"/>
  <c r="BC19" i="7"/>
  <c r="BC35" i="7"/>
  <c r="BC51" i="7"/>
  <c r="BC8" i="7"/>
  <c r="BC24" i="7"/>
  <c r="BC40" i="7"/>
  <c r="BC13" i="7"/>
  <c r="BC29" i="7"/>
  <c r="BC45" i="7"/>
  <c r="BC38" i="7"/>
  <c r="BC7" i="7"/>
  <c r="BC23" i="7"/>
  <c r="BC39" i="7"/>
  <c r="BC12" i="7"/>
  <c r="BC28" i="7"/>
  <c r="BC44" i="7"/>
  <c r="BC17" i="7"/>
  <c r="BC33" i="7"/>
  <c r="BC49" i="7"/>
  <c r="BC11" i="7"/>
  <c r="BC27" i="7"/>
  <c r="BC43" i="7"/>
  <c r="BC16" i="7"/>
  <c r="BC32" i="7"/>
  <c r="BC48" i="7"/>
  <c r="BC5" i="7"/>
  <c r="BC21" i="7"/>
  <c r="BC37" i="7"/>
  <c r="BC53" i="7"/>
  <c r="BC15" i="7"/>
  <c r="BC31" i="7"/>
  <c r="BC47" i="7"/>
  <c r="BC4" i="7"/>
  <c r="BC20" i="7"/>
  <c r="BC36" i="7"/>
  <c r="BC52" i="7"/>
  <c r="BC9" i="7"/>
  <c r="BC25" i="7"/>
  <c r="BC41" i="7"/>
  <c r="DM46" i="7"/>
  <c r="DM47" i="7"/>
  <c r="DM6" i="7"/>
  <c r="DM22" i="7"/>
  <c r="DM7" i="7"/>
  <c r="DM14" i="7"/>
  <c r="DM38" i="7"/>
  <c r="DM15" i="7"/>
  <c r="DM39" i="7"/>
  <c r="DM30" i="7"/>
  <c r="DM23" i="7"/>
  <c r="DM31" i="7"/>
  <c r="DM26" i="7"/>
  <c r="DM3" i="7"/>
  <c r="DM35" i="7"/>
  <c r="DM16" i="7"/>
  <c r="DM32" i="7"/>
  <c r="DM48" i="7"/>
  <c r="DM5" i="7"/>
  <c r="DM21" i="7"/>
  <c r="DM37" i="7"/>
  <c r="DM53" i="7"/>
  <c r="DM2" i="7"/>
  <c r="DM34" i="7"/>
  <c r="DM11" i="7"/>
  <c r="DM43" i="7"/>
  <c r="DM4" i="7"/>
  <c r="DM20" i="7"/>
  <c r="DM36" i="7"/>
  <c r="DM52" i="7"/>
  <c r="DM9" i="7"/>
  <c r="DM25" i="7"/>
  <c r="DM41" i="7"/>
  <c r="DM10" i="7"/>
  <c r="DM42" i="7"/>
  <c r="DM19" i="7"/>
  <c r="DM51" i="7"/>
  <c r="DM8" i="7"/>
  <c r="DM24" i="7"/>
  <c r="DM40" i="7"/>
  <c r="DM13" i="7"/>
  <c r="DM29" i="7"/>
  <c r="DM45" i="7"/>
  <c r="DM18" i="7"/>
  <c r="DM50" i="7"/>
  <c r="DM27" i="7"/>
  <c r="DM12" i="7"/>
  <c r="DM28" i="7"/>
  <c r="DM44" i="7"/>
  <c r="DM17" i="7"/>
  <c r="DM33" i="7"/>
  <c r="DM49" i="7"/>
  <c r="CQ30" i="7"/>
  <c r="CQ50" i="7"/>
  <c r="CQ6" i="7"/>
  <c r="CQ26" i="7"/>
  <c r="CQ3" i="7"/>
  <c r="CQ19" i="7"/>
  <c r="CQ35" i="7"/>
  <c r="CQ51" i="7"/>
  <c r="CQ8" i="7"/>
  <c r="CQ24" i="7"/>
  <c r="CQ40" i="7"/>
  <c r="CQ46" i="7"/>
  <c r="CQ2" i="7"/>
  <c r="CQ22" i="7"/>
  <c r="CQ42" i="7"/>
  <c r="CQ7" i="7"/>
  <c r="CQ23" i="7"/>
  <c r="CQ39" i="7"/>
  <c r="CQ12" i="7"/>
  <c r="CQ28" i="7"/>
  <c r="CQ44" i="7"/>
  <c r="CQ18" i="7"/>
  <c r="CQ38" i="7"/>
  <c r="CQ11" i="7"/>
  <c r="CQ27" i="7"/>
  <c r="CQ43" i="7"/>
  <c r="CQ16" i="7"/>
  <c r="CQ32" i="7"/>
  <c r="CQ48" i="7"/>
  <c r="CQ14" i="7"/>
  <c r="CQ34" i="7"/>
  <c r="CQ10" i="7"/>
  <c r="CQ15" i="7"/>
  <c r="CQ31" i="7"/>
  <c r="CQ47" i="7"/>
  <c r="CQ4" i="7"/>
  <c r="CQ20" i="7"/>
  <c r="CQ36" i="7"/>
  <c r="CQ52" i="7"/>
  <c r="CQ17" i="7"/>
  <c r="CQ33" i="7"/>
  <c r="CQ49" i="7"/>
  <c r="CQ5" i="7"/>
  <c r="CQ21" i="7"/>
  <c r="CQ37" i="7"/>
  <c r="CQ53" i="7"/>
  <c r="CQ9" i="7"/>
  <c r="CQ25" i="7"/>
  <c r="CQ41" i="7"/>
  <c r="CQ13" i="7"/>
  <c r="CQ29" i="7"/>
  <c r="CQ45" i="7"/>
  <c r="Y6" i="7"/>
  <c r="Y15" i="7"/>
  <c r="Y35" i="7"/>
  <c r="Y2" i="7"/>
  <c r="Y18" i="7"/>
  <c r="Y19" i="7"/>
  <c r="Y39" i="7"/>
  <c r="Y10" i="7"/>
  <c r="Y30" i="7"/>
  <c r="Y3" i="7"/>
  <c r="Y23" i="7"/>
  <c r="Y47" i="7"/>
  <c r="Y34" i="7"/>
  <c r="Y42" i="7"/>
  <c r="Y7" i="7"/>
  <c r="Y31" i="7"/>
  <c r="Y51" i="7"/>
  <c r="Y46" i="7"/>
  <c r="Y11" i="7"/>
  <c r="Y27" i="7"/>
  <c r="Y43" i="7"/>
  <c r="Y26" i="7"/>
  <c r="Y16" i="7"/>
  <c r="Y32" i="7"/>
  <c r="Y48" i="7"/>
  <c r="Y50" i="7"/>
  <c r="Y5" i="7"/>
  <c r="Y21" i="7"/>
  <c r="Y37" i="7"/>
  <c r="Y53" i="7"/>
  <c r="Y4" i="7"/>
  <c r="Y20" i="7"/>
  <c r="Y36" i="7"/>
  <c r="Y52" i="7"/>
  <c r="Y14" i="7"/>
  <c r="Y9" i="7"/>
  <c r="Y25" i="7"/>
  <c r="Y41" i="7"/>
  <c r="Y8" i="7"/>
  <c r="Y24" i="7"/>
  <c r="Y40" i="7"/>
  <c r="Y22" i="7"/>
  <c r="Y13" i="7"/>
  <c r="Y29" i="7"/>
  <c r="Y45" i="7"/>
  <c r="Y12" i="7"/>
  <c r="Y28" i="7"/>
  <c r="Y44" i="7"/>
  <c r="Y38" i="7"/>
  <c r="Y17" i="7"/>
  <c r="Y33" i="7"/>
  <c r="Y49" i="7"/>
  <c r="BM15" i="7"/>
  <c r="BM23" i="7"/>
  <c r="BM31" i="7"/>
  <c r="BM47" i="7"/>
  <c r="BM7" i="7"/>
  <c r="BM2" i="7"/>
  <c r="BM34" i="7"/>
  <c r="BM11" i="7"/>
  <c r="BM43" i="7"/>
  <c r="BM22" i="7"/>
  <c r="BM4" i="7"/>
  <c r="BM20" i="7"/>
  <c r="BM36" i="7"/>
  <c r="BM52" i="7"/>
  <c r="BM10" i="7"/>
  <c r="BM42" i="7"/>
  <c r="BM19" i="7"/>
  <c r="BM51" i="7"/>
  <c r="BM30" i="7"/>
  <c r="BM8" i="7"/>
  <c r="BM24" i="7"/>
  <c r="BM40" i="7"/>
  <c r="BM18" i="7"/>
  <c r="BM50" i="7"/>
  <c r="BM27" i="7"/>
  <c r="BM6" i="7"/>
  <c r="BM38" i="7"/>
  <c r="BM12" i="7"/>
  <c r="BM28" i="7"/>
  <c r="BM44" i="7"/>
  <c r="BM39" i="7"/>
  <c r="BM26" i="7"/>
  <c r="BM3" i="7"/>
  <c r="BM35" i="7"/>
  <c r="BM14" i="7"/>
  <c r="BM46" i="7"/>
  <c r="BM16" i="7"/>
  <c r="BM32" i="7"/>
  <c r="BM48" i="7"/>
  <c r="BM5" i="7"/>
  <c r="BM21" i="7"/>
  <c r="BM37" i="7"/>
  <c r="BM53" i="7"/>
  <c r="BM9" i="7"/>
  <c r="BM25" i="7"/>
  <c r="BM41" i="7"/>
  <c r="BM13" i="7"/>
  <c r="BM29" i="7"/>
  <c r="BM45" i="7"/>
  <c r="BM17" i="7"/>
  <c r="BM33" i="7"/>
  <c r="BM49" i="7"/>
  <c r="AQ34" i="7"/>
  <c r="AQ19" i="7"/>
  <c r="AQ27" i="7"/>
  <c r="AQ14" i="7"/>
  <c r="AQ46" i="7"/>
  <c r="AQ31" i="7"/>
  <c r="AQ12" i="7"/>
  <c r="AQ28" i="7"/>
  <c r="AQ44" i="7"/>
  <c r="AQ13" i="7"/>
  <c r="AQ29" i="7"/>
  <c r="AQ45" i="7"/>
  <c r="AQ50" i="7"/>
  <c r="AQ35" i="7"/>
  <c r="AQ10" i="7"/>
  <c r="AQ43" i="7"/>
  <c r="AQ22" i="7"/>
  <c r="AQ7" i="7"/>
  <c r="AQ39" i="7"/>
  <c r="AQ16" i="7"/>
  <c r="AQ32" i="7"/>
  <c r="AQ48" i="7"/>
  <c r="AQ17" i="7"/>
  <c r="AQ33" i="7"/>
  <c r="AQ49" i="7"/>
  <c r="AQ2" i="7"/>
  <c r="AQ51" i="7"/>
  <c r="AQ26" i="7"/>
  <c r="AQ30" i="7"/>
  <c r="AQ15" i="7"/>
  <c r="AQ47" i="7"/>
  <c r="AQ4" i="7"/>
  <c r="AQ20" i="7"/>
  <c r="AQ36" i="7"/>
  <c r="AQ52" i="7"/>
  <c r="AQ5" i="7"/>
  <c r="AQ21" i="7"/>
  <c r="AQ37" i="7"/>
  <c r="AQ53" i="7"/>
  <c r="AQ18" i="7"/>
  <c r="AQ3" i="7"/>
  <c r="AQ42" i="7"/>
  <c r="AQ11" i="7"/>
  <c r="AQ6" i="7"/>
  <c r="AQ38" i="7"/>
  <c r="AQ23" i="7"/>
  <c r="AQ8" i="7"/>
  <c r="AQ24" i="7"/>
  <c r="AQ40" i="7"/>
  <c r="AQ9" i="7"/>
  <c r="AQ25" i="7"/>
  <c r="AQ41" i="7"/>
  <c r="S18" i="7"/>
  <c r="S27" i="7"/>
  <c r="S51" i="7"/>
  <c r="S26" i="7"/>
  <c r="S39" i="7"/>
  <c r="S4" i="7"/>
  <c r="S30" i="7"/>
  <c r="S31" i="7"/>
  <c r="S46" i="7"/>
  <c r="S20" i="7"/>
  <c r="S42" i="7"/>
  <c r="S43" i="7"/>
  <c r="S7" i="7"/>
  <c r="S36" i="7"/>
  <c r="S6" i="7"/>
  <c r="S11" i="7"/>
  <c r="S47" i="7"/>
  <c r="S14" i="7"/>
  <c r="S19" i="7"/>
  <c r="S52" i="7"/>
  <c r="S34" i="7"/>
  <c r="S12" i="7"/>
  <c r="S28" i="7"/>
  <c r="S44" i="7"/>
  <c r="S10" i="7"/>
  <c r="S15" i="7"/>
  <c r="S17" i="7"/>
  <c r="S33" i="7"/>
  <c r="S49" i="7"/>
  <c r="S16" i="7"/>
  <c r="S32" i="7"/>
  <c r="S48" i="7"/>
  <c r="S22" i="7"/>
  <c r="S23" i="7"/>
  <c r="S5" i="7"/>
  <c r="S21" i="7"/>
  <c r="S37" i="7"/>
  <c r="S53" i="7"/>
  <c r="S38" i="7"/>
  <c r="S35" i="7"/>
  <c r="S9" i="7"/>
  <c r="S25" i="7"/>
  <c r="S41" i="7"/>
  <c r="S8" i="7"/>
  <c r="S24" i="7"/>
  <c r="S40" i="7"/>
  <c r="S2" i="7"/>
  <c r="S50" i="7"/>
  <c r="S3" i="7"/>
  <c r="S13" i="7"/>
  <c r="S29" i="7"/>
  <c r="S45" i="7"/>
  <c r="CO18" i="7"/>
  <c r="CO38" i="7"/>
  <c r="CO14" i="7"/>
  <c r="CO7" i="7"/>
  <c r="CO23" i="7"/>
  <c r="CO39" i="7"/>
  <c r="CO12" i="7"/>
  <c r="CO28" i="7"/>
  <c r="CO44" i="7"/>
  <c r="CO34" i="7"/>
  <c r="CO10" i="7"/>
  <c r="CO30" i="7"/>
  <c r="CO11" i="7"/>
  <c r="CO27" i="7"/>
  <c r="CO43" i="7"/>
  <c r="CO16" i="7"/>
  <c r="CO32" i="7"/>
  <c r="CO48" i="7"/>
  <c r="CO50" i="7"/>
  <c r="CO6" i="7"/>
  <c r="CO26" i="7"/>
  <c r="CO46" i="7"/>
  <c r="CO15" i="7"/>
  <c r="CO31" i="7"/>
  <c r="CO47" i="7"/>
  <c r="CO4" i="7"/>
  <c r="CO20" i="7"/>
  <c r="CO36" i="7"/>
  <c r="CO52" i="7"/>
  <c r="CO2" i="7"/>
  <c r="CO22" i="7"/>
  <c r="CO42" i="7"/>
  <c r="CO3" i="7"/>
  <c r="CO19" i="7"/>
  <c r="CO35" i="7"/>
  <c r="CO51" i="7"/>
  <c r="CO8" i="7"/>
  <c r="CO24" i="7"/>
  <c r="CO40" i="7"/>
  <c r="CO5" i="7"/>
  <c r="CO21" i="7"/>
  <c r="CO37" i="7"/>
  <c r="CO53" i="7"/>
  <c r="CO9" i="7"/>
  <c r="CO25" i="7"/>
  <c r="CO41" i="7"/>
  <c r="CO13" i="7"/>
  <c r="CO29" i="7"/>
  <c r="CO45" i="7"/>
  <c r="CO17" i="7"/>
  <c r="CO33" i="7"/>
  <c r="CO49" i="7"/>
  <c r="G10" i="7"/>
  <c r="G42" i="7"/>
  <c r="G19" i="7"/>
  <c r="G51" i="7"/>
  <c r="G16" i="7"/>
  <c r="G32" i="7"/>
  <c r="G48" i="7"/>
  <c r="G22" i="7"/>
  <c r="G7" i="7"/>
  <c r="G39" i="7"/>
  <c r="G13" i="7"/>
  <c r="G29" i="7"/>
  <c r="G45" i="7"/>
  <c r="G18" i="7"/>
  <c r="G46" i="7"/>
  <c r="G27" i="7"/>
  <c r="G4" i="7"/>
  <c r="G20" i="7"/>
  <c r="G36" i="7"/>
  <c r="G52" i="7"/>
  <c r="G30" i="7"/>
  <c r="G15" i="7"/>
  <c r="G47" i="7"/>
  <c r="G17" i="7"/>
  <c r="G33" i="7"/>
  <c r="G49" i="7"/>
  <c r="G26" i="7"/>
  <c r="G3" i="7"/>
  <c r="G35" i="7"/>
  <c r="G8" i="7"/>
  <c r="G24" i="7"/>
  <c r="G40" i="7"/>
  <c r="G6" i="7"/>
  <c r="G38" i="7"/>
  <c r="G23" i="7"/>
  <c r="G5" i="7"/>
  <c r="G21" i="7"/>
  <c r="G37" i="7"/>
  <c r="G53" i="7"/>
  <c r="G2" i="7"/>
  <c r="G34" i="7"/>
  <c r="G11" i="7"/>
  <c r="G43" i="7"/>
  <c r="G12" i="7"/>
  <c r="G28" i="7"/>
  <c r="G44" i="7"/>
  <c r="G14" i="7"/>
  <c r="G50" i="7"/>
  <c r="G31" i="7"/>
  <c r="G9" i="7"/>
  <c r="G25" i="7"/>
  <c r="G41" i="7"/>
  <c r="BQ15" i="7"/>
  <c r="BQ23" i="7"/>
  <c r="BQ47" i="7"/>
  <c r="BQ7" i="7"/>
  <c r="BQ39" i="7"/>
  <c r="BQ26" i="7"/>
  <c r="BQ3" i="7"/>
  <c r="BQ35" i="7"/>
  <c r="BQ14" i="7"/>
  <c r="BQ46" i="7"/>
  <c r="BQ12" i="7"/>
  <c r="BQ28" i="7"/>
  <c r="BQ44" i="7"/>
  <c r="BQ2" i="7"/>
  <c r="BQ34" i="7"/>
  <c r="BQ11" i="7"/>
  <c r="BQ43" i="7"/>
  <c r="BQ22" i="7"/>
  <c r="BQ16" i="7"/>
  <c r="BQ32" i="7"/>
  <c r="BQ48" i="7"/>
  <c r="BQ31" i="7"/>
  <c r="BQ10" i="7"/>
  <c r="BQ42" i="7"/>
  <c r="BQ19" i="7"/>
  <c r="BQ51" i="7"/>
  <c r="BQ30" i="7"/>
  <c r="BQ4" i="7"/>
  <c r="BQ20" i="7"/>
  <c r="BQ36" i="7"/>
  <c r="BQ52" i="7"/>
  <c r="BQ18" i="7"/>
  <c r="BQ50" i="7"/>
  <c r="BQ27" i="7"/>
  <c r="BQ6" i="7"/>
  <c r="BQ38" i="7"/>
  <c r="BQ8" i="7"/>
  <c r="BQ24" i="7"/>
  <c r="BQ40" i="7"/>
  <c r="BQ13" i="7"/>
  <c r="BQ29" i="7"/>
  <c r="BQ45" i="7"/>
  <c r="BQ17" i="7"/>
  <c r="BQ33" i="7"/>
  <c r="BQ49" i="7"/>
  <c r="BQ5" i="7"/>
  <c r="BQ21" i="7"/>
  <c r="BQ37" i="7"/>
  <c r="BQ53" i="7"/>
  <c r="BQ9" i="7"/>
  <c r="BQ25" i="7"/>
  <c r="BQ41" i="7"/>
  <c r="AU43" i="7"/>
  <c r="AU18" i="7"/>
  <c r="AU51" i="7"/>
  <c r="AU6" i="7"/>
  <c r="AU38" i="7"/>
  <c r="AU23" i="7"/>
  <c r="AU4" i="7"/>
  <c r="AU20" i="7"/>
  <c r="AU36" i="7"/>
  <c r="AU52" i="7"/>
  <c r="AU5" i="7"/>
  <c r="AU21" i="7"/>
  <c r="AU37" i="7"/>
  <c r="AU53" i="7"/>
  <c r="AU10" i="7"/>
  <c r="AU34" i="7"/>
  <c r="AU3" i="7"/>
  <c r="AU14" i="7"/>
  <c r="AU46" i="7"/>
  <c r="AU31" i="7"/>
  <c r="AU8" i="7"/>
  <c r="AU24" i="7"/>
  <c r="AU40" i="7"/>
  <c r="AU9" i="7"/>
  <c r="AU25" i="7"/>
  <c r="AU41" i="7"/>
  <c r="AU26" i="7"/>
  <c r="AU11" i="7"/>
  <c r="AU50" i="7"/>
  <c r="AU19" i="7"/>
  <c r="AU22" i="7"/>
  <c r="AU7" i="7"/>
  <c r="AU39" i="7"/>
  <c r="AU12" i="7"/>
  <c r="AU28" i="7"/>
  <c r="AU44" i="7"/>
  <c r="AU13" i="7"/>
  <c r="AU29" i="7"/>
  <c r="AU45" i="7"/>
  <c r="AU42" i="7"/>
  <c r="AU27" i="7"/>
  <c r="AU2" i="7"/>
  <c r="AU35" i="7"/>
  <c r="AU30" i="7"/>
  <c r="AU15" i="7"/>
  <c r="AU47" i="7"/>
  <c r="AU16" i="7"/>
  <c r="AU32" i="7"/>
  <c r="AU48" i="7"/>
  <c r="AU17" i="7"/>
  <c r="AU33" i="7"/>
  <c r="AU49" i="7"/>
  <c r="N24" i="12" l="1"/>
  <c r="M24" i="12" s="1"/>
  <c r="N36" i="12"/>
  <c r="M36" i="12" s="1"/>
  <c r="N32" i="12"/>
  <c r="M32" i="12" s="1"/>
  <c r="N28" i="12"/>
  <c r="M28" i="12" s="1"/>
  <c r="N31" i="12"/>
  <c r="M31" i="12" s="1"/>
  <c r="N19" i="12"/>
  <c r="M19" i="12" s="1"/>
  <c r="N23" i="12"/>
  <c r="M23" i="12" s="1"/>
  <c r="N27" i="12"/>
  <c r="M27" i="12" s="1"/>
  <c r="N39" i="12"/>
  <c r="M39" i="12" s="1"/>
  <c r="N48" i="12"/>
  <c r="M48" i="12" s="1"/>
  <c r="N51" i="12"/>
  <c r="M51" i="12" s="1"/>
  <c r="N47" i="12"/>
  <c r="M47" i="12" s="1"/>
  <c r="N43" i="12"/>
  <c r="M43" i="12" s="1"/>
  <c r="N44" i="12"/>
  <c r="M44" i="12" s="1"/>
  <c r="N26" i="12"/>
  <c r="M26" i="12" s="1"/>
  <c r="N6" i="12"/>
  <c r="M6" i="12" s="1"/>
  <c r="N38" i="12"/>
  <c r="M38" i="12" s="1"/>
  <c r="N45" i="12"/>
  <c r="M45" i="12" s="1"/>
  <c r="N34" i="12"/>
  <c r="M34" i="12" s="1"/>
  <c r="N49" i="12"/>
  <c r="M49" i="12" s="1"/>
  <c r="N30" i="12"/>
  <c r="M30" i="12" s="1"/>
  <c r="N53" i="12"/>
  <c r="M53" i="12" s="1"/>
  <c r="N41" i="12"/>
  <c r="M41" i="12" s="1"/>
  <c r="N10" i="12"/>
  <c r="M10" i="12" s="1"/>
  <c r="N8" i="12"/>
  <c r="M8" i="12" s="1"/>
  <c r="N5" i="12"/>
  <c r="M5" i="12" s="1"/>
  <c r="N22" i="12"/>
  <c r="M22" i="12" s="1"/>
  <c r="N35" i="12"/>
  <c r="M35" i="12" s="1"/>
  <c r="N20" i="12"/>
  <c r="M20" i="12" s="1"/>
  <c r="N9" i="12"/>
  <c r="M9" i="12" s="1"/>
  <c r="N18" i="12"/>
  <c r="M18" i="12" s="1"/>
  <c r="N16" i="12"/>
  <c r="M16" i="12" s="1"/>
  <c r="N40" i="12"/>
  <c r="M40" i="12" s="1"/>
  <c r="N14" i="12"/>
  <c r="M14" i="12" s="1"/>
  <c r="N12" i="12"/>
  <c r="M12" i="12" s="1"/>
  <c r="N52" i="12"/>
  <c r="M52" i="12" s="1"/>
  <c r="N25" i="12"/>
  <c r="M25" i="12" s="1"/>
  <c r="N7" i="12"/>
  <c r="M7" i="12" s="1"/>
  <c r="N37" i="12"/>
  <c r="M37" i="12" s="1"/>
  <c r="N13" i="12"/>
  <c r="M13" i="12" s="1"/>
  <c r="N33" i="12"/>
  <c r="M33" i="12" s="1"/>
  <c r="N15" i="12"/>
  <c r="M15" i="12" s="1"/>
  <c r="N2" i="12"/>
  <c r="M2" i="12" s="1"/>
  <c r="N4" i="12"/>
  <c r="M4" i="12" s="1"/>
  <c r="N17" i="12"/>
  <c r="M17" i="12" s="1"/>
  <c r="N29" i="12"/>
  <c r="M29" i="12" s="1"/>
  <c r="N11" i="12"/>
  <c r="M11" i="12" s="1"/>
  <c r="N21" i="12"/>
  <c r="M21" i="12" s="1"/>
  <c r="N42" i="12"/>
  <c r="M42" i="12" s="1"/>
  <c r="N3" i="12"/>
  <c r="M3" i="12" s="1"/>
  <c r="N50" i="12"/>
  <c r="M50" i="12" s="1"/>
  <c r="N46" i="12"/>
  <c r="M46" i="12" s="1"/>
  <c r="N24" i="9"/>
  <c r="M24" i="9" s="1"/>
  <c r="N36" i="9"/>
  <c r="M36" i="9" s="1"/>
  <c r="N32" i="9"/>
  <c r="M32" i="9" s="1"/>
  <c r="N28" i="9"/>
  <c r="M28" i="9" s="1"/>
  <c r="N39" i="9"/>
  <c r="M39" i="9" s="1"/>
  <c r="N51" i="9"/>
  <c r="M51" i="9" s="1"/>
  <c r="N47" i="9"/>
  <c r="M47" i="9" s="1"/>
  <c r="N43" i="9"/>
  <c r="M43" i="9" s="1"/>
  <c r="N26" i="9"/>
  <c r="M26" i="9" s="1"/>
  <c r="N38" i="9"/>
  <c r="M38" i="9" s="1"/>
  <c r="N34" i="9"/>
  <c r="M34" i="9" s="1"/>
  <c r="N30" i="9"/>
  <c r="M30" i="9" s="1"/>
  <c r="N41" i="9"/>
  <c r="M41" i="9" s="1"/>
  <c r="N10" i="9"/>
  <c r="M10" i="9" s="1"/>
  <c r="N8" i="9"/>
  <c r="M8" i="9" s="1"/>
  <c r="N35" i="9"/>
  <c r="M35" i="9" s="1"/>
  <c r="N20" i="9"/>
  <c r="M20" i="9" s="1"/>
  <c r="N18" i="9"/>
  <c r="M18" i="9" s="1"/>
  <c r="N16" i="9"/>
  <c r="M16" i="9" s="1"/>
  <c r="N12" i="9"/>
  <c r="M12" i="9" s="1"/>
  <c r="N25" i="9"/>
  <c r="M25" i="9" s="1"/>
  <c r="N7" i="9"/>
  <c r="M7" i="9" s="1"/>
  <c r="N37" i="9"/>
  <c r="M37" i="9" s="1"/>
  <c r="N33" i="9"/>
  <c r="M33" i="9" s="1"/>
  <c r="N15" i="9"/>
  <c r="M15" i="9" s="1"/>
  <c r="N2" i="9"/>
  <c r="M2" i="9" s="1"/>
  <c r="K2" i="9" s="1"/>
  <c r="N29" i="9"/>
  <c r="M29" i="9" s="1"/>
  <c r="N11" i="9"/>
  <c r="M11" i="9" s="1"/>
  <c r="N42" i="9"/>
  <c r="M42" i="9" s="1"/>
  <c r="N3" i="9"/>
  <c r="M3" i="9" s="1"/>
  <c r="N50" i="9"/>
  <c r="M50" i="9" s="1"/>
  <c r="N31" i="9"/>
  <c r="M31" i="9" s="1"/>
  <c r="N19" i="9"/>
  <c r="M19" i="9" s="1"/>
  <c r="N23" i="9"/>
  <c r="M23" i="9" s="1"/>
  <c r="N27" i="9"/>
  <c r="M27" i="9" s="1"/>
  <c r="N48" i="9"/>
  <c r="M48" i="9" s="1"/>
  <c r="N44" i="9"/>
  <c r="M44" i="9" s="1"/>
  <c r="N6" i="9"/>
  <c r="M6" i="9" s="1"/>
  <c r="N45" i="9"/>
  <c r="M45" i="9" s="1"/>
  <c r="N49" i="9"/>
  <c r="M49" i="9" s="1"/>
  <c r="N53" i="9"/>
  <c r="M53" i="9" s="1"/>
  <c r="N5" i="9"/>
  <c r="M5" i="9" s="1"/>
  <c r="N22" i="9"/>
  <c r="M22" i="9" s="1"/>
  <c r="N9" i="9"/>
  <c r="M9" i="9" s="1"/>
  <c r="N40" i="9"/>
  <c r="M40" i="9" s="1"/>
  <c r="N14" i="9"/>
  <c r="M14" i="9" s="1"/>
  <c r="N52" i="9"/>
  <c r="M52" i="9" s="1"/>
  <c r="N13" i="9"/>
  <c r="M13" i="9" s="1"/>
  <c r="N4" i="9"/>
  <c r="M4" i="9" s="1"/>
  <c r="N17" i="9"/>
  <c r="M17" i="9" s="1"/>
  <c r="N21" i="9"/>
  <c r="M21" i="9" s="1"/>
  <c r="N46" i="9"/>
  <c r="M46" i="9" s="1"/>
  <c r="N6" i="1"/>
  <c r="M6" i="1" s="1"/>
  <c r="L6" i="1" s="1"/>
  <c r="N14" i="1"/>
  <c r="M14" i="1" s="1"/>
  <c r="L14" i="1" s="1"/>
  <c r="N22" i="1"/>
  <c r="M22" i="1" s="1"/>
  <c r="L22" i="1" s="1"/>
  <c r="N30" i="1"/>
  <c r="M30" i="1" s="1"/>
  <c r="L30" i="1" s="1"/>
  <c r="N38" i="1"/>
  <c r="M38" i="1" s="1"/>
  <c r="L38" i="1" s="1"/>
  <c r="N46" i="1"/>
  <c r="M46" i="1" s="1"/>
  <c r="L46" i="1" s="1"/>
  <c r="N7" i="1"/>
  <c r="M7" i="1" s="1"/>
  <c r="L7" i="1" s="1"/>
  <c r="N15" i="1"/>
  <c r="M15" i="1" s="1"/>
  <c r="L15" i="1" s="1"/>
  <c r="N23" i="1"/>
  <c r="M23" i="1" s="1"/>
  <c r="L23" i="1" s="1"/>
  <c r="N31" i="1"/>
  <c r="M31" i="1" s="1"/>
  <c r="L31" i="1" s="1"/>
  <c r="N39" i="1"/>
  <c r="M39" i="1" s="1"/>
  <c r="L39" i="1" s="1"/>
  <c r="N47" i="1"/>
  <c r="M47" i="1" s="1"/>
  <c r="L47" i="1" s="1"/>
  <c r="N4" i="1"/>
  <c r="M4" i="1" s="1"/>
  <c r="L4" i="1" s="1"/>
  <c r="N8" i="1"/>
  <c r="M8" i="1" s="1"/>
  <c r="L8" i="1" s="1"/>
  <c r="N12" i="1"/>
  <c r="M12" i="1" s="1"/>
  <c r="L12" i="1" s="1"/>
  <c r="N16" i="1"/>
  <c r="M16" i="1" s="1"/>
  <c r="L16" i="1" s="1"/>
  <c r="N20" i="1"/>
  <c r="M20" i="1" s="1"/>
  <c r="L20" i="1" s="1"/>
  <c r="N24" i="1"/>
  <c r="M24" i="1" s="1"/>
  <c r="L24" i="1" s="1"/>
  <c r="N28" i="1"/>
  <c r="M28" i="1" s="1"/>
  <c r="L28" i="1" s="1"/>
  <c r="N32" i="1"/>
  <c r="M32" i="1" s="1"/>
  <c r="L32" i="1" s="1"/>
  <c r="N36" i="1"/>
  <c r="M36" i="1" s="1"/>
  <c r="L36" i="1" s="1"/>
  <c r="N40" i="1"/>
  <c r="M40" i="1" s="1"/>
  <c r="L40" i="1" s="1"/>
  <c r="N44" i="1"/>
  <c r="M44" i="1" s="1"/>
  <c r="L44" i="1" s="1"/>
  <c r="N48" i="1"/>
  <c r="M48" i="1" s="1"/>
  <c r="L48" i="1" s="1"/>
  <c r="N52" i="1"/>
  <c r="M52" i="1" s="1"/>
  <c r="L52" i="1" s="1"/>
  <c r="N2" i="1"/>
  <c r="M2" i="1" s="1"/>
  <c r="L2" i="1" s="1"/>
  <c r="N10" i="1"/>
  <c r="M10" i="1" s="1"/>
  <c r="L10" i="1" s="1"/>
  <c r="N18" i="1"/>
  <c r="M18" i="1" s="1"/>
  <c r="L18" i="1" s="1"/>
  <c r="N26" i="1"/>
  <c r="M26" i="1" s="1"/>
  <c r="L26" i="1" s="1"/>
  <c r="N34" i="1"/>
  <c r="M34" i="1" s="1"/>
  <c r="L34" i="1" s="1"/>
  <c r="N42" i="1"/>
  <c r="M42" i="1" s="1"/>
  <c r="L42" i="1" s="1"/>
  <c r="N50" i="1"/>
  <c r="M50" i="1" s="1"/>
  <c r="L50" i="1" s="1"/>
  <c r="N3" i="1"/>
  <c r="M3" i="1" s="1"/>
  <c r="L3" i="1" s="1"/>
  <c r="N11" i="1"/>
  <c r="M11" i="1" s="1"/>
  <c r="L11" i="1" s="1"/>
  <c r="N19" i="1"/>
  <c r="M19" i="1" s="1"/>
  <c r="L19" i="1" s="1"/>
  <c r="N27" i="1"/>
  <c r="M27" i="1" s="1"/>
  <c r="L27" i="1" s="1"/>
  <c r="N35" i="1"/>
  <c r="M35" i="1" s="1"/>
  <c r="L35" i="1" s="1"/>
  <c r="N43" i="1"/>
  <c r="M43" i="1" s="1"/>
  <c r="L43" i="1" s="1"/>
  <c r="N51" i="1"/>
  <c r="M51" i="1" s="1"/>
  <c r="L51" i="1" s="1"/>
  <c r="N5" i="1"/>
  <c r="M5" i="1" s="1"/>
  <c r="L5" i="1" s="1"/>
  <c r="N9" i="1"/>
  <c r="M9" i="1" s="1"/>
  <c r="L9" i="1" s="1"/>
  <c r="N13" i="1"/>
  <c r="M13" i="1" s="1"/>
  <c r="L13" i="1" s="1"/>
  <c r="N17" i="1"/>
  <c r="M17" i="1" s="1"/>
  <c r="L17" i="1" s="1"/>
  <c r="N21" i="1"/>
  <c r="M21" i="1" s="1"/>
  <c r="L21" i="1" s="1"/>
  <c r="N25" i="1"/>
  <c r="M25" i="1" s="1"/>
  <c r="L25" i="1" s="1"/>
  <c r="N29" i="1"/>
  <c r="M29" i="1" s="1"/>
  <c r="L29" i="1" s="1"/>
  <c r="N33" i="1"/>
  <c r="M33" i="1" s="1"/>
  <c r="L33" i="1" s="1"/>
  <c r="N37" i="1"/>
  <c r="M37" i="1" s="1"/>
  <c r="L37" i="1" s="1"/>
  <c r="N41" i="1"/>
  <c r="M41" i="1" s="1"/>
  <c r="L41" i="1" s="1"/>
  <c r="N45" i="1"/>
  <c r="M45" i="1" s="1"/>
  <c r="L45" i="1" s="1"/>
  <c r="N49" i="1"/>
  <c r="M49" i="1" s="1"/>
  <c r="L49" i="1" s="1"/>
  <c r="N53" i="1"/>
  <c r="M53" i="1" s="1"/>
  <c r="L53" i="1" s="1"/>
  <c r="B2" i="6"/>
  <c r="B3" i="6"/>
  <c r="C8" i="6"/>
  <c r="D13" i="6"/>
  <c r="B19" i="6"/>
  <c r="C24" i="6"/>
  <c r="D29" i="6"/>
  <c r="B35" i="6"/>
  <c r="C40" i="6"/>
  <c r="D45" i="6"/>
  <c r="B51" i="6"/>
  <c r="C56" i="6"/>
  <c r="D61" i="6"/>
  <c r="B67" i="6"/>
  <c r="C72" i="6"/>
  <c r="D77" i="6"/>
  <c r="B83" i="6"/>
  <c r="C88" i="6"/>
  <c r="D93" i="6"/>
  <c r="B99" i="6"/>
  <c r="C104" i="6"/>
  <c r="C108" i="6"/>
  <c r="B111" i="6"/>
  <c r="D113" i="6"/>
  <c r="D115" i="6"/>
  <c r="B117" i="6"/>
  <c r="C118" i="6"/>
  <c r="D119" i="6"/>
  <c r="B121" i="6"/>
  <c r="C122" i="6"/>
  <c r="D123" i="6"/>
  <c r="B125" i="6"/>
  <c r="C126" i="6"/>
  <c r="D127" i="6"/>
  <c r="B129" i="6"/>
  <c r="C130" i="6"/>
  <c r="D131" i="6"/>
  <c r="B133" i="6"/>
  <c r="C134" i="6"/>
  <c r="C4" i="6"/>
  <c r="D9" i="6"/>
  <c r="B15" i="6"/>
  <c r="C20" i="6"/>
  <c r="D25" i="6"/>
  <c r="B31" i="6"/>
  <c r="C36" i="6"/>
  <c r="D41" i="6"/>
  <c r="B47" i="6"/>
  <c r="C52" i="6"/>
  <c r="D57" i="6"/>
  <c r="B63" i="6"/>
  <c r="C68" i="6"/>
  <c r="D73" i="6"/>
  <c r="B79" i="6"/>
  <c r="C84" i="6"/>
  <c r="D89" i="6"/>
  <c r="B95" i="6"/>
  <c r="C100" i="6"/>
  <c r="D105" i="6"/>
  <c r="B109" i="6"/>
  <c r="D111" i="6"/>
  <c r="C114" i="6"/>
  <c r="B116" i="6"/>
  <c r="C117" i="6"/>
  <c r="D118" i="6"/>
  <c r="B120" i="6"/>
  <c r="C121" i="6"/>
  <c r="D122" i="6"/>
  <c r="B124" i="6"/>
  <c r="C125" i="6"/>
  <c r="D126" i="6"/>
  <c r="B128" i="6"/>
  <c r="C129" i="6"/>
  <c r="D130" i="6"/>
  <c r="B132" i="6"/>
  <c r="C133" i="6"/>
  <c r="D134" i="6"/>
  <c r="D5" i="6"/>
  <c r="B11" i="6"/>
  <c r="C16" i="6"/>
  <c r="D21" i="6"/>
  <c r="B27" i="6"/>
  <c r="C32" i="6"/>
  <c r="D37" i="6"/>
  <c r="B43" i="6"/>
  <c r="C48" i="6"/>
  <c r="B7" i="6"/>
  <c r="C28" i="6"/>
  <c r="D49" i="6"/>
  <c r="C60" i="6"/>
  <c r="B71" i="6"/>
  <c r="D81" i="6"/>
  <c r="C92" i="6"/>
  <c r="B103" i="6"/>
  <c r="C110" i="6"/>
  <c r="C115" i="6"/>
  <c r="B118" i="6"/>
  <c r="D120" i="6"/>
  <c r="C123" i="6"/>
  <c r="B126" i="6"/>
  <c r="D128" i="6"/>
  <c r="C131" i="6"/>
  <c r="B134" i="6"/>
  <c r="C12" i="6"/>
  <c r="D33" i="6"/>
  <c r="D53" i="6"/>
  <c r="C64" i="6"/>
  <c r="B75" i="6"/>
  <c r="D85" i="6"/>
  <c r="C96" i="6"/>
  <c r="B107" i="6"/>
  <c r="C112" i="6"/>
  <c r="C116" i="6"/>
  <c r="B119" i="6"/>
  <c r="D121" i="6"/>
  <c r="C124" i="6"/>
  <c r="B127" i="6"/>
  <c r="D129" i="6"/>
  <c r="C132" i="6"/>
  <c r="D17" i="6"/>
  <c r="B39" i="6"/>
  <c r="B55" i="6"/>
  <c r="D65" i="6"/>
  <c r="C76" i="6"/>
  <c r="B87" i="6"/>
  <c r="D97" i="6"/>
  <c r="D107" i="6"/>
  <c r="B113" i="6"/>
  <c r="D116" i="6"/>
  <c r="C119" i="6"/>
  <c r="B122" i="6"/>
  <c r="D124" i="6"/>
  <c r="C127" i="6"/>
  <c r="B130" i="6"/>
  <c r="D132" i="6"/>
  <c r="B23" i="6"/>
  <c r="C44" i="6"/>
  <c r="B59" i="6"/>
  <c r="D69" i="6"/>
  <c r="C80" i="6"/>
  <c r="B91" i="6"/>
  <c r="D101" i="6"/>
  <c r="D109" i="6"/>
  <c r="B115" i="6"/>
  <c r="D117" i="6"/>
  <c r="C120" i="6"/>
  <c r="B123" i="6"/>
  <c r="D125" i="6"/>
  <c r="C128" i="6"/>
  <c r="B131" i="6"/>
  <c r="D133" i="6"/>
  <c r="B112" i="6"/>
  <c r="D106" i="6"/>
  <c r="C101" i="6"/>
  <c r="B96" i="6"/>
  <c r="D90" i="6"/>
  <c r="C85" i="6"/>
  <c r="B80" i="6"/>
  <c r="D74" i="6"/>
  <c r="C69" i="6"/>
  <c r="B64" i="6"/>
  <c r="D58" i="6"/>
  <c r="C53" i="6"/>
  <c r="B48" i="6"/>
  <c r="D42" i="6"/>
  <c r="C37" i="6"/>
  <c r="B32" i="6"/>
  <c r="D26" i="6"/>
  <c r="C21" i="6"/>
  <c r="B16" i="6"/>
  <c r="D10" i="6"/>
  <c r="C5" i="6"/>
  <c r="D99" i="6"/>
  <c r="C94" i="6"/>
  <c r="B89" i="6"/>
  <c r="C78" i="6"/>
  <c r="B73" i="6"/>
  <c r="C62" i="6"/>
  <c r="D51" i="6"/>
  <c r="B41" i="6"/>
  <c r="C30" i="6"/>
  <c r="C14" i="6"/>
  <c r="D3" i="6"/>
  <c r="B106" i="6"/>
  <c r="D84" i="6"/>
  <c r="D68" i="6"/>
  <c r="D52" i="6"/>
  <c r="D36" i="6"/>
  <c r="C15" i="6"/>
  <c r="B100" i="6"/>
  <c r="C89" i="6"/>
  <c r="D78" i="6"/>
  <c r="C57" i="6"/>
  <c r="C41" i="6"/>
  <c r="D30" i="6"/>
  <c r="C9" i="6"/>
  <c r="C98" i="6"/>
  <c r="C82" i="6"/>
  <c r="D114" i="6"/>
  <c r="C109" i="6"/>
  <c r="B104" i="6"/>
  <c r="D98" i="6"/>
  <c r="C93" i="6"/>
  <c r="B88" i="6"/>
  <c r="D82" i="6"/>
  <c r="C77" i="6"/>
  <c r="B72" i="6"/>
  <c r="D66" i="6"/>
  <c r="C61" i="6"/>
  <c r="B56" i="6"/>
  <c r="D50" i="6"/>
  <c r="C45" i="6"/>
  <c r="B40" i="6"/>
  <c r="D34" i="6"/>
  <c r="C29" i="6"/>
  <c r="B24" i="6"/>
  <c r="D18" i="6"/>
  <c r="C13" i="6"/>
  <c r="B8" i="6"/>
  <c r="D2" i="6"/>
  <c r="C102" i="6"/>
  <c r="B97" i="6"/>
  <c r="D91" i="6"/>
  <c r="C86" i="6"/>
  <c r="B81" i="6"/>
  <c r="D75" i="6"/>
  <c r="C70" i="6"/>
  <c r="B65" i="6"/>
  <c r="D59" i="6"/>
  <c r="C54" i="6"/>
  <c r="B49" i="6"/>
  <c r="D43" i="6"/>
  <c r="C38" i="6"/>
  <c r="B33" i="6"/>
  <c r="D27" i="6"/>
  <c r="C22" i="6"/>
  <c r="B17" i="6"/>
  <c r="D11" i="6"/>
  <c r="C6" i="6"/>
  <c r="B114" i="6"/>
  <c r="D108" i="6"/>
  <c r="C103" i="6"/>
  <c r="B98" i="6"/>
  <c r="D92" i="6"/>
  <c r="C87" i="6"/>
  <c r="B82" i="6"/>
  <c r="D76" i="6"/>
  <c r="C71" i="6"/>
  <c r="B66" i="6"/>
  <c r="D60" i="6"/>
  <c r="C55" i="6"/>
  <c r="B50" i="6"/>
  <c r="D44" i="6"/>
  <c r="C39" i="6"/>
  <c r="B34" i="6"/>
  <c r="D28" i="6"/>
  <c r="C23" i="6"/>
  <c r="B18" i="6"/>
  <c r="D12" i="6"/>
  <c r="C7" i="6"/>
  <c r="D19" i="6"/>
  <c r="C95" i="6"/>
  <c r="C79" i="6"/>
  <c r="C63" i="6"/>
  <c r="C47" i="6"/>
  <c r="C31" i="6"/>
  <c r="D20" i="6"/>
  <c r="D4" i="6"/>
  <c r="D110" i="6"/>
  <c r="B84" i="6"/>
  <c r="B68" i="6"/>
  <c r="B52" i="6"/>
  <c r="B36" i="6"/>
  <c r="B20" i="6"/>
  <c r="B4" i="6"/>
  <c r="D103" i="6"/>
  <c r="D87" i="6"/>
  <c r="C113" i="6"/>
  <c r="B108" i="6"/>
  <c r="D102" i="6"/>
  <c r="C97" i="6"/>
  <c r="B92" i="6"/>
  <c r="D86" i="6"/>
  <c r="C81" i="6"/>
  <c r="B76" i="6"/>
  <c r="D70" i="6"/>
  <c r="C65" i="6"/>
  <c r="B60" i="6"/>
  <c r="D54" i="6"/>
  <c r="C49" i="6"/>
  <c r="B44" i="6"/>
  <c r="D38" i="6"/>
  <c r="C33" i="6"/>
  <c r="B28" i="6"/>
  <c r="D22" i="6"/>
  <c r="C17" i="6"/>
  <c r="B12" i="6"/>
  <c r="D6" i="6"/>
  <c r="C106" i="6"/>
  <c r="B101" i="6"/>
  <c r="D95" i="6"/>
  <c r="C90" i="6"/>
  <c r="B85" i="6"/>
  <c r="D79" i="6"/>
  <c r="C74" i="6"/>
  <c r="B69" i="6"/>
  <c r="D63" i="6"/>
  <c r="C58" i="6"/>
  <c r="B53" i="6"/>
  <c r="D47" i="6"/>
  <c r="C42" i="6"/>
  <c r="B37" i="6"/>
  <c r="D31" i="6"/>
  <c r="C26" i="6"/>
  <c r="B21" i="6"/>
  <c r="D15" i="6"/>
  <c r="C10" i="6"/>
  <c r="B5" i="6"/>
  <c r="D112" i="6"/>
  <c r="C107" i="6"/>
  <c r="B102" i="6"/>
  <c r="D96" i="6"/>
  <c r="C91" i="6"/>
  <c r="B86" i="6"/>
  <c r="D80" i="6"/>
  <c r="C75" i="6"/>
  <c r="B70" i="6"/>
  <c r="D64" i="6"/>
  <c r="C59" i="6"/>
  <c r="B54" i="6"/>
  <c r="D48" i="6"/>
  <c r="C43" i="6"/>
  <c r="B38" i="6"/>
  <c r="D32" i="6"/>
  <c r="C27" i="6"/>
  <c r="B22" i="6"/>
  <c r="D16" i="6"/>
  <c r="C11" i="6"/>
  <c r="B6" i="6"/>
  <c r="B105" i="6"/>
  <c r="D83" i="6"/>
  <c r="D67" i="6"/>
  <c r="B57" i="6"/>
  <c r="C46" i="6"/>
  <c r="D35" i="6"/>
  <c r="B25" i="6"/>
  <c r="B9" i="6"/>
  <c r="C111" i="6"/>
  <c r="D100" i="6"/>
  <c r="B90" i="6"/>
  <c r="B74" i="6"/>
  <c r="B58" i="6"/>
  <c r="B42" i="6"/>
  <c r="B26" i="6"/>
  <c r="B10" i="6"/>
  <c r="C105" i="6"/>
  <c r="D94" i="6"/>
  <c r="C73" i="6"/>
  <c r="D62" i="6"/>
  <c r="D46" i="6"/>
  <c r="C25" i="6"/>
  <c r="D14" i="6"/>
  <c r="C66" i="6"/>
  <c r="B45" i="6"/>
  <c r="D23" i="6"/>
  <c r="C2" i="6"/>
  <c r="B94" i="6"/>
  <c r="D72" i="6"/>
  <c r="C51" i="6"/>
  <c r="B30" i="6"/>
  <c r="D8" i="6"/>
  <c r="D39" i="6"/>
  <c r="B110" i="6"/>
  <c r="C67" i="6"/>
  <c r="C3" i="6"/>
  <c r="B93" i="6"/>
  <c r="B61" i="6"/>
  <c r="C18" i="6"/>
  <c r="D88" i="6"/>
  <c r="D24" i="6"/>
  <c r="B77" i="6"/>
  <c r="D55" i="6"/>
  <c r="C34" i="6"/>
  <c r="B13" i="6"/>
  <c r="D104" i="6"/>
  <c r="C83" i="6"/>
  <c r="B62" i="6"/>
  <c r="D40" i="6"/>
  <c r="C19" i="6"/>
  <c r="D71" i="6"/>
  <c r="C50" i="6"/>
  <c r="B29" i="6"/>
  <c r="D7" i="6"/>
  <c r="C99" i="6"/>
  <c r="B78" i="6"/>
  <c r="D56" i="6"/>
  <c r="C35" i="6"/>
  <c r="B14" i="6"/>
  <c r="B46" i="6"/>
  <c r="J46" i="12" l="1"/>
  <c r="L46" i="12"/>
  <c r="K46" i="12"/>
  <c r="K21" i="12"/>
  <c r="L21" i="12"/>
  <c r="J21" i="12"/>
  <c r="K4" i="12"/>
  <c r="L4" i="12"/>
  <c r="J4" i="12"/>
  <c r="L13" i="12"/>
  <c r="K13" i="12"/>
  <c r="J13" i="12"/>
  <c r="K52" i="12"/>
  <c r="J52" i="12"/>
  <c r="L52" i="12"/>
  <c r="J16" i="12"/>
  <c r="L16" i="12"/>
  <c r="K16" i="12"/>
  <c r="J35" i="12"/>
  <c r="L35" i="12"/>
  <c r="K35" i="12"/>
  <c r="L10" i="12"/>
  <c r="K10" i="12"/>
  <c r="J10" i="12"/>
  <c r="K49" i="12"/>
  <c r="L49" i="12"/>
  <c r="J49" i="12"/>
  <c r="K6" i="12"/>
  <c r="J6" i="12"/>
  <c r="L6" i="12"/>
  <c r="L47" i="12"/>
  <c r="K47" i="12"/>
  <c r="J47" i="12"/>
  <c r="L27" i="12"/>
  <c r="J27" i="12"/>
  <c r="K27" i="12"/>
  <c r="J28" i="12"/>
  <c r="L28" i="12"/>
  <c r="K28" i="12"/>
  <c r="K50" i="12"/>
  <c r="J50" i="12"/>
  <c r="L50" i="12"/>
  <c r="K11" i="12"/>
  <c r="J11" i="12"/>
  <c r="L11" i="12"/>
  <c r="J2" i="12"/>
  <c r="K2" i="12"/>
  <c r="L2" i="12"/>
  <c r="I2" i="12" s="1"/>
  <c r="K37" i="12"/>
  <c r="J37" i="12"/>
  <c r="L37" i="12"/>
  <c r="K12" i="12"/>
  <c r="J12" i="12"/>
  <c r="L12" i="12"/>
  <c r="L18" i="12"/>
  <c r="K18" i="12"/>
  <c r="J18" i="12"/>
  <c r="J22" i="12"/>
  <c r="L22" i="12"/>
  <c r="K22" i="12"/>
  <c r="L41" i="12"/>
  <c r="K41" i="12"/>
  <c r="J41" i="12"/>
  <c r="L34" i="12"/>
  <c r="J34" i="12"/>
  <c r="K34" i="12"/>
  <c r="L26" i="12"/>
  <c r="K26" i="12"/>
  <c r="J26" i="12"/>
  <c r="L51" i="12"/>
  <c r="J51" i="12"/>
  <c r="K51" i="12"/>
  <c r="J23" i="12"/>
  <c r="K23" i="12"/>
  <c r="L23" i="12"/>
  <c r="K32" i="12"/>
  <c r="J32" i="12"/>
  <c r="L32" i="12"/>
  <c r="K3" i="12"/>
  <c r="L3" i="12"/>
  <c r="J3" i="12"/>
  <c r="J29" i="12"/>
  <c r="L29" i="12"/>
  <c r="K29" i="12"/>
  <c r="K15" i="12"/>
  <c r="J15" i="12"/>
  <c r="L15" i="12"/>
  <c r="L7" i="12"/>
  <c r="K7" i="12"/>
  <c r="J7" i="12"/>
  <c r="L14" i="12"/>
  <c r="K14" i="12"/>
  <c r="J14" i="12"/>
  <c r="K9" i="12"/>
  <c r="J9" i="12"/>
  <c r="L9" i="12"/>
  <c r="J5" i="12"/>
  <c r="L5" i="12"/>
  <c r="K5" i="12"/>
  <c r="K53" i="12"/>
  <c r="L53" i="12"/>
  <c r="J53" i="12"/>
  <c r="J45" i="12"/>
  <c r="L45" i="12"/>
  <c r="K45" i="12"/>
  <c r="L44" i="12"/>
  <c r="J44" i="12"/>
  <c r="K44" i="12"/>
  <c r="L48" i="12"/>
  <c r="J48" i="12"/>
  <c r="K48" i="12"/>
  <c r="K19" i="12"/>
  <c r="J19" i="12"/>
  <c r="L19" i="12"/>
  <c r="L36" i="12"/>
  <c r="K36" i="12"/>
  <c r="J36" i="12"/>
  <c r="L42" i="12"/>
  <c r="K42" i="12"/>
  <c r="J42" i="12"/>
  <c r="K17" i="12"/>
  <c r="L17" i="12"/>
  <c r="J17" i="12"/>
  <c r="L33" i="12"/>
  <c r="K33" i="12"/>
  <c r="J33" i="12"/>
  <c r="K25" i="12"/>
  <c r="L25" i="12"/>
  <c r="J25" i="12"/>
  <c r="K40" i="12"/>
  <c r="J40" i="12"/>
  <c r="L40" i="12"/>
  <c r="K20" i="12"/>
  <c r="J20" i="12"/>
  <c r="L20" i="12"/>
  <c r="J8" i="12"/>
  <c r="L8" i="12"/>
  <c r="K8" i="12"/>
  <c r="L30" i="12"/>
  <c r="J30" i="12"/>
  <c r="K30" i="12"/>
  <c r="K38" i="12"/>
  <c r="J38" i="12"/>
  <c r="L38" i="12"/>
  <c r="L43" i="12"/>
  <c r="K43" i="12"/>
  <c r="J43" i="12"/>
  <c r="J39" i="12"/>
  <c r="L39" i="12"/>
  <c r="K39" i="12"/>
  <c r="J31" i="12"/>
  <c r="L31" i="12"/>
  <c r="K31" i="12"/>
  <c r="K24" i="12"/>
  <c r="L24" i="12"/>
  <c r="J24" i="12"/>
  <c r="J2" i="9"/>
  <c r="L2" i="9"/>
  <c r="I2" i="9" s="1"/>
  <c r="J46" i="9"/>
  <c r="L46" i="9"/>
  <c r="K46" i="9"/>
  <c r="K13" i="9"/>
  <c r="L13" i="9"/>
  <c r="J13" i="9"/>
  <c r="J9" i="9"/>
  <c r="K9" i="9"/>
  <c r="L9" i="9"/>
  <c r="J49" i="9"/>
  <c r="K49" i="9"/>
  <c r="L49" i="9"/>
  <c r="J48" i="9"/>
  <c r="L48" i="9"/>
  <c r="K48" i="9"/>
  <c r="K31" i="9"/>
  <c r="L31" i="9"/>
  <c r="J31" i="9"/>
  <c r="L11" i="9"/>
  <c r="J11" i="9"/>
  <c r="K11" i="9"/>
  <c r="L33" i="9"/>
  <c r="J33" i="9"/>
  <c r="K33" i="9"/>
  <c r="K12" i="9"/>
  <c r="J12" i="9"/>
  <c r="L12" i="9"/>
  <c r="J35" i="9"/>
  <c r="K35" i="9"/>
  <c r="L35" i="9"/>
  <c r="J30" i="9"/>
  <c r="L30" i="9"/>
  <c r="K30" i="9"/>
  <c r="L43" i="9"/>
  <c r="J43" i="9"/>
  <c r="K43" i="9"/>
  <c r="L28" i="9"/>
  <c r="K28" i="9"/>
  <c r="J28" i="9"/>
  <c r="J21" i="9"/>
  <c r="K21" i="9"/>
  <c r="L21" i="9"/>
  <c r="L52" i="9"/>
  <c r="K52" i="9"/>
  <c r="J52" i="9"/>
  <c r="J22" i="9"/>
  <c r="L22" i="9"/>
  <c r="K22" i="9"/>
  <c r="K45" i="9"/>
  <c r="J45" i="9"/>
  <c r="L45" i="9"/>
  <c r="K27" i="9"/>
  <c r="L27" i="9"/>
  <c r="J27" i="9"/>
  <c r="L50" i="9"/>
  <c r="K50" i="9"/>
  <c r="J50" i="9"/>
  <c r="K29" i="9"/>
  <c r="L29" i="9"/>
  <c r="J29" i="9"/>
  <c r="L37" i="9"/>
  <c r="J37" i="9"/>
  <c r="K37" i="9"/>
  <c r="L16" i="9"/>
  <c r="K16" i="9"/>
  <c r="J16" i="9"/>
  <c r="K8" i="9"/>
  <c r="J8" i="9"/>
  <c r="L8" i="9"/>
  <c r="J34" i="9"/>
  <c r="K34" i="9"/>
  <c r="L34" i="9"/>
  <c r="K47" i="9"/>
  <c r="L47" i="9"/>
  <c r="J47" i="9"/>
  <c r="J32" i="9"/>
  <c r="L32" i="9"/>
  <c r="K32" i="9"/>
  <c r="J17" i="9"/>
  <c r="K17" i="9"/>
  <c r="L17" i="9"/>
  <c r="L14" i="9"/>
  <c r="K14" i="9"/>
  <c r="J14" i="9"/>
  <c r="K5" i="9"/>
  <c r="J5" i="9"/>
  <c r="L5" i="9"/>
  <c r="K6" i="9"/>
  <c r="J6" i="9"/>
  <c r="L6" i="9"/>
  <c r="J23" i="9"/>
  <c r="K23" i="9"/>
  <c r="L23" i="9"/>
  <c r="L3" i="9"/>
  <c r="J3" i="9"/>
  <c r="K3" i="9"/>
  <c r="L7" i="9"/>
  <c r="J7" i="9"/>
  <c r="K7" i="9"/>
  <c r="J18" i="9"/>
  <c r="L18" i="9"/>
  <c r="K18" i="9"/>
  <c r="L10" i="9"/>
  <c r="J10" i="9"/>
  <c r="K10" i="9"/>
  <c r="L38" i="9"/>
  <c r="K38" i="9"/>
  <c r="J38" i="9"/>
  <c r="L51" i="9"/>
  <c r="J51" i="9"/>
  <c r="K51" i="9"/>
  <c r="K36" i="9"/>
  <c r="J36" i="9"/>
  <c r="L36" i="9"/>
  <c r="J4" i="9"/>
  <c r="K4" i="9"/>
  <c r="L4" i="9"/>
  <c r="K40" i="9"/>
  <c r="J40" i="9"/>
  <c r="L40" i="9"/>
  <c r="L53" i="9"/>
  <c r="J53" i="9"/>
  <c r="K53" i="9"/>
  <c r="J44" i="9"/>
  <c r="L44" i="9"/>
  <c r="K44" i="9"/>
  <c r="J19" i="9"/>
  <c r="K19" i="9"/>
  <c r="L19" i="9"/>
  <c r="L42" i="9"/>
  <c r="K42" i="9"/>
  <c r="J42" i="9"/>
  <c r="L15" i="9"/>
  <c r="J15" i="9"/>
  <c r="K15" i="9"/>
  <c r="L25" i="9"/>
  <c r="J25" i="9"/>
  <c r="K25" i="9"/>
  <c r="J20" i="9"/>
  <c r="K20" i="9"/>
  <c r="L20" i="9"/>
  <c r="L41" i="9"/>
  <c r="K41" i="9"/>
  <c r="J41" i="9"/>
  <c r="L26" i="9"/>
  <c r="J26" i="9"/>
  <c r="K26" i="9"/>
  <c r="J39" i="9"/>
  <c r="K39" i="9"/>
  <c r="L39" i="9"/>
  <c r="J24" i="9"/>
  <c r="L24" i="9"/>
  <c r="K24" i="9"/>
</calcChain>
</file>

<file path=xl/sharedStrings.xml><?xml version="1.0" encoding="utf-8"?>
<sst xmlns="http://schemas.openxmlformats.org/spreadsheetml/2006/main" count="1245" uniqueCount="301">
  <si>
    <t>Nombre de Comunidad</t>
  </si>
  <si>
    <t>Código de Provincia</t>
  </si>
  <si>
    <t>Nombre de Provincia</t>
  </si>
  <si>
    <t>Población</t>
  </si>
  <si>
    <t>Número de mesas</t>
  </si>
  <si>
    <t>Censo electoral sin CERA</t>
  </si>
  <si>
    <t>Censo CERA</t>
  </si>
  <si>
    <t>Total censo electoral</t>
  </si>
  <si>
    <t>Solicitudes voto CERA aceptadas</t>
  </si>
  <si>
    <t>Total votantes CER</t>
  </si>
  <si>
    <t>Total votantes CERA</t>
  </si>
  <si>
    <t>Total votantes</t>
  </si>
  <si>
    <t>Votos válidos</t>
  </si>
  <si>
    <t>Votos a candidaturas</t>
  </si>
  <si>
    <t>Votos en blanco</t>
  </si>
  <si>
    <t>Votos nulos</t>
  </si>
  <si>
    <t>Diputados</t>
  </si>
  <si>
    <t xml:space="preserve">Andalucía                     </t>
  </si>
  <si>
    <t xml:space="preserve">Almería                       </t>
  </si>
  <si>
    <t xml:space="preserve">Cádiz                         </t>
  </si>
  <si>
    <t xml:space="preserve">Córdoba                       </t>
  </si>
  <si>
    <t xml:space="preserve">Granada                       </t>
  </si>
  <si>
    <t xml:space="preserve">Huelva                        </t>
  </si>
  <si>
    <t xml:space="preserve">Jaén                          </t>
  </si>
  <si>
    <t xml:space="preserve">Málaga                        </t>
  </si>
  <si>
    <t xml:space="preserve">Sevilla                       </t>
  </si>
  <si>
    <t xml:space="preserve">Aragón                        </t>
  </si>
  <si>
    <t xml:space="preserve">Huesca                        </t>
  </si>
  <si>
    <t xml:space="preserve">Teruel                        </t>
  </si>
  <si>
    <t xml:space="preserve">Zaragoza                      </t>
  </si>
  <si>
    <t xml:space="preserve">Principado de Asturias        </t>
  </si>
  <si>
    <t xml:space="preserve">Asturias                      </t>
  </si>
  <si>
    <t xml:space="preserve">Illes Balears                 </t>
  </si>
  <si>
    <t xml:space="preserve">Canarias                      </t>
  </si>
  <si>
    <t xml:space="preserve">Las Palmas                    </t>
  </si>
  <si>
    <t xml:space="preserve">Santa Cruz de Tenerife        </t>
  </si>
  <si>
    <t xml:space="preserve">Cantabria                     </t>
  </si>
  <si>
    <t xml:space="preserve">Castilla - La Mancha          </t>
  </si>
  <si>
    <t xml:space="preserve">Albacete                      </t>
  </si>
  <si>
    <t xml:space="preserve">Ciudad Real                   </t>
  </si>
  <si>
    <t xml:space="preserve">Cuenca                        </t>
  </si>
  <si>
    <t xml:space="preserve">Guadalajara                   </t>
  </si>
  <si>
    <t xml:space="preserve">Toledo                        </t>
  </si>
  <si>
    <t xml:space="preserve">Castilla y León               </t>
  </si>
  <si>
    <t xml:space="preserve">Ávila                         </t>
  </si>
  <si>
    <t xml:space="preserve">Burgos                        </t>
  </si>
  <si>
    <t xml:space="preserve">León                          </t>
  </si>
  <si>
    <t xml:space="preserve">Palencia                      </t>
  </si>
  <si>
    <t xml:space="preserve">Salamanca                     </t>
  </si>
  <si>
    <t xml:space="preserve">Segovia                       </t>
  </si>
  <si>
    <t xml:space="preserve">Soria                         </t>
  </si>
  <si>
    <t xml:space="preserve">Valladolid                    </t>
  </si>
  <si>
    <t xml:space="preserve">Zamora                        </t>
  </si>
  <si>
    <t xml:space="preserve">Cataluña                      </t>
  </si>
  <si>
    <t xml:space="preserve">Barcelona                     </t>
  </si>
  <si>
    <t xml:space="preserve">Girona                        </t>
  </si>
  <si>
    <t xml:space="preserve">Lleida                        </t>
  </si>
  <si>
    <t xml:space="preserve">Tarragona                     </t>
  </si>
  <si>
    <t xml:space="preserve">Extremadura                   </t>
  </si>
  <si>
    <t xml:space="preserve">Badajoz                       </t>
  </si>
  <si>
    <t xml:space="preserve">Cáceres                       </t>
  </si>
  <si>
    <t xml:space="preserve">Galicia                       </t>
  </si>
  <si>
    <t xml:space="preserve">A Coruña                      </t>
  </si>
  <si>
    <t xml:space="preserve">Lugo                          </t>
  </si>
  <si>
    <t xml:space="preserve">Ourense                       </t>
  </si>
  <si>
    <t xml:space="preserve">Pontevedra                    </t>
  </si>
  <si>
    <t xml:space="preserve">Comunidad de Madrid           </t>
  </si>
  <si>
    <t xml:space="preserve">Madrid                        </t>
  </si>
  <si>
    <t xml:space="preserve">Comunidad Foral de Navarra    </t>
  </si>
  <si>
    <t xml:space="preserve">Navarra                       </t>
  </si>
  <si>
    <t xml:space="preserve">País Vasco                    </t>
  </si>
  <si>
    <t xml:space="preserve">Araba / Álava                 </t>
  </si>
  <si>
    <t xml:space="preserve">Gipuzkoa                      </t>
  </si>
  <si>
    <t xml:space="preserve">Bizkaia                       </t>
  </si>
  <si>
    <t xml:space="preserve">Región de Murcia              </t>
  </si>
  <si>
    <t xml:space="preserve">Murcia                        </t>
  </si>
  <si>
    <t xml:space="preserve">La Rioja                      </t>
  </si>
  <si>
    <t xml:space="preserve">Comunitat Valenciana          </t>
  </si>
  <si>
    <t xml:space="preserve">Alicante / Alacant            </t>
  </si>
  <si>
    <t xml:space="preserve">Castellón / Castelló          </t>
  </si>
  <si>
    <t xml:space="preserve">Valencia / València           </t>
  </si>
  <si>
    <t xml:space="preserve">Ciudad de Ceuta               </t>
  </si>
  <si>
    <t xml:space="preserve">Ceuta                         </t>
  </si>
  <si>
    <t xml:space="preserve">Ciudad de Melilla             </t>
  </si>
  <si>
    <t xml:space="preserve">Melilla                       </t>
  </si>
  <si>
    <t>1Votos</t>
  </si>
  <si>
    <t>1Diputados</t>
  </si>
  <si>
    <t>2Votos</t>
  </si>
  <si>
    <t>2Diputados</t>
  </si>
  <si>
    <t>3Votos</t>
  </si>
  <si>
    <t>3Diputados</t>
  </si>
  <si>
    <t>4Votos</t>
  </si>
  <si>
    <t>4Diputados</t>
  </si>
  <si>
    <t>5Votos</t>
  </si>
  <si>
    <t>5Diputados</t>
  </si>
  <si>
    <t>6Votos</t>
  </si>
  <si>
    <t>6Diputados</t>
  </si>
  <si>
    <t>7Votos</t>
  </si>
  <si>
    <t>7Diputados</t>
  </si>
  <si>
    <t>8Votos</t>
  </si>
  <si>
    <t>8Diputados</t>
  </si>
  <si>
    <t>9Votos</t>
  </si>
  <si>
    <t>9Diputados</t>
  </si>
  <si>
    <t>10Votos</t>
  </si>
  <si>
    <t>10Diputados</t>
  </si>
  <si>
    <t>11Votos</t>
  </si>
  <si>
    <t>11Diputados</t>
  </si>
  <si>
    <t>12Votos</t>
  </si>
  <si>
    <t>12Diputados</t>
  </si>
  <si>
    <t>13Votos</t>
  </si>
  <si>
    <t>13Diputados</t>
  </si>
  <si>
    <t>14Votos</t>
  </si>
  <si>
    <t>14Diputados</t>
  </si>
  <si>
    <t>15Votos</t>
  </si>
  <si>
    <t>15Diputados</t>
  </si>
  <si>
    <t>16Votos</t>
  </si>
  <si>
    <t>16Diputados</t>
  </si>
  <si>
    <t>17Votos</t>
  </si>
  <si>
    <t>17Diputados</t>
  </si>
  <si>
    <t>18Votos</t>
  </si>
  <si>
    <t>18Diputados</t>
  </si>
  <si>
    <t>19Votos</t>
  </si>
  <si>
    <t>19Diputados</t>
  </si>
  <si>
    <t>20Votos</t>
  </si>
  <si>
    <t>20Diputados</t>
  </si>
  <si>
    <t>21Votos</t>
  </si>
  <si>
    <t>21Diputados</t>
  </si>
  <si>
    <t>22Votos</t>
  </si>
  <si>
    <t>22Diputados</t>
  </si>
  <si>
    <t>23Votos</t>
  </si>
  <si>
    <t>23Diputados</t>
  </si>
  <si>
    <t>24Votos</t>
  </si>
  <si>
    <t>24Diputados</t>
  </si>
  <si>
    <t>25Votos</t>
  </si>
  <si>
    <t>25Diputados</t>
  </si>
  <si>
    <t>26Votos</t>
  </si>
  <si>
    <t>26Diputados</t>
  </si>
  <si>
    <t>27Votos</t>
  </si>
  <si>
    <t>27Diputados</t>
  </si>
  <si>
    <t>28Votos</t>
  </si>
  <si>
    <t>28Diputados</t>
  </si>
  <si>
    <t>29Votos</t>
  </si>
  <si>
    <t>29Diputados</t>
  </si>
  <si>
    <t>30Votos</t>
  </si>
  <si>
    <t>30Diputados</t>
  </si>
  <si>
    <t>31Votos</t>
  </si>
  <si>
    <t>31Diputados</t>
  </si>
  <si>
    <t>32Votos</t>
  </si>
  <si>
    <t>32Diputados</t>
  </si>
  <si>
    <t>33Votos</t>
  </si>
  <si>
    <t>33Diputados</t>
  </si>
  <si>
    <t>34Votos</t>
  </si>
  <si>
    <t>34Diputados</t>
  </si>
  <si>
    <t>35Votos</t>
  </si>
  <si>
    <t>35Diputados</t>
  </si>
  <si>
    <t>36Votos</t>
  </si>
  <si>
    <t>36Diputados</t>
  </si>
  <si>
    <t>37Votos</t>
  </si>
  <si>
    <t>37Diputados</t>
  </si>
  <si>
    <t>38Votos</t>
  </si>
  <si>
    <t>38Diputados</t>
  </si>
  <si>
    <t>39Votos</t>
  </si>
  <si>
    <t>39Diputados</t>
  </si>
  <si>
    <t>40Votos</t>
  </si>
  <si>
    <t>40Diputados</t>
  </si>
  <si>
    <t>41Votos</t>
  </si>
  <si>
    <t>41Diputados</t>
  </si>
  <si>
    <t>42Votos</t>
  </si>
  <si>
    <t>42Diputados</t>
  </si>
  <si>
    <t>43Votos</t>
  </si>
  <si>
    <t>43Diputados</t>
  </si>
  <si>
    <t>44Votos</t>
  </si>
  <si>
    <t>44Diputados</t>
  </si>
  <si>
    <t>45Votos</t>
  </si>
  <si>
    <t>45Diputados</t>
  </si>
  <si>
    <t>46Votos</t>
  </si>
  <si>
    <t>46Diputados</t>
  </si>
  <si>
    <t>47Votos</t>
  </si>
  <si>
    <t>47Diputados</t>
  </si>
  <si>
    <t>48Votos</t>
  </si>
  <si>
    <t>48Diputados</t>
  </si>
  <si>
    <t>49Votos</t>
  </si>
  <si>
    <t>49Diputados</t>
  </si>
  <si>
    <t>50Votos</t>
  </si>
  <si>
    <t>50Diputados</t>
  </si>
  <si>
    <t>51Votos</t>
  </si>
  <si>
    <t>51Diputados</t>
  </si>
  <si>
    <t>52Votos</t>
  </si>
  <si>
    <t>52Diputados</t>
  </si>
  <si>
    <t>53Votos</t>
  </si>
  <si>
    <t>53Diputados</t>
  </si>
  <si>
    <t>54Votos</t>
  </si>
  <si>
    <t>54Diputados</t>
  </si>
  <si>
    <t>55Votos</t>
  </si>
  <si>
    <t>55Diputados</t>
  </si>
  <si>
    <t>56Votos</t>
  </si>
  <si>
    <t>56Diputados</t>
  </si>
  <si>
    <t>57Votos</t>
  </si>
  <si>
    <t>57Diputados</t>
  </si>
  <si>
    <t>58Votos</t>
  </si>
  <si>
    <t>58Diputados</t>
  </si>
  <si>
    <t>59Votos</t>
  </si>
  <si>
    <t>59Diputados</t>
  </si>
  <si>
    <t>60Votos</t>
  </si>
  <si>
    <t>60Diputados</t>
  </si>
  <si>
    <t>61Votos</t>
  </si>
  <si>
    <t>61Diputados</t>
  </si>
  <si>
    <t>62Votos</t>
  </si>
  <si>
    <t>62Diputados</t>
  </si>
  <si>
    <t>63Votos</t>
  </si>
  <si>
    <t>63Diputados</t>
  </si>
  <si>
    <t>64Votos</t>
  </si>
  <si>
    <t>64Diputados</t>
  </si>
  <si>
    <t>65Votos</t>
  </si>
  <si>
    <t>65Diputados</t>
  </si>
  <si>
    <t>66Votos</t>
  </si>
  <si>
    <t>66Diputados</t>
  </si>
  <si>
    <t>67Votos</t>
  </si>
  <si>
    <t>67Diputados</t>
  </si>
  <si>
    <t>PSOE</t>
  </si>
  <si>
    <t>PP</t>
  </si>
  <si>
    <t>VOX</t>
  </si>
  <si>
    <t>PODEMOS-IU</t>
  </si>
  <si>
    <t>ERC-SOBIRANISTES</t>
  </si>
  <si>
    <t>Cs</t>
  </si>
  <si>
    <t>JxCAT-JUNTS</t>
  </si>
  <si>
    <t>ECP-GUANYEM EL CANVI</t>
  </si>
  <si>
    <t>EAJ-PNV</t>
  </si>
  <si>
    <t>EH Bildu</t>
  </si>
  <si>
    <t>MÁS PAÍS-EQUO</t>
  </si>
  <si>
    <t>CUP-PR</t>
  </si>
  <si>
    <t>PODEMOS-EU</t>
  </si>
  <si>
    <t>CCa-PNC-NC</t>
  </si>
  <si>
    <t>NA+</t>
  </si>
  <si>
    <t>MÉS COMPROMÍS</t>
  </si>
  <si>
    <t>BNG</t>
  </si>
  <si>
    <t>PRC</t>
  </si>
  <si>
    <t>¡TERUEL EXISTE!</t>
  </si>
  <si>
    <t>PACMA</t>
  </si>
  <si>
    <t>MÁS PAÍS</t>
  </si>
  <si>
    <t>RECORTES CERO-GV</t>
  </si>
  <si>
    <t>PUM+J</t>
  </si>
  <si>
    <t>M PAÍS-CHA-EQUO</t>
  </si>
  <si>
    <t>MÉS-ESQUERRA</t>
  </si>
  <si>
    <t>AxSÍ</t>
  </si>
  <si>
    <t>PCPE</t>
  </si>
  <si>
    <t>PCTE</t>
  </si>
  <si>
    <t>GBAI</t>
  </si>
  <si>
    <t>UPL</t>
  </si>
  <si>
    <t>PCOE</t>
  </si>
  <si>
    <t>CpM</t>
  </si>
  <si>
    <t>EB</t>
  </si>
  <si>
    <t>ERPV</t>
  </si>
  <si>
    <t>XAV</t>
  </si>
  <si>
    <t>AVANT ADELANTE LOS VERDES</t>
  </si>
  <si>
    <t>VERDES</t>
  </si>
  <si>
    <t>PH</t>
  </si>
  <si>
    <t>I.Fem</t>
  </si>
  <si>
    <t>UIG-SOM-CUIDES</t>
  </si>
  <si>
    <t>SOMOS REGIÓN</t>
  </si>
  <si>
    <t>IZQP</t>
  </si>
  <si>
    <t>AHORA CANARIAS</t>
  </si>
  <si>
    <t>CONTIGO</t>
  </si>
  <si>
    <t>CHA</t>
  </si>
  <si>
    <t>PPSO</t>
  </si>
  <si>
    <t>EXTREMADURA UNIDA</t>
  </si>
  <si>
    <t>PDSJE</t>
  </si>
  <si>
    <t>P-LIB</t>
  </si>
  <si>
    <t>MAS</t>
  </si>
  <si>
    <t>UNIDOS SÍ-ACPS-Def</t>
  </si>
  <si>
    <t>PREPAL</t>
  </si>
  <si>
    <t>ANDECHA</t>
  </si>
  <si>
    <t>MDyC</t>
  </si>
  <si>
    <t>PYLN</t>
  </si>
  <si>
    <t>FE de las JONS</t>
  </si>
  <si>
    <t>AUNACV</t>
  </si>
  <si>
    <t>UNIÓN REGIONALISTA</t>
  </si>
  <si>
    <t>Canda</t>
  </si>
  <si>
    <t>FIA</t>
  </si>
  <si>
    <t>SOLIDARIA</t>
  </si>
  <si>
    <t>RISA</t>
  </si>
  <si>
    <t>centrados</t>
  </si>
  <si>
    <t>DPL</t>
  </si>
  <si>
    <t>IZAR</t>
  </si>
  <si>
    <t>C 21</t>
  </si>
  <si>
    <t>UDT</t>
  </si>
  <si>
    <t>ABST</t>
  </si>
  <si>
    <t>IZQUIERDA</t>
  </si>
  <si>
    <t>DERECHA</t>
  </si>
  <si>
    <t>NACIONALISTAS</t>
  </si>
  <si>
    <t>CENTRO</t>
  </si>
  <si>
    <t>OTROS</t>
  </si>
  <si>
    <t>Código</t>
  </si>
  <si>
    <t>Siglas</t>
  </si>
  <si>
    <t>Grupo</t>
  </si>
  <si>
    <t>Cambio 1</t>
  </si>
  <si>
    <t xml:space="preserve">Cambio 2 </t>
  </si>
  <si>
    <r>
      <rPr>
        <b/>
        <sz val="11"/>
        <color theme="1"/>
        <rFont val="GreekC"/>
      </rPr>
      <t>D</t>
    </r>
    <r>
      <rPr>
        <b/>
        <sz val="11"/>
        <color theme="1"/>
        <rFont val="Calibri"/>
        <family val="2"/>
      </rPr>
      <t>participación</t>
    </r>
  </si>
  <si>
    <t>Coef. Partic.</t>
  </si>
  <si>
    <t>desa1</t>
  </si>
  <si>
    <t>desa2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</si>
</sst>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#,##0_ ;\-#,##0\ "/>
  </numFmts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GreekC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1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3" fontId="2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164" fontId="0" fillId="0" borderId="0" xfId="1" applyNumberFormat="1" applyFont="1"/>
    <xf numFmtId="164" fontId="4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1" fontId="0" fillId="0" borderId="0" xfId="1" applyNumberFormat="1" applyFont="1"/>
    <xf numFmtId="165" fontId="2" fillId="0" borderId="0" xfId="2" applyNumberFormat="1" applyFont="1"/>
    <xf numFmtId="165" fontId="1" fillId="0" borderId="0" xfId="2" applyNumberFormat="1" applyFont="1" applyAlignment="1" applyProtection="1">
      <alignment horizontal="center" vertical="center" wrapText="1"/>
      <protection locked="0"/>
    </xf>
    <xf numFmtId="165" fontId="1" fillId="0" borderId="0" xfId="2" applyNumberFormat="1" applyFont="1" applyAlignment="1">
      <alignment horizontal="center" vertical="center" wrapText="1"/>
    </xf>
    <xf numFmtId="165" fontId="2" fillId="0" borderId="0" xfId="2" applyNumberFormat="1" applyFont="1" applyProtection="1">
      <protection locked="0"/>
    </xf>
    <xf numFmtId="165" fontId="2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 applyProtection="1">
      <protection locked="0"/>
    </xf>
    <xf numFmtId="165" fontId="0" fillId="0" borderId="0" xfId="2" applyNumberFormat="1" applyFont="1" applyAlignment="1" applyProtection="1">
      <alignment horizontal="center"/>
      <protection locked="0"/>
    </xf>
    <xf numFmtId="165" fontId="0" fillId="0" borderId="0" xfId="2" applyNumberFormat="1" applyFont="1"/>
    <xf numFmtId="165" fontId="0" fillId="0" borderId="0" xfId="2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66" fontId="0" fillId="0" borderId="0" xfId="2" applyNumberFormat="1" applyFont="1"/>
    <xf numFmtId="166" fontId="4" fillId="0" borderId="0" xfId="2" applyNumberFormat="1" applyFont="1"/>
    <xf numFmtId="164" fontId="7" fillId="0" borderId="1" xfId="1" applyNumberFormat="1" applyFont="1" applyBorder="1" applyAlignment="1">
      <alignment horizontal="center"/>
    </xf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4" fillId="0" borderId="2" xfId="0" applyFont="1" applyBorder="1"/>
    <xf numFmtId="0" fontId="0" fillId="0" borderId="1" xfId="0" applyBorder="1"/>
    <xf numFmtId="0" fontId="0" fillId="0" borderId="5" xfId="0" applyBorder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4" fillId="0" borderId="10" xfId="1" applyNumberFormat="1" applyFont="1" applyBorder="1" applyAlignment="1">
      <alignment horizontal="center"/>
    </xf>
    <xf numFmtId="164" fontId="0" fillId="0" borderId="11" xfId="1" applyNumberFormat="1" applyFont="1" applyBorder="1"/>
    <xf numFmtId="0" fontId="0" fillId="0" borderId="11" xfId="0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0" fontId="0" fillId="0" borderId="14" xfId="0" applyBorder="1"/>
    <xf numFmtId="0" fontId="0" fillId="0" borderId="15" xfId="0" applyBorder="1"/>
    <xf numFmtId="165" fontId="0" fillId="0" borderId="0" xfId="0" applyNumberFormat="1"/>
  </cellXfs>
  <cellStyles count="3">
    <cellStyle name="Millares" xfId="2" builtinId="3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HONDT\Elecciones2019.xlsx" TargetMode="External"/><Relationship Id="rId1" Type="http://schemas.openxmlformats.org/officeDocument/2006/relationships/externalLinkPath" Target="Elecciones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sheetDataSet>
      <sheetData sheetId="0">
        <row r="2">
          <cell r="L2">
            <v>305414</v>
          </cell>
          <cell r="M2">
            <v>302424</v>
          </cell>
          <cell r="N2">
            <v>299763</v>
          </cell>
          <cell r="O2">
            <v>2661</v>
          </cell>
        </row>
        <row r="3">
          <cell r="M3">
            <v>616079</v>
          </cell>
          <cell r="N3">
            <v>606858</v>
          </cell>
          <cell r="O3">
            <v>9221</v>
          </cell>
        </row>
        <row r="4">
          <cell r="M4">
            <v>444376</v>
          </cell>
          <cell r="N4">
            <v>438971</v>
          </cell>
          <cell r="O4">
            <v>5405</v>
          </cell>
        </row>
        <row r="5">
          <cell r="M5">
            <v>482779</v>
          </cell>
          <cell r="N5">
            <v>478251</v>
          </cell>
          <cell r="O5">
            <v>4528</v>
          </cell>
        </row>
        <row r="6">
          <cell r="M6">
            <v>250681</v>
          </cell>
          <cell r="N6">
            <v>247336</v>
          </cell>
          <cell r="O6">
            <v>3345</v>
          </cell>
        </row>
        <row r="7">
          <cell r="M7">
            <v>365106</v>
          </cell>
          <cell r="N7">
            <v>361745</v>
          </cell>
          <cell r="O7">
            <v>3361</v>
          </cell>
        </row>
        <row r="8">
          <cell r="M8">
            <v>756721</v>
          </cell>
          <cell r="N8">
            <v>748363</v>
          </cell>
          <cell r="O8">
            <v>8358</v>
          </cell>
        </row>
        <row r="9">
          <cell r="M9">
            <v>1053518</v>
          </cell>
          <cell r="N9">
            <v>1039725</v>
          </cell>
          <cell r="O9">
            <v>13793</v>
          </cell>
        </row>
        <row r="10">
          <cell r="M10">
            <v>113597</v>
          </cell>
          <cell r="N10">
            <v>112234</v>
          </cell>
          <cell r="O10">
            <v>1363</v>
          </cell>
        </row>
        <row r="11">
          <cell r="M11">
            <v>74130</v>
          </cell>
          <cell r="N11">
            <v>73727</v>
          </cell>
          <cell r="O11">
            <v>403</v>
          </cell>
        </row>
        <row r="12">
          <cell r="M12">
            <v>513284</v>
          </cell>
          <cell r="N12">
            <v>508295</v>
          </cell>
          <cell r="O12">
            <v>4989</v>
          </cell>
        </row>
        <row r="13">
          <cell r="M13">
            <v>559745</v>
          </cell>
          <cell r="N13">
            <v>552704</v>
          </cell>
          <cell r="O13">
            <v>7041</v>
          </cell>
        </row>
        <row r="14">
          <cell r="M14">
            <v>454199</v>
          </cell>
          <cell r="N14">
            <v>449531</v>
          </cell>
          <cell r="O14">
            <v>4668</v>
          </cell>
        </row>
        <row r="15">
          <cell r="M15">
            <v>483928</v>
          </cell>
          <cell r="N15">
            <v>479953</v>
          </cell>
          <cell r="O15">
            <v>3975</v>
          </cell>
        </row>
        <row r="16">
          <cell r="M16">
            <v>463579</v>
          </cell>
          <cell r="N16">
            <v>460199</v>
          </cell>
          <cell r="O16">
            <v>3380</v>
          </cell>
        </row>
        <row r="17">
          <cell r="M17">
            <v>327089</v>
          </cell>
          <cell r="N17">
            <v>325422</v>
          </cell>
          <cell r="O17">
            <v>1667</v>
          </cell>
        </row>
        <row r="18">
          <cell r="M18">
            <v>214304</v>
          </cell>
          <cell r="N18">
            <v>212482</v>
          </cell>
          <cell r="O18">
            <v>1822</v>
          </cell>
        </row>
        <row r="19">
          <cell r="M19">
            <v>268594</v>
          </cell>
          <cell r="N19">
            <v>266237</v>
          </cell>
          <cell r="O19">
            <v>2357</v>
          </cell>
        </row>
        <row r="20">
          <cell r="M20">
            <v>109119</v>
          </cell>
          <cell r="N20">
            <v>108117</v>
          </cell>
          <cell r="O20">
            <v>1002</v>
          </cell>
        </row>
        <row r="21">
          <cell r="M21">
            <v>132154</v>
          </cell>
          <cell r="N21">
            <v>131006</v>
          </cell>
          <cell r="O21">
            <v>1148</v>
          </cell>
        </row>
        <row r="22">
          <cell r="M22">
            <v>363474</v>
          </cell>
          <cell r="N22">
            <v>360813</v>
          </cell>
          <cell r="O22">
            <v>2661</v>
          </cell>
        </row>
        <row r="23">
          <cell r="M23">
            <v>93496</v>
          </cell>
          <cell r="N23">
            <v>92741</v>
          </cell>
          <cell r="O23">
            <v>755</v>
          </cell>
        </row>
        <row r="24">
          <cell r="M24">
            <v>198971</v>
          </cell>
          <cell r="N24">
            <v>196345</v>
          </cell>
          <cell r="O24">
            <v>2626</v>
          </cell>
        </row>
        <row r="25">
          <cell r="M25">
            <v>262679</v>
          </cell>
          <cell r="N25">
            <v>259969</v>
          </cell>
          <cell r="O25">
            <v>2710</v>
          </cell>
        </row>
        <row r="26">
          <cell r="M26">
            <v>95788</v>
          </cell>
          <cell r="N26">
            <v>94773</v>
          </cell>
          <cell r="O26">
            <v>1015</v>
          </cell>
        </row>
        <row r="27">
          <cell r="M27">
            <v>195170</v>
          </cell>
          <cell r="N27">
            <v>193188</v>
          </cell>
          <cell r="O27">
            <v>1982</v>
          </cell>
        </row>
        <row r="28">
          <cell r="M28">
            <v>85039</v>
          </cell>
          <cell r="N28">
            <v>84034</v>
          </cell>
          <cell r="O28">
            <v>1005</v>
          </cell>
        </row>
        <row r="29">
          <cell r="M29">
            <v>46410</v>
          </cell>
          <cell r="N29">
            <v>45689</v>
          </cell>
          <cell r="O29">
            <v>721</v>
          </cell>
        </row>
        <row r="30">
          <cell r="M30">
            <v>311454</v>
          </cell>
          <cell r="N30">
            <v>308307</v>
          </cell>
          <cell r="O30">
            <v>3147</v>
          </cell>
        </row>
        <row r="31">
          <cell r="M31">
            <v>99791</v>
          </cell>
          <cell r="N31">
            <v>98585</v>
          </cell>
          <cell r="O31">
            <v>1206</v>
          </cell>
        </row>
        <row r="32">
          <cell r="M32">
            <v>2927755</v>
          </cell>
          <cell r="N32">
            <v>2907298</v>
          </cell>
          <cell r="O32">
            <v>20457</v>
          </cell>
        </row>
        <row r="33">
          <cell r="M33">
            <v>355702</v>
          </cell>
          <cell r="N33">
            <v>353395</v>
          </cell>
          <cell r="O33">
            <v>2307</v>
          </cell>
        </row>
        <row r="34">
          <cell r="M34">
            <v>207356</v>
          </cell>
          <cell r="N34">
            <v>205816</v>
          </cell>
          <cell r="O34">
            <v>1540</v>
          </cell>
        </row>
        <row r="35">
          <cell r="M35">
            <v>385419</v>
          </cell>
          <cell r="N35">
            <v>382704</v>
          </cell>
          <cell r="O35">
            <v>2715</v>
          </cell>
        </row>
        <row r="36">
          <cell r="M36">
            <v>370159</v>
          </cell>
          <cell r="N36">
            <v>366560</v>
          </cell>
          <cell r="O36">
            <v>3599</v>
          </cell>
        </row>
        <row r="37">
          <cell r="M37">
            <v>223257</v>
          </cell>
          <cell r="N37">
            <v>221363</v>
          </cell>
          <cell r="O37">
            <v>1894</v>
          </cell>
        </row>
        <row r="38">
          <cell r="M38">
            <v>613494</v>
          </cell>
          <cell r="N38">
            <v>606187</v>
          </cell>
          <cell r="O38">
            <v>7307</v>
          </cell>
        </row>
        <row r="39">
          <cell r="M39">
            <v>180145</v>
          </cell>
          <cell r="N39">
            <v>178051</v>
          </cell>
          <cell r="O39">
            <v>2094</v>
          </cell>
        </row>
        <row r="40">
          <cell r="M40">
            <v>171471</v>
          </cell>
          <cell r="N40">
            <v>169805</v>
          </cell>
          <cell r="O40">
            <v>1666</v>
          </cell>
        </row>
        <row r="41">
          <cell r="M41">
            <v>522997</v>
          </cell>
          <cell r="N41">
            <v>517855</v>
          </cell>
          <cell r="O41">
            <v>5142</v>
          </cell>
        </row>
        <row r="42">
          <cell r="M42">
            <v>3563147</v>
          </cell>
          <cell r="N42">
            <v>3534364</v>
          </cell>
          <cell r="O42">
            <v>28783</v>
          </cell>
        </row>
        <row r="43">
          <cell r="M43">
            <v>334982</v>
          </cell>
          <cell r="N43">
            <v>331531</v>
          </cell>
          <cell r="O43">
            <v>3451</v>
          </cell>
        </row>
        <row r="44">
          <cell r="M44">
            <v>170855</v>
          </cell>
          <cell r="N44">
            <v>169944</v>
          </cell>
          <cell r="O44">
            <v>911</v>
          </cell>
        </row>
        <row r="45">
          <cell r="M45">
            <v>382868</v>
          </cell>
          <cell r="N45">
            <v>380961</v>
          </cell>
          <cell r="O45">
            <v>1907</v>
          </cell>
        </row>
        <row r="46">
          <cell r="M46">
            <v>630312</v>
          </cell>
          <cell r="N46">
            <v>626506</v>
          </cell>
          <cell r="O46">
            <v>3806</v>
          </cell>
        </row>
        <row r="47">
          <cell r="M47">
            <v>714927</v>
          </cell>
          <cell r="N47">
            <v>709674</v>
          </cell>
          <cell r="O47">
            <v>5253</v>
          </cell>
        </row>
        <row r="48">
          <cell r="M48">
            <v>164934</v>
          </cell>
          <cell r="N48">
            <v>163177</v>
          </cell>
          <cell r="O48">
            <v>1757</v>
          </cell>
        </row>
        <row r="49">
          <cell r="M49">
            <v>851716</v>
          </cell>
          <cell r="N49">
            <v>844938</v>
          </cell>
          <cell r="O49">
            <v>6778</v>
          </cell>
        </row>
        <row r="50">
          <cell r="M50">
            <v>294469</v>
          </cell>
          <cell r="N50">
            <v>292231</v>
          </cell>
          <cell r="O50">
            <v>2238</v>
          </cell>
        </row>
        <row r="51">
          <cell r="M51">
            <v>1390258</v>
          </cell>
          <cell r="N51">
            <v>1379460</v>
          </cell>
          <cell r="O51">
            <v>10798</v>
          </cell>
        </row>
        <row r="52">
          <cell r="M52">
            <v>33395</v>
          </cell>
          <cell r="N52">
            <v>33071</v>
          </cell>
          <cell r="O52">
            <v>324</v>
          </cell>
        </row>
        <row r="53">
          <cell r="M53">
            <v>30932</v>
          </cell>
          <cell r="N53">
            <v>30747</v>
          </cell>
          <cell r="O53">
            <v>185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928D-2E0E-4DD2-91B2-C3113DAF8A58}">
  <dimension ref="A1:EU53"/>
  <sheetViews>
    <sheetView tabSelected="1" topLeftCell="A40" workbookViewId="0">
      <selection activeCell="ET2" sqref="ET2:ET54"/>
    </sheetView>
  </sheetViews>
  <sheetFormatPr baseColWidth="10" defaultColWidth="12.140625" defaultRowHeight="15" x14ac:dyDescent="0.25"/>
  <cols>
    <col min="1" max="1" width="12.140625" style="26"/>
    <col min="2" max="2" width="12.5703125" style="27" bestFit="1" customWidth="1"/>
    <col min="3" max="3" width="12.140625" style="26"/>
    <col min="4" max="4" width="15.140625" style="26" bestFit="1" customWidth="1"/>
    <col min="5" max="5" width="12.5703125" style="26" bestFit="1" customWidth="1"/>
    <col min="6" max="6" width="15.140625" style="24" bestFit="1" customWidth="1"/>
    <col min="7" max="7" width="13.5703125" style="24" bestFit="1" customWidth="1"/>
    <col min="8" max="8" width="15.140625" style="24" bestFit="1" customWidth="1"/>
    <col min="9" max="9" width="15.140625" bestFit="1" customWidth="1"/>
    <col min="10" max="11" width="13.5703125" bestFit="1" customWidth="1"/>
    <col min="12" max="13" width="15.140625" style="24" bestFit="1" customWidth="1"/>
    <col min="14" max="14" width="15.140625" style="26" bestFit="1" customWidth="1"/>
    <col min="15" max="17" width="12.5703125" style="24" bestFit="1" customWidth="1"/>
    <col min="18" max="18" width="15.140625" style="26" bestFit="1" customWidth="1"/>
    <col min="19" max="19" width="12.5703125" style="24" bestFit="1" customWidth="1"/>
    <col min="20" max="20" width="15.140625" style="26" bestFit="1" customWidth="1"/>
    <col min="21" max="21" width="12.5703125" style="24" bestFit="1" customWidth="1"/>
    <col min="22" max="22" width="13.5703125" style="26" bestFit="1" customWidth="1"/>
    <col min="23" max="23" width="12.5703125" style="24" bestFit="1" customWidth="1"/>
    <col min="24" max="24" width="13.5703125" style="26" bestFit="1" customWidth="1"/>
    <col min="25" max="25" width="12.5703125" style="24" bestFit="1" customWidth="1"/>
    <col min="26" max="26" width="13.5703125" style="26" bestFit="1" customWidth="1"/>
    <col min="27" max="27" width="12.5703125" style="24" bestFit="1" customWidth="1"/>
    <col min="28" max="28" width="12.5703125" style="26" bestFit="1" customWidth="1"/>
    <col min="29" max="29" width="12.5703125" style="24" bestFit="1" customWidth="1"/>
    <col min="30" max="30" width="13.5703125" style="26" bestFit="1" customWidth="1"/>
    <col min="31" max="31" width="12.5703125" style="24" bestFit="1" customWidth="1"/>
    <col min="32" max="32" width="13.5703125" style="26" bestFit="1" customWidth="1"/>
    <col min="33" max="33" width="12.5703125" style="24" bestFit="1" customWidth="1"/>
    <col min="34" max="34" width="13.5703125" style="26" bestFit="1" customWidth="1"/>
    <col min="35" max="35" width="12.5703125" style="24" bestFit="1" customWidth="1"/>
    <col min="36" max="36" width="13.5703125" style="26" bestFit="1" customWidth="1"/>
    <col min="37" max="37" width="12.5703125" style="24" bestFit="1" customWidth="1"/>
    <col min="38" max="38" width="13.5703125" style="26" bestFit="1" customWidth="1"/>
    <col min="39" max="39" width="12.5703125" style="24" bestFit="1" customWidth="1"/>
    <col min="40" max="40" width="13.5703125" style="26" bestFit="1" customWidth="1"/>
    <col min="41" max="41" width="12.5703125" style="24" bestFit="1" customWidth="1"/>
    <col min="42" max="42" width="12.5703125" style="26" bestFit="1" customWidth="1"/>
    <col min="43" max="43" width="12.5703125" style="24" bestFit="1" customWidth="1"/>
    <col min="44" max="44" width="12.5703125" style="26" bestFit="1" customWidth="1"/>
    <col min="45" max="45" width="12.5703125" style="24" bestFit="1" customWidth="1"/>
    <col min="46" max="46" width="12.5703125" style="26" bestFit="1" customWidth="1"/>
    <col min="47" max="47" width="12.5703125" style="24" bestFit="1" customWidth="1"/>
    <col min="48" max="48" width="13.5703125" style="26" bestFit="1" customWidth="1"/>
    <col min="49" max="49" width="12.5703125" style="24" bestFit="1" customWidth="1"/>
    <col min="50" max="50" width="12.5703125" style="26" bestFit="1" customWidth="1"/>
    <col min="51" max="51" width="12.5703125" style="24" bestFit="1" customWidth="1"/>
    <col min="52" max="52" width="15.140625" style="26" bestFit="1" customWidth="1"/>
    <col min="53" max="53" width="12.5703125" style="24" bestFit="1" customWidth="1"/>
    <col min="54" max="54" width="12.5703125" style="26" bestFit="1" customWidth="1"/>
    <col min="55" max="55" width="12.5703125" style="24" bestFit="1" customWidth="1"/>
    <col min="56" max="56" width="12.5703125" style="26" bestFit="1" customWidth="1"/>
    <col min="57" max="57" width="12.5703125" style="24" bestFit="1" customWidth="1"/>
    <col min="58" max="58" width="12.5703125" style="26" bestFit="1" customWidth="1"/>
    <col min="59" max="59" width="12.5703125" style="24" bestFit="1" customWidth="1"/>
    <col min="60" max="60" width="12.5703125" style="26" bestFit="1" customWidth="1"/>
    <col min="61" max="61" width="12.5703125" style="24" bestFit="1" customWidth="1"/>
    <col min="62" max="62" width="12.5703125" style="26" bestFit="1" customWidth="1"/>
    <col min="63" max="63" width="12.5703125" style="24" bestFit="1" customWidth="1"/>
    <col min="64" max="64" width="12.5703125" style="26" bestFit="1" customWidth="1"/>
    <col min="65" max="65" width="12.5703125" style="24" bestFit="1" customWidth="1"/>
    <col min="66" max="66" width="12.5703125" style="26" bestFit="1" customWidth="1"/>
    <col min="67" max="67" width="12.5703125" style="24" bestFit="1" customWidth="1"/>
    <col min="68" max="68" width="12.5703125" style="26" bestFit="1" customWidth="1"/>
    <col min="69" max="69" width="12.5703125" style="24" bestFit="1" customWidth="1"/>
    <col min="70" max="70" width="12.5703125" style="26" bestFit="1" customWidth="1"/>
    <col min="71" max="71" width="12.5703125" style="24" bestFit="1" customWidth="1"/>
    <col min="72" max="72" width="12.5703125" style="26" bestFit="1" customWidth="1"/>
    <col min="73" max="73" width="12.5703125" style="24" bestFit="1" customWidth="1"/>
    <col min="74" max="74" width="12.5703125" style="26" bestFit="1" customWidth="1"/>
    <col min="75" max="75" width="12.5703125" style="24" bestFit="1" customWidth="1"/>
    <col min="76" max="76" width="12.5703125" style="26" bestFit="1" customWidth="1"/>
    <col min="77" max="77" width="12.5703125" style="24" bestFit="1" customWidth="1"/>
    <col min="78" max="78" width="12.5703125" style="26" bestFit="1" customWidth="1"/>
    <col min="79" max="79" width="12.5703125" style="24" bestFit="1" customWidth="1"/>
    <col min="80" max="80" width="12.5703125" style="26" bestFit="1" customWidth="1"/>
    <col min="81" max="81" width="12.5703125" style="24" bestFit="1" customWidth="1"/>
    <col min="82" max="82" width="12.5703125" style="26" bestFit="1" customWidth="1"/>
    <col min="83" max="83" width="12.5703125" style="24" bestFit="1" customWidth="1"/>
    <col min="84" max="84" width="12.5703125" style="26" bestFit="1" customWidth="1"/>
    <col min="85" max="85" width="12.5703125" style="24" bestFit="1" customWidth="1"/>
    <col min="86" max="86" width="12.5703125" style="26" bestFit="1" customWidth="1"/>
    <col min="87" max="87" width="12.5703125" style="24" bestFit="1" customWidth="1"/>
    <col min="88" max="88" width="12.5703125" style="26" bestFit="1" customWidth="1"/>
    <col min="89" max="89" width="12.5703125" style="24" bestFit="1" customWidth="1"/>
    <col min="90" max="90" width="12.5703125" style="26" bestFit="1" customWidth="1"/>
    <col min="91" max="91" width="12.5703125" style="24" bestFit="1" customWidth="1"/>
    <col min="92" max="92" width="12.5703125" style="26" bestFit="1" customWidth="1"/>
    <col min="93" max="93" width="12.5703125" style="24" bestFit="1" customWidth="1"/>
    <col min="94" max="94" width="12.5703125" style="26" bestFit="1" customWidth="1"/>
    <col min="95" max="95" width="12.5703125" style="24" bestFit="1" customWidth="1"/>
    <col min="96" max="96" width="12.5703125" style="26" bestFit="1" customWidth="1"/>
    <col min="97" max="97" width="12.5703125" style="24" bestFit="1" customWidth="1"/>
    <col min="98" max="98" width="12.5703125" style="26" bestFit="1" customWidth="1"/>
    <col min="99" max="99" width="12.5703125" style="24" bestFit="1" customWidth="1"/>
    <col min="100" max="100" width="12.5703125" style="26" bestFit="1" customWidth="1"/>
    <col min="101" max="101" width="12.5703125" style="24" bestFit="1" customWidth="1"/>
    <col min="102" max="102" width="12.5703125" style="26" bestFit="1" customWidth="1"/>
    <col min="103" max="103" width="12.5703125" style="24" bestFit="1" customWidth="1"/>
    <col min="104" max="104" width="12.5703125" style="26" bestFit="1" customWidth="1"/>
    <col min="105" max="105" width="12.5703125" style="24" bestFit="1" customWidth="1"/>
    <col min="106" max="106" width="12.5703125" style="26" bestFit="1" customWidth="1"/>
    <col min="107" max="107" width="12.5703125" style="24" bestFit="1" customWidth="1"/>
    <col min="108" max="108" width="12.5703125" style="26" bestFit="1" customWidth="1"/>
    <col min="109" max="109" width="12.5703125" style="24" bestFit="1" customWidth="1"/>
    <col min="110" max="110" width="12.5703125" style="26" bestFit="1" customWidth="1"/>
    <col min="111" max="111" width="12.5703125" style="24" bestFit="1" customWidth="1"/>
    <col min="112" max="112" width="12.5703125" style="26" bestFit="1" customWidth="1"/>
    <col min="113" max="113" width="12.5703125" style="24" bestFit="1" customWidth="1"/>
    <col min="114" max="114" width="12.5703125" style="26" bestFit="1" customWidth="1"/>
    <col min="115" max="115" width="12.5703125" style="24" bestFit="1" customWidth="1"/>
    <col min="116" max="116" width="12.5703125" style="26" bestFit="1" customWidth="1"/>
    <col min="117" max="117" width="12.5703125" style="24" bestFit="1" customWidth="1"/>
    <col min="118" max="118" width="12.5703125" style="26" bestFit="1" customWidth="1"/>
    <col min="119" max="119" width="12.5703125" style="24" bestFit="1" customWidth="1"/>
    <col min="120" max="120" width="12.5703125" style="26" bestFit="1" customWidth="1"/>
    <col min="121" max="121" width="12.5703125" style="24" bestFit="1" customWidth="1"/>
    <col min="122" max="122" width="12.5703125" style="26" bestFit="1" customWidth="1"/>
    <col min="123" max="123" width="12.5703125" style="24" bestFit="1" customWidth="1"/>
    <col min="124" max="124" width="12.5703125" style="26" bestFit="1" customWidth="1"/>
    <col min="125" max="125" width="12.5703125" style="24" bestFit="1" customWidth="1"/>
    <col min="126" max="126" width="12.5703125" style="26" bestFit="1" customWidth="1"/>
    <col min="127" max="127" width="12.5703125" style="24" bestFit="1" customWidth="1"/>
    <col min="128" max="128" width="12.5703125" style="26" bestFit="1" customWidth="1"/>
    <col min="129" max="129" width="12.5703125" style="24" bestFit="1" customWidth="1"/>
    <col min="130" max="130" width="12.5703125" style="26" bestFit="1" customWidth="1"/>
    <col min="131" max="131" width="12.5703125" style="24" bestFit="1" customWidth="1"/>
    <col min="132" max="132" width="12.5703125" style="26" bestFit="1" customWidth="1"/>
    <col min="133" max="133" width="12.5703125" style="24" bestFit="1" customWidth="1"/>
    <col min="134" max="134" width="12.5703125" style="26" bestFit="1" customWidth="1"/>
    <col min="135" max="135" width="12.5703125" style="24" bestFit="1" customWidth="1"/>
    <col min="136" max="136" width="12.5703125" style="26" bestFit="1" customWidth="1"/>
    <col min="137" max="137" width="12.5703125" style="24" bestFit="1" customWidth="1"/>
    <col min="138" max="138" width="12.5703125" style="26" bestFit="1" customWidth="1"/>
    <col min="139" max="139" width="12.5703125" style="24" bestFit="1" customWidth="1"/>
    <col min="140" max="140" width="12.5703125" style="26" bestFit="1" customWidth="1"/>
    <col min="141" max="141" width="12.5703125" style="24" bestFit="1" customWidth="1"/>
    <col min="142" max="142" width="12.5703125" style="26" bestFit="1" customWidth="1"/>
    <col min="143" max="143" width="12.5703125" style="24" bestFit="1" customWidth="1"/>
    <col min="144" max="144" width="12.5703125" style="26" bestFit="1" customWidth="1"/>
    <col min="145" max="145" width="12.5703125" style="24" bestFit="1" customWidth="1"/>
    <col min="146" max="146" width="12.5703125" style="26" bestFit="1" customWidth="1"/>
    <col min="147" max="147" width="12.5703125" style="24" bestFit="1" customWidth="1"/>
    <col min="148" max="148" width="12.5703125" style="26" bestFit="1" customWidth="1"/>
    <col min="149" max="149" width="12.5703125" style="24" bestFit="1" customWidth="1"/>
    <col min="150" max="150" width="12.5703125" style="26" bestFit="1" customWidth="1"/>
    <col min="151" max="151" width="12.5703125" style="24" bestFit="1" customWidth="1"/>
    <col min="152" max="16384" width="12.140625" style="26"/>
  </cols>
  <sheetData>
    <row r="1" spans="1:151" s="21" customFormat="1" ht="42.75" customHeight="1" x14ac:dyDescent="0.25">
      <c r="A1" s="20" t="s">
        <v>0</v>
      </c>
      <c r="B1" s="20" t="s">
        <v>1</v>
      </c>
      <c r="C1" s="20" t="s">
        <v>2</v>
      </c>
      <c r="D1" s="20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8" t="s">
        <v>8</v>
      </c>
      <c r="J1" s="28" t="s">
        <v>9</v>
      </c>
      <c r="K1" s="28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0" t="s">
        <v>16</v>
      </c>
      <c r="R1" s="21" t="s">
        <v>85</v>
      </c>
      <c r="S1" s="20" t="s">
        <v>86</v>
      </c>
      <c r="T1" s="21" t="s">
        <v>87</v>
      </c>
      <c r="U1" s="20" t="s">
        <v>88</v>
      </c>
      <c r="V1" s="21" t="s">
        <v>89</v>
      </c>
      <c r="W1" s="20" t="s">
        <v>90</v>
      </c>
      <c r="X1" s="21" t="s">
        <v>91</v>
      </c>
      <c r="Y1" s="20" t="s">
        <v>92</v>
      </c>
      <c r="Z1" s="21" t="s">
        <v>93</v>
      </c>
      <c r="AA1" s="20" t="s">
        <v>94</v>
      </c>
      <c r="AB1" s="21" t="s">
        <v>95</v>
      </c>
      <c r="AC1" s="20" t="s">
        <v>96</v>
      </c>
      <c r="AD1" s="21" t="s">
        <v>97</v>
      </c>
      <c r="AE1" s="20" t="s">
        <v>98</v>
      </c>
      <c r="AF1" s="21" t="s">
        <v>99</v>
      </c>
      <c r="AG1" s="20" t="s">
        <v>100</v>
      </c>
      <c r="AH1" s="21" t="s">
        <v>101</v>
      </c>
      <c r="AI1" s="20" t="s">
        <v>102</v>
      </c>
      <c r="AJ1" s="21" t="s">
        <v>103</v>
      </c>
      <c r="AK1" s="20" t="s">
        <v>104</v>
      </c>
      <c r="AL1" s="21" t="s">
        <v>105</v>
      </c>
      <c r="AM1" s="20" t="s">
        <v>106</v>
      </c>
      <c r="AN1" s="21" t="s">
        <v>107</v>
      </c>
      <c r="AO1" s="20" t="s">
        <v>108</v>
      </c>
      <c r="AP1" s="21" t="s">
        <v>109</v>
      </c>
      <c r="AQ1" s="20" t="s">
        <v>110</v>
      </c>
      <c r="AR1" s="21" t="s">
        <v>111</v>
      </c>
      <c r="AS1" s="20" t="s">
        <v>112</v>
      </c>
      <c r="AT1" s="21" t="s">
        <v>113</v>
      </c>
      <c r="AU1" s="20" t="s">
        <v>114</v>
      </c>
      <c r="AV1" s="21" t="s">
        <v>115</v>
      </c>
      <c r="AW1" s="20" t="s">
        <v>116</v>
      </c>
      <c r="AX1" s="21" t="s">
        <v>117</v>
      </c>
      <c r="AY1" s="20" t="s">
        <v>118</v>
      </c>
      <c r="AZ1" s="21" t="s">
        <v>119</v>
      </c>
      <c r="BA1" s="20" t="s">
        <v>120</v>
      </c>
      <c r="BB1" s="21" t="s">
        <v>121</v>
      </c>
      <c r="BC1" s="20" t="s">
        <v>122</v>
      </c>
      <c r="BD1" s="21" t="s">
        <v>123</v>
      </c>
      <c r="BE1" s="20" t="s">
        <v>124</v>
      </c>
      <c r="BF1" s="21" t="s">
        <v>125</v>
      </c>
      <c r="BG1" s="20" t="s">
        <v>126</v>
      </c>
      <c r="BH1" s="21" t="s">
        <v>127</v>
      </c>
      <c r="BI1" s="20" t="s">
        <v>128</v>
      </c>
      <c r="BJ1" s="21" t="s">
        <v>129</v>
      </c>
      <c r="BK1" s="20" t="s">
        <v>130</v>
      </c>
      <c r="BL1" s="21" t="s">
        <v>131</v>
      </c>
      <c r="BM1" s="20" t="s">
        <v>132</v>
      </c>
      <c r="BN1" s="21" t="s">
        <v>133</v>
      </c>
      <c r="BO1" s="20" t="s">
        <v>134</v>
      </c>
      <c r="BP1" s="21" t="s">
        <v>135</v>
      </c>
      <c r="BQ1" s="20" t="s">
        <v>136</v>
      </c>
      <c r="BR1" s="21" t="s">
        <v>137</v>
      </c>
      <c r="BS1" s="20" t="s">
        <v>138</v>
      </c>
      <c r="BT1" s="21" t="s">
        <v>139</v>
      </c>
      <c r="BU1" s="20" t="s">
        <v>140</v>
      </c>
      <c r="BV1" s="21" t="s">
        <v>141</v>
      </c>
      <c r="BW1" s="20" t="s">
        <v>142</v>
      </c>
      <c r="BX1" s="21" t="s">
        <v>143</v>
      </c>
      <c r="BY1" s="20" t="s">
        <v>144</v>
      </c>
      <c r="BZ1" s="21" t="s">
        <v>145</v>
      </c>
      <c r="CA1" s="20" t="s">
        <v>146</v>
      </c>
      <c r="CB1" s="21" t="s">
        <v>147</v>
      </c>
      <c r="CC1" s="20" t="s">
        <v>148</v>
      </c>
      <c r="CD1" s="21" t="s">
        <v>149</v>
      </c>
      <c r="CE1" s="20" t="s">
        <v>150</v>
      </c>
      <c r="CF1" s="21" t="s">
        <v>151</v>
      </c>
      <c r="CG1" s="20" t="s">
        <v>152</v>
      </c>
      <c r="CH1" s="21" t="s">
        <v>153</v>
      </c>
      <c r="CI1" s="20" t="s">
        <v>154</v>
      </c>
      <c r="CJ1" s="21" t="s">
        <v>155</v>
      </c>
      <c r="CK1" s="20" t="s">
        <v>156</v>
      </c>
      <c r="CL1" s="21" t="s">
        <v>157</v>
      </c>
      <c r="CM1" s="20" t="s">
        <v>158</v>
      </c>
      <c r="CN1" s="21" t="s">
        <v>159</v>
      </c>
      <c r="CO1" s="20" t="s">
        <v>160</v>
      </c>
      <c r="CP1" s="21" t="s">
        <v>161</v>
      </c>
      <c r="CQ1" s="20" t="s">
        <v>162</v>
      </c>
      <c r="CR1" s="21" t="s">
        <v>163</v>
      </c>
      <c r="CS1" s="20" t="s">
        <v>164</v>
      </c>
      <c r="CT1" s="21" t="s">
        <v>165</v>
      </c>
      <c r="CU1" s="20" t="s">
        <v>166</v>
      </c>
      <c r="CV1" s="21" t="s">
        <v>167</v>
      </c>
      <c r="CW1" s="20" t="s">
        <v>168</v>
      </c>
      <c r="CX1" s="21" t="s">
        <v>169</v>
      </c>
      <c r="CY1" s="20" t="s">
        <v>170</v>
      </c>
      <c r="CZ1" s="21" t="s">
        <v>171</v>
      </c>
      <c r="DA1" s="20" t="s">
        <v>172</v>
      </c>
      <c r="DB1" s="21" t="s">
        <v>173</v>
      </c>
      <c r="DC1" s="20" t="s">
        <v>174</v>
      </c>
      <c r="DD1" s="21" t="s">
        <v>175</v>
      </c>
      <c r="DE1" s="20" t="s">
        <v>176</v>
      </c>
      <c r="DF1" s="21" t="s">
        <v>177</v>
      </c>
      <c r="DG1" s="20" t="s">
        <v>178</v>
      </c>
      <c r="DH1" s="21" t="s">
        <v>179</v>
      </c>
      <c r="DI1" s="20" t="s">
        <v>180</v>
      </c>
      <c r="DJ1" s="21" t="s">
        <v>181</v>
      </c>
      <c r="DK1" s="20" t="s">
        <v>182</v>
      </c>
      <c r="DL1" s="21" t="s">
        <v>183</v>
      </c>
      <c r="DM1" s="20" t="s">
        <v>184</v>
      </c>
      <c r="DN1" s="21" t="s">
        <v>185</v>
      </c>
      <c r="DO1" s="20" t="s">
        <v>186</v>
      </c>
      <c r="DP1" s="21" t="s">
        <v>187</v>
      </c>
      <c r="DQ1" s="20" t="s">
        <v>188</v>
      </c>
      <c r="DR1" s="21" t="s">
        <v>189</v>
      </c>
      <c r="DS1" s="20" t="s">
        <v>190</v>
      </c>
      <c r="DT1" s="21" t="s">
        <v>191</v>
      </c>
      <c r="DU1" s="20" t="s">
        <v>192</v>
      </c>
      <c r="DV1" s="21" t="s">
        <v>193</v>
      </c>
      <c r="DW1" s="20" t="s">
        <v>194</v>
      </c>
      <c r="DX1" s="21" t="s">
        <v>195</v>
      </c>
      <c r="DY1" s="20" t="s">
        <v>196</v>
      </c>
      <c r="DZ1" s="21" t="s">
        <v>197</v>
      </c>
      <c r="EA1" s="20" t="s">
        <v>198</v>
      </c>
      <c r="EB1" s="21" t="s">
        <v>199</v>
      </c>
      <c r="EC1" s="20" t="s">
        <v>200</v>
      </c>
      <c r="ED1" s="21" t="s">
        <v>201</v>
      </c>
      <c r="EE1" s="20" t="s">
        <v>202</v>
      </c>
      <c r="EF1" s="21" t="s">
        <v>203</v>
      </c>
      <c r="EG1" s="20" t="s">
        <v>204</v>
      </c>
      <c r="EH1" s="21" t="s">
        <v>205</v>
      </c>
      <c r="EI1" s="20" t="s">
        <v>206</v>
      </c>
      <c r="EJ1" s="21" t="s">
        <v>207</v>
      </c>
      <c r="EK1" s="20" t="s">
        <v>208</v>
      </c>
      <c r="EL1" s="21" t="s">
        <v>209</v>
      </c>
      <c r="EM1" s="20" t="s">
        <v>210</v>
      </c>
      <c r="EN1" s="21" t="s">
        <v>211</v>
      </c>
      <c r="EO1" s="20" t="s">
        <v>212</v>
      </c>
      <c r="EP1" s="21" t="s">
        <v>213</v>
      </c>
      <c r="EQ1" s="20" t="s">
        <v>214</v>
      </c>
      <c r="ER1" s="21" t="s">
        <v>215</v>
      </c>
      <c r="ES1" s="20" t="s">
        <v>216</v>
      </c>
      <c r="ET1" s="21" t="s">
        <v>217</v>
      </c>
      <c r="EU1" s="20" t="s">
        <v>218</v>
      </c>
    </row>
    <row r="2" spans="1:151" s="19" customFormat="1" x14ac:dyDescent="0.25">
      <c r="A2" s="22" t="s">
        <v>17</v>
      </c>
      <c r="B2" s="23">
        <v>4</v>
      </c>
      <c r="C2" s="22" t="s">
        <v>18</v>
      </c>
      <c r="D2" s="22">
        <v>709340</v>
      </c>
      <c r="E2" s="19">
        <v>809</v>
      </c>
      <c r="F2" s="19">
        <v>460639</v>
      </c>
      <c r="G2" s="19">
        <v>41988</v>
      </c>
      <c r="H2" s="19">
        <v>502627</v>
      </c>
      <c r="I2" s="3">
        <f>+INT([1]Hoja1!L2*L2/[1]Hoja1!O2)</f>
        <v>35807467</v>
      </c>
      <c r="J2" s="19">
        <f>+INT(([1]Hoja1!M2/[1]Hoja1!O2)*M2)</f>
        <v>35117097</v>
      </c>
      <c r="K2" s="19">
        <f>+INT(([1]Hoja1!N2/[1]Hoja1!O2)*M2)</f>
        <v>34808105</v>
      </c>
      <c r="L2" s="19">
        <f>+M2+P2</f>
        <v>311982</v>
      </c>
      <c r="M2" s="19">
        <f>+N2+O2</f>
        <v>308992</v>
      </c>
      <c r="N2" s="22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306331</v>
      </c>
      <c r="O2" s="19">
        <v>2661</v>
      </c>
      <c r="P2" s="19">
        <v>2990</v>
      </c>
      <c r="Q2" s="22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9">
        <f>+Hoja2!R2+Hoja1!R2</f>
        <v>96042</v>
      </c>
      <c r="S2" s="22">
        <v>2</v>
      </c>
      <c r="T2" s="19">
        <f>+Hoja2!T2+Hoja1!T2</f>
        <v>97901</v>
      </c>
      <c r="U2" s="22">
        <v>2</v>
      </c>
      <c r="V2" s="19">
        <f>+Hoja2!V2+Hoja1!V2</f>
        <v>82328</v>
      </c>
      <c r="W2" s="22">
        <v>2</v>
      </c>
      <c r="X2" s="19">
        <f>+Hoja2!X2+Hoja1!X2</f>
        <v>25620</v>
      </c>
      <c r="Y2" s="22">
        <v>0</v>
      </c>
      <c r="Z2" s="19">
        <f>+Hoja2!Z2+Hoja1!Z2</f>
        <v>0</v>
      </c>
      <c r="AA2" s="22">
        <v>0</v>
      </c>
      <c r="AB2" s="19">
        <f>+Hoja2!AB2+Hoja1!AB2</f>
        <v>0</v>
      </c>
      <c r="AC2" s="22">
        <v>0</v>
      </c>
      <c r="AD2" s="19">
        <f>+Hoja2!AD2+Hoja1!AD2</f>
        <v>0</v>
      </c>
      <c r="AE2" s="22">
        <v>0</v>
      </c>
      <c r="AF2" s="19">
        <f>+Hoja2!AF2+Hoja1!AF2</f>
        <v>0</v>
      </c>
      <c r="AG2" s="22">
        <v>0</v>
      </c>
      <c r="AH2" s="19">
        <f>+Hoja2!AH2+Hoja1!AH2</f>
        <v>0</v>
      </c>
      <c r="AI2" s="22">
        <v>0</v>
      </c>
      <c r="AJ2" s="19">
        <f>+Hoja2!AJ2+Hoja1!AJ2</f>
        <v>0</v>
      </c>
      <c r="AK2" s="22">
        <v>0</v>
      </c>
      <c r="AL2" s="19">
        <f>+Hoja2!AL2+Hoja1!AL2</f>
        <v>0</v>
      </c>
      <c r="AM2" s="22">
        <v>0</v>
      </c>
      <c r="AN2" s="19">
        <f>+Hoja2!AN2+Hoja1!AN2</f>
        <v>0</v>
      </c>
      <c r="AO2" s="22">
        <v>0</v>
      </c>
      <c r="AP2" s="19">
        <f>+Hoja2!AP2+Hoja1!AP2</f>
        <v>0</v>
      </c>
      <c r="AQ2" s="22">
        <v>0</v>
      </c>
      <c r="AR2" s="19">
        <f>+Hoja2!AR2+Hoja1!AR2</f>
        <v>0</v>
      </c>
      <c r="AS2" s="22">
        <v>0</v>
      </c>
      <c r="AT2" s="19">
        <f>+Hoja2!AT2+Hoja1!AT2</f>
        <v>0</v>
      </c>
      <c r="AU2" s="22">
        <v>0</v>
      </c>
      <c r="AV2" s="19">
        <f>+Hoja2!AV2+Hoja1!AV2</f>
        <v>0</v>
      </c>
      <c r="AW2" s="22">
        <v>0</v>
      </c>
      <c r="AX2" s="19">
        <f>+Hoja2!AX2+Hoja1!AX2</f>
        <v>0</v>
      </c>
      <c r="AY2" s="22">
        <v>0</v>
      </c>
      <c r="AZ2" s="19">
        <f>+Hoja2!AZ2+Hoja1!AZ2</f>
        <v>0</v>
      </c>
      <c r="BA2" s="22">
        <v>0</v>
      </c>
      <c r="BB2" s="19">
        <f>+Hoja2!BB2+Hoja1!BB2</f>
        <v>0</v>
      </c>
      <c r="BC2" s="22">
        <v>0</v>
      </c>
      <c r="BD2" s="19">
        <f>+Hoja2!BD2+Hoja1!BD2</f>
        <v>2569</v>
      </c>
      <c r="BE2" s="22">
        <v>0</v>
      </c>
      <c r="BF2" s="19">
        <f>+Hoja2!BF2+Hoja1!BF2</f>
        <v>0</v>
      </c>
      <c r="BG2" s="22">
        <v>0</v>
      </c>
      <c r="BH2" s="19">
        <f>+Hoja2!BH2+Hoja1!BH2</f>
        <v>358</v>
      </c>
      <c r="BI2" s="22">
        <v>0</v>
      </c>
      <c r="BJ2" s="19">
        <f>+Hoja2!BJ2+Hoja1!BJ2</f>
        <v>369</v>
      </c>
      <c r="BK2" s="22">
        <v>0</v>
      </c>
      <c r="BL2" s="19">
        <f>+Hoja2!BL2+Hoja1!BL2</f>
        <v>0</v>
      </c>
      <c r="BM2" s="22">
        <v>0</v>
      </c>
      <c r="BN2" s="19">
        <f>+Hoja2!BN2+Hoja1!BN2</f>
        <v>0</v>
      </c>
      <c r="BO2" s="22">
        <v>0</v>
      </c>
      <c r="BP2" s="19">
        <f>+Hoja2!BP2+Hoja1!BP2</f>
        <v>316</v>
      </c>
      <c r="BQ2" s="22">
        <v>0</v>
      </c>
      <c r="BR2" s="19">
        <f>+Hoja2!BR2+Hoja1!BR2</f>
        <v>318</v>
      </c>
      <c r="BS2" s="22">
        <v>0</v>
      </c>
      <c r="BT2" s="19">
        <f>+Hoja2!BT2+Hoja1!BT2</f>
        <v>0</v>
      </c>
      <c r="BU2" s="22">
        <v>0</v>
      </c>
      <c r="BV2" s="19">
        <f>+Hoja2!BV2+Hoja1!BV2</f>
        <v>0</v>
      </c>
      <c r="BW2" s="22">
        <v>0</v>
      </c>
      <c r="BX2" s="19">
        <f>+Hoja2!BX2+Hoja1!BX2</f>
        <v>0</v>
      </c>
      <c r="BY2" s="22">
        <v>0</v>
      </c>
      <c r="BZ2" s="19">
        <f>+Hoja2!BZ2+Hoja1!BZ2</f>
        <v>0</v>
      </c>
      <c r="CA2" s="22">
        <v>0</v>
      </c>
      <c r="CB2" s="19">
        <f>+Hoja2!CB2+Hoja1!CB2</f>
        <v>0</v>
      </c>
      <c r="CC2" s="22">
        <v>0</v>
      </c>
      <c r="CD2" s="19">
        <f>+Hoja2!CD2+Hoja1!CD2</f>
        <v>510</v>
      </c>
      <c r="CE2" s="22">
        <v>0</v>
      </c>
      <c r="CF2" s="19">
        <f>+Hoja2!CF2+Hoja1!CF2</f>
        <v>0</v>
      </c>
      <c r="CG2" s="22">
        <v>0</v>
      </c>
      <c r="CH2" s="19">
        <f>+Hoja2!CH2+Hoja1!CH2</f>
        <v>0</v>
      </c>
      <c r="CI2" s="22">
        <v>0</v>
      </c>
      <c r="CJ2" s="19">
        <f>+Hoja2!CJ2+Hoja1!CJ2</f>
        <v>0</v>
      </c>
      <c r="CK2" s="22">
        <v>0</v>
      </c>
      <c r="CL2" s="19">
        <f>+Hoja2!CL2+Hoja1!CL2</f>
        <v>0</v>
      </c>
      <c r="CM2" s="22">
        <v>0</v>
      </c>
      <c r="CN2" s="19">
        <f>+Hoja2!CN2+Hoja1!CN2</f>
        <v>0</v>
      </c>
      <c r="CO2" s="22">
        <v>0</v>
      </c>
      <c r="CP2" s="19">
        <f>+Hoja2!CP2+Hoja1!CP2</f>
        <v>0</v>
      </c>
      <c r="CQ2" s="22">
        <v>0</v>
      </c>
      <c r="CR2" s="19">
        <f>+Hoja2!CR2+Hoja1!CR2</f>
        <v>0</v>
      </c>
      <c r="CS2" s="22">
        <v>0</v>
      </c>
      <c r="CT2" s="19">
        <f>+Hoja2!CT2+Hoja1!CT2</f>
        <v>0</v>
      </c>
      <c r="CU2" s="22">
        <v>0</v>
      </c>
      <c r="CV2" s="19">
        <f>+Hoja2!CV2+Hoja1!CV2</f>
        <v>0</v>
      </c>
      <c r="CW2" s="22">
        <v>0</v>
      </c>
      <c r="CX2" s="19">
        <f>+Hoja2!CX2+Hoja1!CX2</f>
        <v>0</v>
      </c>
      <c r="CY2" s="22">
        <v>0</v>
      </c>
      <c r="CZ2" s="19">
        <f>+Hoja2!CZ2+Hoja1!CZ2</f>
        <v>0</v>
      </c>
      <c r="DA2" s="22">
        <v>0</v>
      </c>
      <c r="DB2" s="19">
        <f>+Hoja2!DB2+Hoja1!DB2</f>
        <v>0</v>
      </c>
      <c r="DC2" s="22">
        <v>0</v>
      </c>
      <c r="DD2" s="19">
        <f>+Hoja2!DD2+Hoja1!DD2</f>
        <v>0</v>
      </c>
      <c r="DE2" s="22">
        <v>0</v>
      </c>
      <c r="DF2" s="19">
        <f>+Hoja2!DF2+Hoja1!DF2</f>
        <v>0</v>
      </c>
      <c r="DG2" s="22">
        <v>0</v>
      </c>
      <c r="DH2" s="19">
        <f>+Hoja2!DH2+Hoja1!DH2</f>
        <v>0</v>
      </c>
      <c r="DI2" s="22">
        <v>0</v>
      </c>
      <c r="DJ2" s="19">
        <f>+Hoja2!DJ2+Hoja1!DJ2</f>
        <v>0</v>
      </c>
      <c r="DK2" s="22">
        <v>0</v>
      </c>
      <c r="DL2" s="19">
        <f>+Hoja2!DL2+Hoja1!DL2</f>
        <v>0</v>
      </c>
      <c r="DM2" s="22">
        <v>0</v>
      </c>
      <c r="DN2" s="19">
        <f>+Hoja2!DN2+Hoja1!DN2</f>
        <v>0</v>
      </c>
      <c r="DO2" s="22">
        <v>0</v>
      </c>
      <c r="DP2" s="19">
        <f>+Hoja2!DP2+Hoja1!DP2</f>
        <v>0</v>
      </c>
      <c r="DQ2" s="24">
        <v>0</v>
      </c>
      <c r="DR2" s="19">
        <f>+Hoja2!DR2+Hoja1!DR2</f>
        <v>0</v>
      </c>
      <c r="DS2" s="24">
        <v>0</v>
      </c>
      <c r="DT2" s="19">
        <f>+Hoja2!DT2+Hoja1!DT2</f>
        <v>0</v>
      </c>
      <c r="DU2" s="24">
        <v>0</v>
      </c>
      <c r="DV2" s="19">
        <f>+Hoja2!DV2+Hoja1!DV2</f>
        <v>0</v>
      </c>
      <c r="DW2" s="24">
        <v>0</v>
      </c>
      <c r="DX2" s="19">
        <f>+Hoja2!DX2+Hoja1!DX2</f>
        <v>0</v>
      </c>
      <c r="DY2" s="24">
        <v>0</v>
      </c>
      <c r="DZ2" s="19">
        <f>+Hoja2!DZ2+Hoja1!DZ2</f>
        <v>0</v>
      </c>
      <c r="EA2" s="24">
        <v>0</v>
      </c>
      <c r="EB2" s="19">
        <f>+Hoja2!EB2+Hoja1!EB2</f>
        <v>0</v>
      </c>
      <c r="EC2" s="24">
        <v>0</v>
      </c>
      <c r="ED2" s="19">
        <f>+Hoja2!ED2+Hoja1!ED2</f>
        <v>0</v>
      </c>
      <c r="EE2" s="24">
        <v>0</v>
      </c>
      <c r="EF2" s="19">
        <f>+Hoja2!EF2+Hoja1!EF2</f>
        <v>0</v>
      </c>
      <c r="EG2" s="24">
        <v>0</v>
      </c>
      <c r="EH2" s="19">
        <f>+Hoja2!EH2+Hoja1!EH2</f>
        <v>0</v>
      </c>
      <c r="EI2" s="24">
        <v>0</v>
      </c>
      <c r="EJ2" s="19">
        <f>+Hoja2!EJ2+Hoja1!EJ2</f>
        <v>0</v>
      </c>
      <c r="EK2" s="24">
        <v>0</v>
      </c>
      <c r="EL2" s="19">
        <f>+Hoja2!EL2+Hoja1!EL2</f>
        <v>0</v>
      </c>
      <c r="EM2" s="24">
        <v>0</v>
      </c>
      <c r="EN2" s="19">
        <f>+Hoja2!EN2+Hoja1!EN2</f>
        <v>0</v>
      </c>
      <c r="EO2" s="24">
        <v>0</v>
      </c>
      <c r="EP2" s="19">
        <f>+Hoja2!EP2+Hoja1!EP2</f>
        <v>0</v>
      </c>
      <c r="EQ2" s="24">
        <v>0</v>
      </c>
      <c r="ER2" s="19">
        <f>+Hoja2!ER2+Hoja1!ER2</f>
        <v>0</v>
      </c>
      <c r="ES2" s="24">
        <v>0</v>
      </c>
      <c r="ET2" s="19">
        <f>+Hoja2!ET2+Hoja1!ET2</f>
        <v>0</v>
      </c>
      <c r="EU2" s="24">
        <v>0</v>
      </c>
    </row>
    <row r="3" spans="1:151" s="19" customFormat="1" x14ac:dyDescent="0.25">
      <c r="A3" s="22" t="s">
        <v>17</v>
      </c>
      <c r="B3" s="23">
        <v>11</v>
      </c>
      <c r="C3" s="22" t="s">
        <v>19</v>
      </c>
      <c r="D3" s="22">
        <v>1238714</v>
      </c>
      <c r="E3" s="19">
        <v>1520</v>
      </c>
      <c r="F3" s="19">
        <v>973238</v>
      </c>
      <c r="G3" s="19">
        <v>29057</v>
      </c>
      <c r="H3" s="19">
        <v>1002295</v>
      </c>
      <c r="I3" s="3">
        <v>3485</v>
      </c>
      <c r="J3" s="19">
        <f>+INT(([1]Hoja1!M3/[1]Hoja1!O3)*M3)</f>
        <v>42097083</v>
      </c>
      <c r="K3" s="19">
        <f>+INT(([1]Hoja1!N3/[1]Hoja1!O3)*M3)</f>
        <v>41467006</v>
      </c>
      <c r="L3" s="19">
        <f t="shared" ref="L3:L53" si="1">+M3+P3</f>
        <v>638193</v>
      </c>
      <c r="M3" s="19">
        <f t="shared" ref="M3:M53" si="2">+N3+O3</f>
        <v>630077</v>
      </c>
      <c r="N3" s="22">
        <f t="shared" si="0"/>
        <v>620856</v>
      </c>
      <c r="O3" s="19">
        <v>9221</v>
      </c>
      <c r="P3" s="19">
        <v>8116</v>
      </c>
      <c r="Q3" s="22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9">
        <f>+Hoja2!R3+Hoja1!R3</f>
        <v>203233</v>
      </c>
      <c r="S3" s="22">
        <v>3</v>
      </c>
      <c r="T3" s="19">
        <f>+Hoja2!T3+Hoja1!T3</f>
        <v>157702</v>
      </c>
      <c r="U3" s="22">
        <v>2</v>
      </c>
      <c r="V3" s="19">
        <f>+Hoja2!V3+Hoja1!V3</f>
        <v>133829</v>
      </c>
      <c r="W3" s="22">
        <v>2</v>
      </c>
      <c r="X3" s="19">
        <f>+Hoja2!X3+Hoja1!X3</f>
        <v>98218</v>
      </c>
      <c r="Y3" s="22">
        <v>1</v>
      </c>
      <c r="Z3" s="19">
        <f>+Hoja2!Z3+Hoja1!Z3</f>
        <v>0</v>
      </c>
      <c r="AA3" s="22">
        <v>0</v>
      </c>
      <c r="AB3" s="19">
        <f>+Hoja2!AB3+Hoja1!AB3</f>
        <v>0</v>
      </c>
      <c r="AC3" s="22">
        <v>1</v>
      </c>
      <c r="AD3" s="19">
        <f>+Hoja2!AD3+Hoja1!AD3</f>
        <v>0</v>
      </c>
      <c r="AE3" s="22">
        <v>0</v>
      </c>
      <c r="AF3" s="19">
        <f>+Hoja2!AF3+Hoja1!AF3</f>
        <v>0</v>
      </c>
      <c r="AG3" s="22">
        <v>0</v>
      </c>
      <c r="AH3" s="19">
        <f>+Hoja2!AH3+Hoja1!AH3</f>
        <v>0</v>
      </c>
      <c r="AI3" s="22">
        <v>0</v>
      </c>
      <c r="AJ3" s="19">
        <f>+Hoja2!AJ3+Hoja1!AJ3</f>
        <v>0</v>
      </c>
      <c r="AK3" s="22">
        <v>0</v>
      </c>
      <c r="AL3" s="19">
        <f>+Hoja2!AL3+Hoja1!AL3</f>
        <v>11881</v>
      </c>
      <c r="AM3" s="22">
        <v>0</v>
      </c>
      <c r="AN3" s="19">
        <f>+Hoja2!AN3+Hoja1!AN3</f>
        <v>0</v>
      </c>
      <c r="AO3" s="22">
        <v>0</v>
      </c>
      <c r="AP3" s="19">
        <f>+Hoja2!AP3+Hoja1!AP3</f>
        <v>0</v>
      </c>
      <c r="AQ3" s="22">
        <v>0</v>
      </c>
      <c r="AR3" s="19">
        <f>+Hoja2!AR3+Hoja1!AR3</f>
        <v>0</v>
      </c>
      <c r="AS3" s="22">
        <v>0</v>
      </c>
      <c r="AT3" s="19">
        <f>+Hoja2!AT3+Hoja1!AT3</f>
        <v>0</v>
      </c>
      <c r="AU3" s="22">
        <v>0</v>
      </c>
      <c r="AV3" s="19">
        <f>+Hoja2!AV3+Hoja1!AV3</f>
        <v>0</v>
      </c>
      <c r="AW3" s="22">
        <v>0</v>
      </c>
      <c r="AX3" s="19">
        <f>+Hoja2!AX3+Hoja1!AX3</f>
        <v>0</v>
      </c>
      <c r="AY3" s="22">
        <v>0</v>
      </c>
      <c r="AZ3" s="19">
        <f>+Hoja2!AZ3+Hoja1!AZ3</f>
        <v>0</v>
      </c>
      <c r="BA3" s="22">
        <v>0</v>
      </c>
      <c r="BB3" s="19">
        <f>+Hoja2!BB3+Hoja1!BB3</f>
        <v>0</v>
      </c>
      <c r="BC3" s="22">
        <v>0</v>
      </c>
      <c r="BD3" s="19">
        <f>+Hoja2!BD3+Hoja1!BD3</f>
        <v>8394</v>
      </c>
      <c r="BE3" s="22">
        <v>0</v>
      </c>
      <c r="BF3" s="19">
        <f>+Hoja2!BF3+Hoja1!BF3</f>
        <v>0</v>
      </c>
      <c r="BG3" s="22">
        <v>0</v>
      </c>
      <c r="BH3" s="19">
        <f>+Hoja2!BH3+Hoja1!BH3</f>
        <v>910</v>
      </c>
      <c r="BI3" s="22">
        <v>0</v>
      </c>
      <c r="BJ3" s="19">
        <f>+Hoja2!BJ3+Hoja1!BJ3</f>
        <v>703</v>
      </c>
      <c r="BK3" s="22">
        <v>0</v>
      </c>
      <c r="BL3" s="19">
        <f>+Hoja2!BL3+Hoja1!BL3</f>
        <v>0</v>
      </c>
      <c r="BM3" s="22">
        <v>0</v>
      </c>
      <c r="BN3" s="19">
        <f>+Hoja2!BN3+Hoja1!BN3</f>
        <v>0</v>
      </c>
      <c r="BO3" s="22">
        <v>0</v>
      </c>
      <c r="BP3" s="19">
        <f>+Hoja2!BP3+Hoja1!BP3</f>
        <v>3491</v>
      </c>
      <c r="BQ3" s="22">
        <v>0</v>
      </c>
      <c r="BR3" s="19">
        <f>+Hoja2!BR3+Hoja1!BR3</f>
        <v>670</v>
      </c>
      <c r="BS3" s="22">
        <v>0</v>
      </c>
      <c r="BT3" s="19">
        <f>+Hoja2!BT3+Hoja1!BT3</f>
        <v>0</v>
      </c>
      <c r="BU3" s="22">
        <v>0</v>
      </c>
      <c r="BV3" s="19">
        <f>+Hoja2!BV3+Hoja1!BV3</f>
        <v>0</v>
      </c>
      <c r="BW3" s="22">
        <v>0</v>
      </c>
      <c r="BX3" s="19">
        <f>+Hoja2!BX3+Hoja1!BX3</f>
        <v>0</v>
      </c>
      <c r="BY3" s="22">
        <v>0</v>
      </c>
      <c r="BZ3" s="19">
        <f>+Hoja2!BZ3+Hoja1!BZ3</f>
        <v>1825</v>
      </c>
      <c r="CA3" s="22">
        <v>0</v>
      </c>
      <c r="CB3" s="19">
        <f>+Hoja2!CB3+Hoja1!CB3</f>
        <v>0</v>
      </c>
      <c r="CC3" s="22">
        <v>0</v>
      </c>
      <c r="CD3" s="19">
        <f>+Hoja2!CD3+Hoja1!CD3</f>
        <v>0</v>
      </c>
      <c r="CE3" s="22">
        <v>0</v>
      </c>
      <c r="CF3" s="19">
        <f>+Hoja2!CF3+Hoja1!CF3</f>
        <v>0</v>
      </c>
      <c r="CG3" s="22">
        <v>0</v>
      </c>
      <c r="CH3" s="19">
        <f>+Hoja2!CH3+Hoja1!CH3</f>
        <v>0</v>
      </c>
      <c r="CI3" s="22">
        <v>0</v>
      </c>
      <c r="CJ3" s="19">
        <f>+Hoja2!CJ3+Hoja1!CJ3</f>
        <v>0</v>
      </c>
      <c r="CK3" s="22">
        <v>0</v>
      </c>
      <c r="CL3" s="19">
        <f>+Hoja2!CL3+Hoja1!CL3</f>
        <v>0</v>
      </c>
      <c r="CM3" s="22">
        <v>0</v>
      </c>
      <c r="CN3" s="19">
        <f>+Hoja2!CN3+Hoja1!CN3</f>
        <v>0</v>
      </c>
      <c r="CO3" s="22">
        <v>0</v>
      </c>
      <c r="CP3" s="19">
        <f>+Hoja2!CP3+Hoja1!CP3</f>
        <v>0</v>
      </c>
      <c r="CQ3" s="22">
        <v>0</v>
      </c>
      <c r="CR3" s="19">
        <f>+Hoja2!CR3+Hoja1!CR3</f>
        <v>0</v>
      </c>
      <c r="CS3" s="22">
        <v>0</v>
      </c>
      <c r="CT3" s="19">
        <f>+Hoja2!CT3+Hoja1!CT3</f>
        <v>0</v>
      </c>
      <c r="CU3" s="22">
        <v>0</v>
      </c>
      <c r="CV3" s="19">
        <f>+Hoja2!CV3+Hoja1!CV3</f>
        <v>0</v>
      </c>
      <c r="CW3" s="22">
        <v>0</v>
      </c>
      <c r="CX3" s="19">
        <f>+Hoja2!CX3+Hoja1!CX3</f>
        <v>0</v>
      </c>
      <c r="CY3" s="22">
        <v>0</v>
      </c>
      <c r="CZ3" s="19">
        <f>+Hoja2!CZ3+Hoja1!CZ3</f>
        <v>0</v>
      </c>
      <c r="DA3" s="22">
        <v>0</v>
      </c>
      <c r="DB3" s="19">
        <f>+Hoja2!DB3+Hoja1!DB3</f>
        <v>0</v>
      </c>
      <c r="DC3" s="22">
        <v>0</v>
      </c>
      <c r="DD3" s="19">
        <f>+Hoja2!DD3+Hoja1!DD3</f>
        <v>0</v>
      </c>
      <c r="DE3" s="22">
        <v>0</v>
      </c>
      <c r="DF3" s="19">
        <f>+Hoja2!DF3+Hoja1!DF3</f>
        <v>0</v>
      </c>
      <c r="DG3" s="22">
        <v>0</v>
      </c>
      <c r="DH3" s="19">
        <f>+Hoja2!DH3+Hoja1!DH3</f>
        <v>0</v>
      </c>
      <c r="DI3" s="22">
        <v>0</v>
      </c>
      <c r="DJ3" s="19">
        <f>+Hoja2!DJ3+Hoja1!DJ3</f>
        <v>0</v>
      </c>
      <c r="DK3" s="22">
        <v>0</v>
      </c>
      <c r="DL3" s="19">
        <f>+Hoja2!DL3+Hoja1!DL3</f>
        <v>0</v>
      </c>
      <c r="DM3" s="22">
        <v>0</v>
      </c>
      <c r="DN3" s="19">
        <f>+Hoja2!DN3+Hoja1!DN3</f>
        <v>0</v>
      </c>
      <c r="DO3" s="22">
        <v>0</v>
      </c>
      <c r="DP3" s="19">
        <f>+Hoja2!DP3+Hoja1!DP3</f>
        <v>0</v>
      </c>
      <c r="DQ3" s="24">
        <v>0</v>
      </c>
      <c r="DR3" s="19">
        <f>+Hoja2!DR3+Hoja1!DR3</f>
        <v>0</v>
      </c>
      <c r="DS3" s="24">
        <v>0</v>
      </c>
      <c r="DT3" s="19">
        <f>+Hoja2!DT3+Hoja1!DT3</f>
        <v>0</v>
      </c>
      <c r="DU3" s="24">
        <v>0</v>
      </c>
      <c r="DV3" s="19">
        <f>+Hoja2!DV3+Hoja1!DV3</f>
        <v>0</v>
      </c>
      <c r="DW3" s="24">
        <v>0</v>
      </c>
      <c r="DX3" s="19">
        <f>+Hoja2!DX3+Hoja1!DX3</f>
        <v>0</v>
      </c>
      <c r="DY3" s="24">
        <v>0</v>
      </c>
      <c r="DZ3" s="19">
        <f>+Hoja2!DZ3+Hoja1!DZ3</f>
        <v>0</v>
      </c>
      <c r="EA3" s="24">
        <v>0</v>
      </c>
      <c r="EB3" s="19">
        <f>+Hoja2!EB3+Hoja1!EB3</f>
        <v>0</v>
      </c>
      <c r="EC3" s="24">
        <v>0</v>
      </c>
      <c r="ED3" s="19">
        <f>+Hoja2!ED3+Hoja1!ED3</f>
        <v>0</v>
      </c>
      <c r="EE3" s="24">
        <v>0</v>
      </c>
      <c r="EF3" s="19">
        <f>+Hoja2!EF3+Hoja1!EF3</f>
        <v>0</v>
      </c>
      <c r="EG3" s="24">
        <v>0</v>
      </c>
      <c r="EH3" s="19">
        <f>+Hoja2!EH3+Hoja1!EH3</f>
        <v>0</v>
      </c>
      <c r="EI3" s="24">
        <v>0</v>
      </c>
      <c r="EJ3" s="19">
        <f>+Hoja2!EJ3+Hoja1!EJ3</f>
        <v>0</v>
      </c>
      <c r="EK3" s="24">
        <v>0</v>
      </c>
      <c r="EL3" s="19">
        <f>+Hoja2!EL3+Hoja1!EL3</f>
        <v>0</v>
      </c>
      <c r="EM3" s="24">
        <v>0</v>
      </c>
      <c r="EN3" s="19">
        <f>+Hoja2!EN3+Hoja1!EN3</f>
        <v>0</v>
      </c>
      <c r="EO3" s="24">
        <v>0</v>
      </c>
      <c r="EP3" s="19">
        <f>+Hoja2!EP3+Hoja1!EP3</f>
        <v>0</v>
      </c>
      <c r="EQ3" s="24">
        <v>0</v>
      </c>
      <c r="ER3" s="19">
        <f>+Hoja2!ER3+Hoja1!ER3</f>
        <v>0</v>
      </c>
      <c r="ES3" s="24">
        <v>0</v>
      </c>
      <c r="ET3" s="19">
        <f>+Hoja2!ET3+Hoja1!ET3</f>
        <v>0</v>
      </c>
      <c r="EU3" s="24">
        <v>0</v>
      </c>
    </row>
    <row r="4" spans="1:151" x14ac:dyDescent="0.25">
      <c r="A4" s="24" t="s">
        <v>17</v>
      </c>
      <c r="B4" s="25">
        <v>14</v>
      </c>
      <c r="C4" s="24" t="s">
        <v>20</v>
      </c>
      <c r="D4" s="24">
        <v>785240</v>
      </c>
      <c r="E4" s="26">
        <v>935</v>
      </c>
      <c r="F4" s="26">
        <v>630033</v>
      </c>
      <c r="G4" s="26">
        <v>18308</v>
      </c>
      <c r="H4" s="26">
        <v>648341</v>
      </c>
      <c r="I4" s="1">
        <v>2358</v>
      </c>
      <c r="J4" s="19">
        <f>+INT(([1]Hoja1!M4/[1]Hoja1!O4)*M4)</f>
        <v>37411197</v>
      </c>
      <c r="K4" s="19">
        <f>+INT(([1]Hoja1!N4/[1]Hoja1!O4)*M4)</f>
        <v>36956160</v>
      </c>
      <c r="L4" s="19">
        <f t="shared" si="1"/>
        <v>462436</v>
      </c>
      <c r="M4" s="19">
        <f t="shared" si="2"/>
        <v>455037</v>
      </c>
      <c r="N4" s="22">
        <f t="shared" si="0"/>
        <v>449632</v>
      </c>
      <c r="O4" s="26">
        <v>5405</v>
      </c>
      <c r="P4" s="26">
        <v>7399</v>
      </c>
      <c r="Q4" s="22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9">
        <f>+Hoja2!R4+Hoja1!R4</f>
        <v>157721</v>
      </c>
      <c r="S4" s="24">
        <v>2</v>
      </c>
      <c r="T4" s="19">
        <f>+Hoja2!T4+Hoja1!T4</f>
        <v>130981</v>
      </c>
      <c r="U4" s="24">
        <v>2</v>
      </c>
      <c r="V4" s="19">
        <f>+Hoja2!V4+Hoja1!V4</f>
        <v>84184</v>
      </c>
      <c r="W4" s="24">
        <v>1</v>
      </c>
      <c r="X4" s="19">
        <f>+Hoja2!X4+Hoja1!X4</f>
        <v>68007</v>
      </c>
      <c r="Y4" s="24">
        <v>1</v>
      </c>
      <c r="Z4" s="19">
        <f>+Hoja2!Z4+Hoja1!Z4</f>
        <v>0</v>
      </c>
      <c r="AA4" s="24">
        <v>0</v>
      </c>
      <c r="AB4" s="19">
        <f>+Hoja2!AB4+Hoja1!AB4</f>
        <v>0</v>
      </c>
      <c r="AC4" s="24">
        <v>0</v>
      </c>
      <c r="AD4" s="19">
        <f>+Hoja2!AD4+Hoja1!AD4</f>
        <v>0</v>
      </c>
      <c r="AE4" s="24">
        <v>0</v>
      </c>
      <c r="AF4" s="19">
        <f>+Hoja2!AF4+Hoja1!AF4</f>
        <v>0</v>
      </c>
      <c r="AG4" s="24">
        <v>0</v>
      </c>
      <c r="AH4" s="19">
        <f>+Hoja2!AH4+Hoja1!AH4</f>
        <v>0</v>
      </c>
      <c r="AI4" s="24">
        <v>0</v>
      </c>
      <c r="AJ4" s="19">
        <f>+Hoja2!AJ4+Hoja1!AJ4</f>
        <v>0</v>
      </c>
      <c r="AK4" s="24">
        <v>0</v>
      </c>
      <c r="AL4" s="19">
        <f>+Hoja2!AL4+Hoja1!AL4</f>
        <v>0</v>
      </c>
      <c r="AM4" s="24">
        <v>0</v>
      </c>
      <c r="AN4" s="19">
        <f>+Hoja2!AN4+Hoja1!AN4</f>
        <v>0</v>
      </c>
      <c r="AO4" s="24">
        <v>0</v>
      </c>
      <c r="AP4" s="19">
        <f>+Hoja2!AP4+Hoja1!AP4</f>
        <v>0</v>
      </c>
      <c r="AQ4" s="24">
        <v>0</v>
      </c>
      <c r="AR4" s="19">
        <f>+Hoja2!AR4+Hoja1!AR4</f>
        <v>0</v>
      </c>
      <c r="AS4" s="24">
        <v>0</v>
      </c>
      <c r="AT4" s="19">
        <f>+Hoja2!AT4+Hoja1!AT4</f>
        <v>0</v>
      </c>
      <c r="AU4" s="24">
        <v>0</v>
      </c>
      <c r="AV4" s="19">
        <f>+Hoja2!AV4+Hoja1!AV4</f>
        <v>0</v>
      </c>
      <c r="AW4" s="24">
        <v>0</v>
      </c>
      <c r="AX4" s="19">
        <f>+Hoja2!AX4+Hoja1!AX4</f>
        <v>0</v>
      </c>
      <c r="AY4" s="24">
        <v>0</v>
      </c>
      <c r="AZ4" s="19">
        <f>+Hoja2!AZ4+Hoja1!AZ4</f>
        <v>0</v>
      </c>
      <c r="BA4" s="24">
        <v>0</v>
      </c>
      <c r="BB4" s="19">
        <f>+Hoja2!BB4+Hoja1!BB4</f>
        <v>0</v>
      </c>
      <c r="BC4" s="24">
        <v>0</v>
      </c>
      <c r="BD4" s="19">
        <f>+Hoja2!BD4+Hoja1!BD4</f>
        <v>3926</v>
      </c>
      <c r="BE4" s="24">
        <v>0</v>
      </c>
      <c r="BF4" s="19">
        <f>+Hoja2!BF4+Hoja1!BF4</f>
        <v>0</v>
      </c>
      <c r="BG4" s="24">
        <v>0</v>
      </c>
      <c r="BH4" s="19">
        <f>+Hoja2!BH4+Hoja1!BH4</f>
        <v>546</v>
      </c>
      <c r="BI4" s="24">
        <v>0</v>
      </c>
      <c r="BJ4" s="19">
        <f>+Hoja2!BJ4+Hoja1!BJ4</f>
        <v>475</v>
      </c>
      <c r="BK4" s="24">
        <v>0</v>
      </c>
      <c r="BL4" s="19">
        <f>+Hoja2!BL4+Hoja1!BL4</f>
        <v>0</v>
      </c>
      <c r="BM4" s="24">
        <v>0</v>
      </c>
      <c r="BN4" s="19">
        <f>+Hoja2!BN4+Hoja1!BN4</f>
        <v>0</v>
      </c>
      <c r="BO4" s="24">
        <v>0</v>
      </c>
      <c r="BP4" s="19">
        <f>+Hoja2!BP4+Hoja1!BP4</f>
        <v>1013</v>
      </c>
      <c r="BQ4" s="24">
        <v>0</v>
      </c>
      <c r="BR4" s="19">
        <f>+Hoja2!BR4+Hoja1!BR4</f>
        <v>571</v>
      </c>
      <c r="BS4" s="24">
        <v>0</v>
      </c>
      <c r="BT4" s="19">
        <f>+Hoja2!BT4+Hoja1!BT4</f>
        <v>337</v>
      </c>
      <c r="BU4" s="24">
        <v>0</v>
      </c>
      <c r="BV4" s="19">
        <f>+Hoja2!BV4+Hoja1!BV4</f>
        <v>0</v>
      </c>
      <c r="BW4" s="24">
        <v>0</v>
      </c>
      <c r="BX4" s="19">
        <f>+Hoja2!BX4+Hoja1!BX4</f>
        <v>0</v>
      </c>
      <c r="BY4" s="24">
        <v>0</v>
      </c>
      <c r="BZ4" s="19">
        <f>+Hoja2!BZ4+Hoja1!BZ4</f>
        <v>1115</v>
      </c>
      <c r="CA4" s="24">
        <v>0</v>
      </c>
      <c r="CB4" s="19">
        <f>+Hoja2!CB4+Hoja1!CB4</f>
        <v>0</v>
      </c>
      <c r="CC4" s="24">
        <v>0</v>
      </c>
      <c r="CD4" s="19">
        <f>+Hoja2!CD4+Hoja1!CD4</f>
        <v>756</v>
      </c>
      <c r="CE4" s="24">
        <v>0</v>
      </c>
      <c r="CF4" s="19">
        <f>+Hoja2!CF4+Hoja1!CF4</f>
        <v>0</v>
      </c>
      <c r="CG4" s="24">
        <v>0</v>
      </c>
      <c r="CH4" s="19">
        <f>+Hoja2!CH4+Hoja1!CH4</f>
        <v>0</v>
      </c>
      <c r="CI4" s="24">
        <v>0</v>
      </c>
      <c r="CJ4" s="19">
        <f>+Hoja2!CJ4+Hoja1!CJ4</f>
        <v>0</v>
      </c>
      <c r="CK4" s="24">
        <v>0</v>
      </c>
      <c r="CL4" s="19">
        <f>+Hoja2!CL4+Hoja1!CL4</f>
        <v>0</v>
      </c>
      <c r="CM4" s="24">
        <v>0</v>
      </c>
      <c r="CN4" s="19">
        <f>+Hoja2!CN4+Hoja1!CN4</f>
        <v>0</v>
      </c>
      <c r="CO4" s="24">
        <v>0</v>
      </c>
      <c r="CP4" s="19">
        <f>+Hoja2!CP4+Hoja1!CP4</f>
        <v>0</v>
      </c>
      <c r="CQ4" s="24">
        <v>0</v>
      </c>
      <c r="CR4" s="19">
        <f>+Hoja2!CR4+Hoja1!CR4</f>
        <v>0</v>
      </c>
      <c r="CS4" s="24">
        <v>0</v>
      </c>
      <c r="CT4" s="19">
        <f>+Hoja2!CT4+Hoja1!CT4</f>
        <v>0</v>
      </c>
      <c r="CU4" s="24">
        <v>0</v>
      </c>
      <c r="CV4" s="19">
        <f>+Hoja2!CV4+Hoja1!CV4</f>
        <v>0</v>
      </c>
      <c r="CW4" s="24">
        <v>0</v>
      </c>
      <c r="CX4" s="19">
        <f>+Hoja2!CX4+Hoja1!CX4</f>
        <v>0</v>
      </c>
      <c r="CY4" s="24">
        <v>0</v>
      </c>
      <c r="CZ4" s="19">
        <f>+Hoja2!CZ4+Hoja1!CZ4</f>
        <v>0</v>
      </c>
      <c r="DA4" s="24">
        <v>0</v>
      </c>
      <c r="DB4" s="19">
        <f>+Hoja2!DB4+Hoja1!DB4</f>
        <v>0</v>
      </c>
      <c r="DC4" s="24">
        <v>0</v>
      </c>
      <c r="DD4" s="19">
        <f>+Hoja2!DD4+Hoja1!DD4</f>
        <v>0</v>
      </c>
      <c r="DE4" s="24">
        <v>0</v>
      </c>
      <c r="DF4" s="19">
        <f>+Hoja2!DF4+Hoja1!DF4</f>
        <v>0</v>
      </c>
      <c r="DG4" s="24">
        <v>0</v>
      </c>
      <c r="DH4" s="19">
        <f>+Hoja2!DH4+Hoja1!DH4</f>
        <v>0</v>
      </c>
      <c r="DI4" s="24">
        <v>0</v>
      </c>
      <c r="DJ4" s="19">
        <f>+Hoja2!DJ4+Hoja1!DJ4</f>
        <v>0</v>
      </c>
      <c r="DK4" s="24">
        <v>0</v>
      </c>
      <c r="DL4" s="19">
        <f>+Hoja2!DL4+Hoja1!DL4</f>
        <v>0</v>
      </c>
      <c r="DM4" s="24">
        <v>0</v>
      </c>
      <c r="DN4" s="19">
        <f>+Hoja2!DN4+Hoja1!DN4</f>
        <v>0</v>
      </c>
      <c r="DO4" s="24">
        <v>0</v>
      </c>
      <c r="DP4" s="19">
        <f>+Hoja2!DP4+Hoja1!DP4</f>
        <v>0</v>
      </c>
      <c r="DQ4" s="24">
        <v>0</v>
      </c>
      <c r="DR4" s="19">
        <f>+Hoja2!DR4+Hoja1!DR4</f>
        <v>0</v>
      </c>
      <c r="DS4" s="24">
        <v>0</v>
      </c>
      <c r="DT4" s="19">
        <f>+Hoja2!DT4+Hoja1!DT4</f>
        <v>0</v>
      </c>
      <c r="DU4" s="24">
        <v>0</v>
      </c>
      <c r="DV4" s="19">
        <f>+Hoja2!DV4+Hoja1!DV4</f>
        <v>0</v>
      </c>
      <c r="DW4" s="24">
        <v>0</v>
      </c>
      <c r="DX4" s="19">
        <f>+Hoja2!DX4+Hoja1!DX4</f>
        <v>0</v>
      </c>
      <c r="DY4" s="24">
        <v>0</v>
      </c>
      <c r="DZ4" s="19">
        <f>+Hoja2!DZ4+Hoja1!DZ4</f>
        <v>0</v>
      </c>
      <c r="EA4" s="24">
        <v>0</v>
      </c>
      <c r="EB4" s="19">
        <f>+Hoja2!EB4+Hoja1!EB4</f>
        <v>0</v>
      </c>
      <c r="EC4" s="24">
        <v>0</v>
      </c>
      <c r="ED4" s="19">
        <f>+Hoja2!ED4+Hoja1!ED4</f>
        <v>0</v>
      </c>
      <c r="EE4" s="24">
        <v>0</v>
      </c>
      <c r="EF4" s="19">
        <f>+Hoja2!EF4+Hoja1!EF4</f>
        <v>0</v>
      </c>
      <c r="EG4" s="24">
        <v>0</v>
      </c>
      <c r="EH4" s="19">
        <f>+Hoja2!EH4+Hoja1!EH4</f>
        <v>0</v>
      </c>
      <c r="EI4" s="24">
        <v>0</v>
      </c>
      <c r="EJ4" s="19">
        <f>+Hoja2!EJ4+Hoja1!EJ4</f>
        <v>0</v>
      </c>
      <c r="EK4" s="24">
        <v>0</v>
      </c>
      <c r="EL4" s="19">
        <f>+Hoja2!EL4+Hoja1!EL4</f>
        <v>0</v>
      </c>
      <c r="EM4" s="24">
        <v>0</v>
      </c>
      <c r="EN4" s="19">
        <f>+Hoja2!EN4+Hoja1!EN4</f>
        <v>0</v>
      </c>
      <c r="EO4" s="24">
        <v>0</v>
      </c>
      <c r="EP4" s="19">
        <f>+Hoja2!EP4+Hoja1!EP4</f>
        <v>0</v>
      </c>
      <c r="EQ4" s="24">
        <v>0</v>
      </c>
      <c r="ER4" s="19">
        <f>+Hoja2!ER4+Hoja1!ER4</f>
        <v>0</v>
      </c>
      <c r="ES4" s="24">
        <v>0</v>
      </c>
      <c r="ET4" s="19">
        <f>+Hoja2!ET4+Hoja1!ET4</f>
        <v>0</v>
      </c>
      <c r="EU4" s="24">
        <v>0</v>
      </c>
    </row>
    <row r="5" spans="1:151" x14ac:dyDescent="0.25">
      <c r="A5" s="24" t="s">
        <v>17</v>
      </c>
      <c r="B5" s="25">
        <v>18</v>
      </c>
      <c r="C5" s="24" t="s">
        <v>21</v>
      </c>
      <c r="D5" s="24">
        <v>912075</v>
      </c>
      <c r="E5" s="26">
        <v>1100</v>
      </c>
      <c r="F5" s="26">
        <v>704847</v>
      </c>
      <c r="G5" s="26">
        <v>50160</v>
      </c>
      <c r="H5" s="26">
        <v>755007</v>
      </c>
      <c r="I5" s="1">
        <v>4827</v>
      </c>
      <c r="J5" s="19">
        <f>+INT(([1]Hoja1!M5/[1]Hoja1!O5)*M5)</f>
        <v>52725266</v>
      </c>
      <c r="K5" s="19">
        <f>+INT(([1]Hoja1!N5/[1]Hoja1!O5)*M5)</f>
        <v>52230754</v>
      </c>
      <c r="L5" s="19">
        <f t="shared" si="1"/>
        <v>502635</v>
      </c>
      <c r="M5" s="19">
        <f t="shared" si="2"/>
        <v>494512</v>
      </c>
      <c r="N5" s="22">
        <f t="shared" si="0"/>
        <v>489984</v>
      </c>
      <c r="O5" s="26">
        <v>4528</v>
      </c>
      <c r="P5" s="26">
        <v>8123</v>
      </c>
      <c r="Q5" s="22">
        <f t="shared" si="3"/>
        <v>7</v>
      </c>
      <c r="R5" s="19">
        <f>+Hoja2!R5+Hoja1!R5</f>
        <v>171976</v>
      </c>
      <c r="S5" s="24">
        <v>3</v>
      </c>
      <c r="T5" s="19">
        <f>+Hoja2!T5+Hoja1!T5</f>
        <v>137512</v>
      </c>
      <c r="U5" s="24">
        <v>2</v>
      </c>
      <c r="V5" s="19">
        <f>+Hoja2!V5+Hoja1!V5</f>
        <v>101926</v>
      </c>
      <c r="W5" s="24">
        <v>1</v>
      </c>
      <c r="X5" s="19">
        <f>+Hoja2!X5+Hoja1!X5</f>
        <v>62297</v>
      </c>
      <c r="Y5" s="24">
        <v>1</v>
      </c>
      <c r="Z5" s="19">
        <f>+Hoja2!Z5+Hoja1!Z5</f>
        <v>0</v>
      </c>
      <c r="AA5" s="24">
        <v>0</v>
      </c>
      <c r="AB5" s="19">
        <f>+Hoja2!AB5+Hoja1!AB5</f>
        <v>0</v>
      </c>
      <c r="AC5" s="24">
        <v>0</v>
      </c>
      <c r="AD5" s="19">
        <f>+Hoja2!AD5+Hoja1!AD5</f>
        <v>0</v>
      </c>
      <c r="AE5" s="24">
        <v>0</v>
      </c>
      <c r="AF5" s="19">
        <f>+Hoja2!AF5+Hoja1!AF5</f>
        <v>0</v>
      </c>
      <c r="AG5" s="24">
        <v>0</v>
      </c>
      <c r="AH5" s="19">
        <f>+Hoja2!AH5+Hoja1!AH5</f>
        <v>0</v>
      </c>
      <c r="AI5" s="24">
        <v>0</v>
      </c>
      <c r="AJ5" s="19">
        <f>+Hoja2!AJ5+Hoja1!AJ5</f>
        <v>0</v>
      </c>
      <c r="AK5" s="24">
        <v>0</v>
      </c>
      <c r="AL5" s="19">
        <f>+Hoja2!AL5+Hoja1!AL5</f>
        <v>9060</v>
      </c>
      <c r="AM5" s="24">
        <v>0</v>
      </c>
      <c r="AN5" s="19">
        <f>+Hoja2!AN5+Hoja1!AN5</f>
        <v>0</v>
      </c>
      <c r="AO5" s="24">
        <v>0</v>
      </c>
      <c r="AP5" s="19">
        <f>+Hoja2!AP5+Hoja1!AP5</f>
        <v>0</v>
      </c>
      <c r="AQ5" s="24">
        <v>0</v>
      </c>
      <c r="AR5" s="19">
        <f>+Hoja2!AR5+Hoja1!AR5</f>
        <v>0</v>
      </c>
      <c r="AS5" s="24">
        <v>0</v>
      </c>
      <c r="AT5" s="19">
        <f>+Hoja2!AT5+Hoja1!AT5</f>
        <v>0</v>
      </c>
      <c r="AU5" s="24">
        <v>0</v>
      </c>
      <c r="AV5" s="19">
        <f>+Hoja2!AV5+Hoja1!AV5</f>
        <v>0</v>
      </c>
      <c r="AW5" s="24">
        <v>0</v>
      </c>
      <c r="AX5" s="19">
        <f>+Hoja2!AX5+Hoja1!AX5</f>
        <v>0</v>
      </c>
      <c r="AY5" s="24">
        <v>0</v>
      </c>
      <c r="AZ5" s="19">
        <f>+Hoja2!AZ5+Hoja1!AZ5</f>
        <v>0</v>
      </c>
      <c r="BA5" s="24">
        <v>0</v>
      </c>
      <c r="BB5" s="19">
        <f>+Hoja2!BB5+Hoja1!BB5</f>
        <v>0</v>
      </c>
      <c r="BC5" s="24">
        <v>0</v>
      </c>
      <c r="BD5" s="19">
        <f>+Hoja2!BD5+Hoja1!BD5</f>
        <v>4074</v>
      </c>
      <c r="BE5" s="24">
        <v>0</v>
      </c>
      <c r="BF5" s="19">
        <f>+Hoja2!BF5+Hoja1!BF5</f>
        <v>0</v>
      </c>
      <c r="BG5" s="24">
        <v>0</v>
      </c>
      <c r="BH5" s="19">
        <f>+Hoja2!BH5+Hoja1!BH5</f>
        <v>542</v>
      </c>
      <c r="BI5" s="24">
        <v>0</v>
      </c>
      <c r="BJ5" s="19">
        <f>+Hoja2!BJ5+Hoja1!BJ5</f>
        <v>620</v>
      </c>
      <c r="BK5" s="24">
        <v>0</v>
      </c>
      <c r="BL5" s="19">
        <f>+Hoja2!BL5+Hoja1!BL5</f>
        <v>0</v>
      </c>
      <c r="BM5" s="24">
        <v>0</v>
      </c>
      <c r="BN5" s="19">
        <f>+Hoja2!BN5+Hoja1!BN5</f>
        <v>0</v>
      </c>
      <c r="BO5" s="24">
        <v>0</v>
      </c>
      <c r="BP5" s="19">
        <f>+Hoja2!BP5+Hoja1!BP5</f>
        <v>615</v>
      </c>
      <c r="BQ5" s="24">
        <v>0</v>
      </c>
      <c r="BR5" s="19">
        <f>+Hoja2!BR5+Hoja1!BR5</f>
        <v>389</v>
      </c>
      <c r="BS5" s="24">
        <v>0</v>
      </c>
      <c r="BT5" s="19">
        <f>+Hoja2!BT5+Hoja1!BT5</f>
        <v>338</v>
      </c>
      <c r="BU5" s="24">
        <v>0</v>
      </c>
      <c r="BV5" s="19">
        <f>+Hoja2!BV5+Hoja1!BV5</f>
        <v>0</v>
      </c>
      <c r="BW5" s="24">
        <v>0</v>
      </c>
      <c r="BX5" s="19">
        <f>+Hoja2!BX5+Hoja1!BX5</f>
        <v>0</v>
      </c>
      <c r="BY5" s="24">
        <v>0</v>
      </c>
      <c r="BZ5" s="19">
        <f>+Hoja2!BZ5+Hoja1!BZ5</f>
        <v>0</v>
      </c>
      <c r="CA5" s="24">
        <v>0</v>
      </c>
      <c r="CB5" s="19">
        <f>+Hoja2!CB5+Hoja1!CB5</f>
        <v>0</v>
      </c>
      <c r="CC5" s="24">
        <v>0</v>
      </c>
      <c r="CD5" s="19">
        <f>+Hoja2!CD5+Hoja1!CD5</f>
        <v>0</v>
      </c>
      <c r="CE5" s="24">
        <v>0</v>
      </c>
      <c r="CF5" s="19">
        <f>+Hoja2!CF5+Hoja1!CF5</f>
        <v>0</v>
      </c>
      <c r="CG5" s="24">
        <v>0</v>
      </c>
      <c r="CH5" s="19">
        <f>+Hoja2!CH5+Hoja1!CH5</f>
        <v>0</v>
      </c>
      <c r="CI5" s="24">
        <v>0</v>
      </c>
      <c r="CJ5" s="19">
        <f>+Hoja2!CJ5+Hoja1!CJ5</f>
        <v>0</v>
      </c>
      <c r="CK5" s="24">
        <v>0</v>
      </c>
      <c r="CL5" s="19">
        <f>+Hoja2!CL5+Hoja1!CL5</f>
        <v>0</v>
      </c>
      <c r="CM5" s="24">
        <v>0</v>
      </c>
      <c r="CN5" s="19">
        <f>+Hoja2!CN5+Hoja1!CN5</f>
        <v>0</v>
      </c>
      <c r="CO5" s="24">
        <v>0</v>
      </c>
      <c r="CP5" s="19">
        <f>+Hoja2!CP5+Hoja1!CP5</f>
        <v>0</v>
      </c>
      <c r="CQ5" s="24">
        <v>0</v>
      </c>
      <c r="CR5" s="19">
        <f>+Hoja2!CR5+Hoja1!CR5</f>
        <v>0</v>
      </c>
      <c r="CS5" s="24">
        <v>0</v>
      </c>
      <c r="CT5" s="19">
        <f>+Hoja2!CT5+Hoja1!CT5</f>
        <v>0</v>
      </c>
      <c r="CU5" s="24">
        <v>0</v>
      </c>
      <c r="CV5" s="19">
        <f>+Hoja2!CV5+Hoja1!CV5</f>
        <v>0</v>
      </c>
      <c r="CW5" s="24">
        <v>0</v>
      </c>
      <c r="CX5" s="19">
        <f>+Hoja2!CX5+Hoja1!CX5</f>
        <v>0</v>
      </c>
      <c r="CY5" s="24">
        <v>0</v>
      </c>
      <c r="CZ5" s="19">
        <f>+Hoja2!CZ5+Hoja1!CZ5</f>
        <v>0</v>
      </c>
      <c r="DA5" s="24">
        <v>0</v>
      </c>
      <c r="DB5" s="19">
        <f>+Hoja2!DB5+Hoja1!DB5</f>
        <v>0</v>
      </c>
      <c r="DC5" s="24">
        <v>0</v>
      </c>
      <c r="DD5" s="19">
        <f>+Hoja2!DD5+Hoja1!DD5</f>
        <v>0</v>
      </c>
      <c r="DE5" s="24">
        <v>0</v>
      </c>
      <c r="DF5" s="19">
        <f>+Hoja2!DF5+Hoja1!DF5</f>
        <v>0</v>
      </c>
      <c r="DG5" s="24">
        <v>0</v>
      </c>
      <c r="DH5" s="19">
        <f>+Hoja2!DH5+Hoja1!DH5</f>
        <v>0</v>
      </c>
      <c r="DI5" s="24">
        <v>0</v>
      </c>
      <c r="DJ5" s="19">
        <f>+Hoja2!DJ5+Hoja1!DJ5</f>
        <v>0</v>
      </c>
      <c r="DK5" s="24">
        <v>0</v>
      </c>
      <c r="DL5" s="19">
        <f>+Hoja2!DL5+Hoja1!DL5</f>
        <v>0</v>
      </c>
      <c r="DM5" s="24">
        <v>0</v>
      </c>
      <c r="DN5" s="19">
        <f>+Hoja2!DN5+Hoja1!DN5</f>
        <v>0</v>
      </c>
      <c r="DO5" s="24">
        <v>0</v>
      </c>
      <c r="DP5" s="19">
        <f>+Hoja2!DP5+Hoja1!DP5</f>
        <v>0</v>
      </c>
      <c r="DQ5" s="24">
        <v>0</v>
      </c>
      <c r="DR5" s="19">
        <f>+Hoja2!DR5+Hoja1!DR5</f>
        <v>0</v>
      </c>
      <c r="DS5" s="24">
        <v>0</v>
      </c>
      <c r="DT5" s="19">
        <f>+Hoja2!DT5+Hoja1!DT5</f>
        <v>0</v>
      </c>
      <c r="DU5" s="24">
        <v>0</v>
      </c>
      <c r="DV5" s="19">
        <f>+Hoja2!DV5+Hoja1!DV5</f>
        <v>0</v>
      </c>
      <c r="DW5" s="24">
        <v>0</v>
      </c>
      <c r="DX5" s="19">
        <f>+Hoja2!DX5+Hoja1!DX5</f>
        <v>0</v>
      </c>
      <c r="DY5" s="24">
        <v>0</v>
      </c>
      <c r="DZ5" s="19">
        <f>+Hoja2!DZ5+Hoja1!DZ5</f>
        <v>0</v>
      </c>
      <c r="EA5" s="24">
        <v>0</v>
      </c>
      <c r="EB5" s="19">
        <f>+Hoja2!EB5+Hoja1!EB5</f>
        <v>0</v>
      </c>
      <c r="EC5" s="24">
        <v>0</v>
      </c>
      <c r="ED5" s="19">
        <f>+Hoja2!ED5+Hoja1!ED5</f>
        <v>517</v>
      </c>
      <c r="EE5" s="24">
        <v>0</v>
      </c>
      <c r="EF5" s="19">
        <f>+Hoja2!EF5+Hoja1!EF5</f>
        <v>0</v>
      </c>
      <c r="EG5" s="24">
        <v>0</v>
      </c>
      <c r="EH5" s="19">
        <f>+Hoja2!EH5+Hoja1!EH5</f>
        <v>0</v>
      </c>
      <c r="EI5" s="24">
        <v>0</v>
      </c>
      <c r="EJ5" s="19">
        <f>+Hoja2!EJ5+Hoja1!EJ5</f>
        <v>0</v>
      </c>
      <c r="EK5" s="24">
        <v>0</v>
      </c>
      <c r="EL5" s="19">
        <f>+Hoja2!EL5+Hoja1!EL5</f>
        <v>0</v>
      </c>
      <c r="EM5" s="24">
        <v>0</v>
      </c>
      <c r="EN5" s="19">
        <f>+Hoja2!EN5+Hoja1!EN5</f>
        <v>0</v>
      </c>
      <c r="EO5" s="24">
        <v>0</v>
      </c>
      <c r="EP5" s="19">
        <f>+Hoja2!EP5+Hoja1!EP5</f>
        <v>118</v>
      </c>
      <c r="EQ5" s="24">
        <v>0</v>
      </c>
      <c r="ER5" s="19">
        <f>+Hoja2!ER5+Hoja1!ER5</f>
        <v>0</v>
      </c>
      <c r="ES5" s="24">
        <v>0</v>
      </c>
      <c r="ET5" s="19">
        <f>+Hoja2!ET5+Hoja1!ET5</f>
        <v>0</v>
      </c>
      <c r="EU5" s="24">
        <v>0</v>
      </c>
    </row>
    <row r="6" spans="1:151" x14ac:dyDescent="0.25">
      <c r="A6" s="24" t="s">
        <v>17</v>
      </c>
      <c r="B6" s="25">
        <v>21</v>
      </c>
      <c r="C6" s="24" t="s">
        <v>22</v>
      </c>
      <c r="D6" s="24">
        <v>519932</v>
      </c>
      <c r="E6" s="26">
        <v>650</v>
      </c>
      <c r="F6" s="26">
        <v>391497</v>
      </c>
      <c r="G6" s="26">
        <v>7522</v>
      </c>
      <c r="H6" s="26">
        <v>399019</v>
      </c>
      <c r="I6">
        <v>914</v>
      </c>
      <c r="J6" s="19">
        <f>+INT(([1]Hoja1!M6/[1]Hoja1!O6)*M6)</f>
        <v>19259570</v>
      </c>
      <c r="K6" s="19">
        <f>+INT(([1]Hoja1!N6/[1]Hoja1!O6)*M6)</f>
        <v>19002577</v>
      </c>
      <c r="L6" s="19">
        <f t="shared" si="1"/>
        <v>261641</v>
      </c>
      <c r="M6" s="19">
        <f t="shared" si="2"/>
        <v>256993</v>
      </c>
      <c r="N6" s="22">
        <f t="shared" si="0"/>
        <v>253648</v>
      </c>
      <c r="O6" s="26">
        <v>3345</v>
      </c>
      <c r="P6" s="26">
        <v>4648</v>
      </c>
      <c r="Q6" s="22">
        <f t="shared" si="3"/>
        <v>5</v>
      </c>
      <c r="R6" s="19">
        <f>+Hoja2!R6+Hoja1!R6</f>
        <v>98076</v>
      </c>
      <c r="S6" s="24">
        <v>3</v>
      </c>
      <c r="T6" s="19">
        <f>+Hoja2!T6+Hoja1!T6</f>
        <v>65146</v>
      </c>
      <c r="U6" s="24">
        <v>1</v>
      </c>
      <c r="V6" s="19">
        <f>+Hoja2!V6+Hoja1!V6</f>
        <v>53534</v>
      </c>
      <c r="W6" s="24">
        <v>1</v>
      </c>
      <c r="X6" s="19">
        <f>+Hoja2!X6+Hoja1!X6</f>
        <v>31908</v>
      </c>
      <c r="Y6" s="24">
        <v>0</v>
      </c>
      <c r="Z6" s="19">
        <f>+Hoja2!Z6+Hoja1!Z6</f>
        <v>0</v>
      </c>
      <c r="AA6" s="24">
        <v>0</v>
      </c>
      <c r="AB6" s="19">
        <f>+Hoja2!AB6+Hoja1!AB6</f>
        <v>0</v>
      </c>
      <c r="AC6" s="24">
        <v>0</v>
      </c>
      <c r="AD6" s="19">
        <f>+Hoja2!AD6+Hoja1!AD6</f>
        <v>0</v>
      </c>
      <c r="AE6" s="24">
        <v>0</v>
      </c>
      <c r="AF6" s="19">
        <f>+Hoja2!AF6+Hoja1!AF6</f>
        <v>0</v>
      </c>
      <c r="AG6" s="24">
        <v>0</v>
      </c>
      <c r="AH6" s="19">
        <f>+Hoja2!AH6+Hoja1!AH6</f>
        <v>0</v>
      </c>
      <c r="AI6" s="24">
        <v>0</v>
      </c>
      <c r="AJ6" s="19">
        <f>+Hoja2!AJ6+Hoja1!AJ6</f>
        <v>0</v>
      </c>
      <c r="AK6" s="24">
        <v>0</v>
      </c>
      <c r="AL6" s="19">
        <f>+Hoja2!AL6+Hoja1!AL6</f>
        <v>0</v>
      </c>
      <c r="AM6" s="24">
        <v>0</v>
      </c>
      <c r="AN6" s="19">
        <f>+Hoja2!AN6+Hoja1!AN6</f>
        <v>0</v>
      </c>
      <c r="AO6" s="24">
        <v>0</v>
      </c>
      <c r="AP6" s="19">
        <f>+Hoja2!AP6+Hoja1!AP6</f>
        <v>0</v>
      </c>
      <c r="AQ6" s="24">
        <v>0</v>
      </c>
      <c r="AR6" s="19">
        <f>+Hoja2!AR6+Hoja1!AR6</f>
        <v>0</v>
      </c>
      <c r="AS6" s="24">
        <v>0</v>
      </c>
      <c r="AT6" s="19">
        <f>+Hoja2!AT6+Hoja1!AT6</f>
        <v>0</v>
      </c>
      <c r="AU6" s="24">
        <v>0</v>
      </c>
      <c r="AV6" s="19">
        <f>+Hoja2!AV6+Hoja1!AV6</f>
        <v>0</v>
      </c>
      <c r="AW6" s="24">
        <v>0</v>
      </c>
      <c r="AX6" s="19">
        <f>+Hoja2!AX6+Hoja1!AX6</f>
        <v>0</v>
      </c>
      <c r="AY6" s="24">
        <v>0</v>
      </c>
      <c r="AZ6" s="19">
        <f>+Hoja2!AZ6+Hoja1!AZ6</f>
        <v>0</v>
      </c>
      <c r="BA6" s="24">
        <v>0</v>
      </c>
      <c r="BB6" s="19">
        <f>+Hoja2!BB6+Hoja1!BB6</f>
        <v>0</v>
      </c>
      <c r="BC6" s="24">
        <v>0</v>
      </c>
      <c r="BD6" s="19">
        <f>+Hoja2!BD6+Hoja1!BD6</f>
        <v>2522</v>
      </c>
      <c r="BE6" s="24">
        <v>0</v>
      </c>
      <c r="BF6" s="19">
        <f>+Hoja2!BF6+Hoja1!BF6</f>
        <v>0</v>
      </c>
      <c r="BG6" s="24">
        <v>0</v>
      </c>
      <c r="BH6" s="19">
        <f>+Hoja2!BH6+Hoja1!BH6</f>
        <v>492</v>
      </c>
      <c r="BI6" s="24">
        <v>0</v>
      </c>
      <c r="BJ6" s="19">
        <f>+Hoja2!BJ6+Hoja1!BJ6</f>
        <v>349</v>
      </c>
      <c r="BK6" s="24">
        <v>0</v>
      </c>
      <c r="BL6" s="19">
        <f>+Hoja2!BL6+Hoja1!BL6</f>
        <v>0</v>
      </c>
      <c r="BM6" s="24">
        <v>0</v>
      </c>
      <c r="BN6" s="19">
        <f>+Hoja2!BN6+Hoja1!BN6</f>
        <v>0</v>
      </c>
      <c r="BO6" s="24">
        <v>0</v>
      </c>
      <c r="BP6" s="19">
        <f>+Hoja2!BP6+Hoja1!BP6</f>
        <v>851</v>
      </c>
      <c r="BQ6" s="24">
        <v>0</v>
      </c>
      <c r="BR6" s="19">
        <f>+Hoja2!BR6+Hoja1!BR6</f>
        <v>166</v>
      </c>
      <c r="BS6" s="24">
        <v>0</v>
      </c>
      <c r="BT6" s="19">
        <f>+Hoja2!BT6+Hoja1!BT6</f>
        <v>117</v>
      </c>
      <c r="BU6" s="24">
        <v>0</v>
      </c>
      <c r="BV6" s="19">
        <f>+Hoja2!BV6+Hoja1!BV6</f>
        <v>0</v>
      </c>
      <c r="BW6" s="24">
        <v>0</v>
      </c>
      <c r="BX6" s="19">
        <f>+Hoja2!BX6+Hoja1!BX6</f>
        <v>0</v>
      </c>
      <c r="BY6" s="24">
        <v>0</v>
      </c>
      <c r="BZ6" s="19">
        <f>+Hoja2!BZ6+Hoja1!BZ6</f>
        <v>487</v>
      </c>
      <c r="CA6" s="24">
        <v>0</v>
      </c>
      <c r="CB6" s="19">
        <f>+Hoja2!CB6+Hoja1!CB6</f>
        <v>0</v>
      </c>
      <c r="CC6" s="24">
        <v>0</v>
      </c>
      <c r="CD6" s="19">
        <f>+Hoja2!CD6+Hoja1!CD6</f>
        <v>0</v>
      </c>
      <c r="CE6" s="24">
        <v>0</v>
      </c>
      <c r="CF6" s="19">
        <f>+Hoja2!CF6+Hoja1!CF6</f>
        <v>0</v>
      </c>
      <c r="CG6" s="24">
        <v>0</v>
      </c>
      <c r="CH6" s="19">
        <f>+Hoja2!CH6+Hoja1!CH6</f>
        <v>0</v>
      </c>
      <c r="CI6" s="24">
        <v>0</v>
      </c>
      <c r="CJ6" s="19">
        <f>+Hoja2!CJ6+Hoja1!CJ6</f>
        <v>0</v>
      </c>
      <c r="CK6" s="24">
        <v>0</v>
      </c>
      <c r="CL6" s="19">
        <f>+Hoja2!CL6+Hoja1!CL6</f>
        <v>0</v>
      </c>
      <c r="CM6" s="24">
        <v>0</v>
      </c>
      <c r="CN6" s="19">
        <f>+Hoja2!CN6+Hoja1!CN6</f>
        <v>0</v>
      </c>
      <c r="CO6" s="24">
        <v>0</v>
      </c>
      <c r="CP6" s="19">
        <f>+Hoja2!CP6+Hoja1!CP6</f>
        <v>0</v>
      </c>
      <c r="CQ6" s="24">
        <v>0</v>
      </c>
      <c r="CR6" s="19">
        <f>+Hoja2!CR6+Hoja1!CR6</f>
        <v>0</v>
      </c>
      <c r="CS6" s="24">
        <v>0</v>
      </c>
      <c r="CT6" s="19">
        <f>+Hoja2!CT6+Hoja1!CT6</f>
        <v>0</v>
      </c>
      <c r="CU6" s="24">
        <v>0</v>
      </c>
      <c r="CV6" s="19">
        <f>+Hoja2!CV6+Hoja1!CV6</f>
        <v>0</v>
      </c>
      <c r="CW6" s="24">
        <v>0</v>
      </c>
      <c r="CX6" s="19">
        <f>+Hoja2!CX6+Hoja1!CX6</f>
        <v>0</v>
      </c>
      <c r="CY6" s="24">
        <v>0</v>
      </c>
      <c r="CZ6" s="19">
        <f>+Hoja2!CZ6+Hoja1!CZ6</f>
        <v>0</v>
      </c>
      <c r="DA6" s="24">
        <v>0</v>
      </c>
      <c r="DB6" s="19">
        <f>+Hoja2!DB6+Hoja1!DB6</f>
        <v>0</v>
      </c>
      <c r="DC6" s="24">
        <v>0</v>
      </c>
      <c r="DD6" s="19">
        <f>+Hoja2!DD6+Hoja1!DD6</f>
        <v>0</v>
      </c>
      <c r="DE6" s="24">
        <v>0</v>
      </c>
      <c r="DF6" s="19">
        <f>+Hoja2!DF6+Hoja1!DF6</f>
        <v>0</v>
      </c>
      <c r="DG6" s="24">
        <v>0</v>
      </c>
      <c r="DH6" s="19">
        <f>+Hoja2!DH6+Hoja1!DH6</f>
        <v>0</v>
      </c>
      <c r="DI6" s="24">
        <v>0</v>
      </c>
      <c r="DJ6" s="19">
        <f>+Hoja2!DJ6+Hoja1!DJ6</f>
        <v>0</v>
      </c>
      <c r="DK6" s="24">
        <v>0</v>
      </c>
      <c r="DL6" s="19">
        <f>+Hoja2!DL6+Hoja1!DL6</f>
        <v>0</v>
      </c>
      <c r="DM6" s="24">
        <v>0</v>
      </c>
      <c r="DN6" s="19">
        <f>+Hoja2!DN6+Hoja1!DN6</f>
        <v>0</v>
      </c>
      <c r="DO6" s="24">
        <v>0</v>
      </c>
      <c r="DP6" s="19">
        <f>+Hoja2!DP6+Hoja1!DP6</f>
        <v>0</v>
      </c>
      <c r="DQ6" s="24">
        <v>0</v>
      </c>
      <c r="DR6" s="19">
        <f>+Hoja2!DR6+Hoja1!DR6</f>
        <v>0</v>
      </c>
      <c r="DS6" s="24">
        <v>0</v>
      </c>
      <c r="DT6" s="19">
        <f>+Hoja2!DT6+Hoja1!DT6</f>
        <v>0</v>
      </c>
      <c r="DU6" s="24">
        <v>0</v>
      </c>
      <c r="DV6" s="19">
        <f>+Hoja2!DV6+Hoja1!DV6</f>
        <v>0</v>
      </c>
      <c r="DW6" s="24">
        <v>0</v>
      </c>
      <c r="DX6" s="19">
        <f>+Hoja2!DX6+Hoja1!DX6</f>
        <v>0</v>
      </c>
      <c r="DY6" s="24">
        <v>0</v>
      </c>
      <c r="DZ6" s="19">
        <f>+Hoja2!DZ6+Hoja1!DZ6</f>
        <v>0</v>
      </c>
      <c r="EA6" s="24">
        <v>0</v>
      </c>
      <c r="EB6" s="19">
        <f>+Hoja2!EB6+Hoja1!EB6</f>
        <v>0</v>
      </c>
      <c r="EC6" s="24">
        <v>0</v>
      </c>
      <c r="ED6" s="19">
        <f>+Hoja2!ED6+Hoja1!ED6</f>
        <v>0</v>
      </c>
      <c r="EE6" s="24">
        <v>0</v>
      </c>
      <c r="EF6" s="19">
        <f>+Hoja2!EF6+Hoja1!EF6</f>
        <v>0</v>
      </c>
      <c r="EG6" s="24">
        <v>0</v>
      </c>
      <c r="EH6" s="19">
        <f>+Hoja2!EH6+Hoja1!EH6</f>
        <v>0</v>
      </c>
      <c r="EI6" s="24">
        <v>0</v>
      </c>
      <c r="EJ6" s="19">
        <f>+Hoja2!EJ6+Hoja1!EJ6</f>
        <v>0</v>
      </c>
      <c r="EK6" s="24">
        <v>0</v>
      </c>
      <c r="EL6" s="19">
        <f>+Hoja2!EL6+Hoja1!EL6</f>
        <v>0</v>
      </c>
      <c r="EM6" s="24">
        <v>0</v>
      </c>
      <c r="EN6" s="19">
        <f>+Hoja2!EN6+Hoja1!EN6</f>
        <v>0</v>
      </c>
      <c r="EO6" s="24">
        <v>0</v>
      </c>
      <c r="EP6" s="19">
        <f>+Hoja2!EP6+Hoja1!EP6</f>
        <v>0</v>
      </c>
      <c r="EQ6" s="24">
        <v>0</v>
      </c>
      <c r="ER6" s="19">
        <f>+Hoja2!ER6+Hoja1!ER6</f>
        <v>0</v>
      </c>
      <c r="ES6" s="24">
        <v>0</v>
      </c>
      <c r="ET6" s="19">
        <f>+Hoja2!ET6+Hoja1!ET6</f>
        <v>0</v>
      </c>
      <c r="EU6" s="24">
        <v>0</v>
      </c>
    </row>
    <row r="7" spans="1:151" x14ac:dyDescent="0.25">
      <c r="A7" s="24" t="s">
        <v>17</v>
      </c>
      <c r="B7" s="25">
        <v>23</v>
      </c>
      <c r="C7" s="24" t="s">
        <v>23</v>
      </c>
      <c r="D7" s="24">
        <v>638099</v>
      </c>
      <c r="E7" s="26">
        <v>892</v>
      </c>
      <c r="F7" s="26">
        <v>513915</v>
      </c>
      <c r="G7" s="26">
        <v>12744</v>
      </c>
      <c r="H7" s="26">
        <v>526659</v>
      </c>
      <c r="I7" s="1">
        <v>1498</v>
      </c>
      <c r="J7" s="19">
        <f>+INT(([1]Hoja1!M7/[1]Hoja1!O7)*M7)</f>
        <v>40691014</v>
      </c>
      <c r="K7" s="19">
        <f>+INT(([1]Hoja1!N7/[1]Hoja1!O7)*M7)</f>
        <v>40316431</v>
      </c>
      <c r="L7" s="19">
        <f t="shared" si="1"/>
        <v>380520</v>
      </c>
      <c r="M7" s="19">
        <f t="shared" si="2"/>
        <v>374583</v>
      </c>
      <c r="N7" s="22">
        <f t="shared" si="0"/>
        <v>371222</v>
      </c>
      <c r="O7" s="26">
        <v>3361</v>
      </c>
      <c r="P7" s="26">
        <v>5937</v>
      </c>
      <c r="Q7" s="22">
        <f t="shared" si="3"/>
        <v>5</v>
      </c>
      <c r="R7" s="19">
        <f>+Hoja2!R7+Hoja1!R7</f>
        <v>151304</v>
      </c>
      <c r="S7" s="24">
        <v>3</v>
      </c>
      <c r="T7" s="19">
        <f>+Hoja2!T7+Hoja1!T7</f>
        <v>103548</v>
      </c>
      <c r="U7" s="24">
        <v>1</v>
      </c>
      <c r="V7" s="19">
        <f>+Hoja2!V7+Hoja1!V7</f>
        <v>73389</v>
      </c>
      <c r="W7" s="24">
        <v>1</v>
      </c>
      <c r="X7" s="19">
        <f>+Hoja2!X7+Hoja1!X7</f>
        <v>37760</v>
      </c>
      <c r="Y7" s="24">
        <v>0</v>
      </c>
      <c r="Z7" s="19">
        <f>+Hoja2!Z7+Hoja1!Z7</f>
        <v>0</v>
      </c>
      <c r="AA7" s="24">
        <v>0</v>
      </c>
      <c r="AB7" s="19">
        <f>+Hoja2!AB7+Hoja1!AB7</f>
        <v>0</v>
      </c>
      <c r="AC7" s="24">
        <v>0</v>
      </c>
      <c r="AD7" s="19">
        <f>+Hoja2!AD7+Hoja1!AD7</f>
        <v>0</v>
      </c>
      <c r="AE7" s="24">
        <v>0</v>
      </c>
      <c r="AF7" s="19">
        <f>+Hoja2!AF7+Hoja1!AF7</f>
        <v>0</v>
      </c>
      <c r="AG7" s="24">
        <v>0</v>
      </c>
      <c r="AH7" s="19">
        <f>+Hoja2!AH7+Hoja1!AH7</f>
        <v>0</v>
      </c>
      <c r="AI7" s="24">
        <v>0</v>
      </c>
      <c r="AJ7" s="19">
        <f>+Hoja2!AJ7+Hoja1!AJ7</f>
        <v>0</v>
      </c>
      <c r="AK7" s="24">
        <v>0</v>
      </c>
      <c r="AL7" s="19">
        <f>+Hoja2!AL7+Hoja1!AL7</f>
        <v>0</v>
      </c>
      <c r="AM7" s="24">
        <v>0</v>
      </c>
      <c r="AN7" s="19">
        <f>+Hoja2!AN7+Hoja1!AN7</f>
        <v>0</v>
      </c>
      <c r="AO7" s="24">
        <v>0</v>
      </c>
      <c r="AP7" s="19">
        <f>+Hoja2!AP7+Hoja1!AP7</f>
        <v>0</v>
      </c>
      <c r="AQ7" s="24">
        <v>0</v>
      </c>
      <c r="AR7" s="19">
        <f>+Hoja2!AR7+Hoja1!AR7</f>
        <v>0</v>
      </c>
      <c r="AS7" s="24">
        <v>0</v>
      </c>
      <c r="AT7" s="19">
        <f>+Hoja2!AT7+Hoja1!AT7</f>
        <v>0</v>
      </c>
      <c r="AU7" s="24">
        <v>0</v>
      </c>
      <c r="AV7" s="19">
        <f>+Hoja2!AV7+Hoja1!AV7</f>
        <v>0</v>
      </c>
      <c r="AW7" s="24">
        <v>0</v>
      </c>
      <c r="AX7" s="19">
        <f>+Hoja2!AX7+Hoja1!AX7</f>
        <v>0</v>
      </c>
      <c r="AY7" s="24">
        <v>0</v>
      </c>
      <c r="AZ7" s="19">
        <f>+Hoja2!AZ7+Hoja1!AZ7</f>
        <v>0</v>
      </c>
      <c r="BA7" s="24">
        <v>0</v>
      </c>
      <c r="BB7" s="19">
        <f>+Hoja2!BB7+Hoja1!BB7</f>
        <v>0</v>
      </c>
      <c r="BC7" s="24">
        <v>0</v>
      </c>
      <c r="BD7" s="19">
        <f>+Hoja2!BD7+Hoja1!BD7</f>
        <v>2752</v>
      </c>
      <c r="BE7" s="24">
        <v>0</v>
      </c>
      <c r="BF7" s="19">
        <f>+Hoja2!BF7+Hoja1!BF7</f>
        <v>0</v>
      </c>
      <c r="BG7" s="24">
        <v>0</v>
      </c>
      <c r="BH7" s="19">
        <f>+Hoja2!BH7+Hoja1!BH7</f>
        <v>461</v>
      </c>
      <c r="BI7" s="24">
        <v>0</v>
      </c>
      <c r="BJ7" s="19">
        <f>+Hoja2!BJ7+Hoja1!BJ7</f>
        <v>416</v>
      </c>
      <c r="BK7" s="24">
        <v>0</v>
      </c>
      <c r="BL7" s="19">
        <f>+Hoja2!BL7+Hoja1!BL7</f>
        <v>0</v>
      </c>
      <c r="BM7" s="24">
        <v>0</v>
      </c>
      <c r="BN7" s="19">
        <f>+Hoja2!BN7+Hoja1!BN7</f>
        <v>0</v>
      </c>
      <c r="BO7" s="24">
        <v>0</v>
      </c>
      <c r="BP7" s="19">
        <f>+Hoja2!BP7+Hoja1!BP7</f>
        <v>851</v>
      </c>
      <c r="BQ7" s="24">
        <v>0</v>
      </c>
      <c r="BR7" s="19">
        <f>+Hoja2!BR7+Hoja1!BR7</f>
        <v>0</v>
      </c>
      <c r="BS7" s="24">
        <v>0</v>
      </c>
      <c r="BT7" s="19">
        <f>+Hoja2!BT7+Hoja1!BT7</f>
        <v>494</v>
      </c>
      <c r="BU7" s="24">
        <v>0</v>
      </c>
      <c r="BV7" s="19">
        <f>+Hoja2!BV7+Hoja1!BV7</f>
        <v>0</v>
      </c>
      <c r="BW7" s="24">
        <v>0</v>
      </c>
      <c r="BX7" s="19">
        <f>+Hoja2!BX7+Hoja1!BX7</f>
        <v>0</v>
      </c>
      <c r="BY7" s="24">
        <v>0</v>
      </c>
      <c r="BZ7" s="19">
        <f>+Hoja2!BZ7+Hoja1!BZ7</f>
        <v>0</v>
      </c>
      <c r="CA7" s="24">
        <v>0</v>
      </c>
      <c r="CB7" s="19">
        <f>+Hoja2!CB7+Hoja1!CB7</f>
        <v>0</v>
      </c>
      <c r="CC7" s="24">
        <v>0</v>
      </c>
      <c r="CD7" s="19">
        <f>+Hoja2!CD7+Hoja1!CD7</f>
        <v>0</v>
      </c>
      <c r="CE7" s="24">
        <v>0</v>
      </c>
      <c r="CF7" s="19">
        <f>+Hoja2!CF7+Hoja1!CF7</f>
        <v>0</v>
      </c>
      <c r="CG7" s="24">
        <v>0</v>
      </c>
      <c r="CH7" s="19">
        <f>+Hoja2!CH7+Hoja1!CH7</f>
        <v>0</v>
      </c>
      <c r="CI7" s="24">
        <v>0</v>
      </c>
      <c r="CJ7" s="19">
        <f>+Hoja2!CJ7+Hoja1!CJ7</f>
        <v>0</v>
      </c>
      <c r="CK7" s="24">
        <v>0</v>
      </c>
      <c r="CL7" s="19">
        <f>+Hoja2!CL7+Hoja1!CL7</f>
        <v>0</v>
      </c>
      <c r="CM7" s="24">
        <v>0</v>
      </c>
      <c r="CN7" s="19">
        <f>+Hoja2!CN7+Hoja1!CN7</f>
        <v>0</v>
      </c>
      <c r="CO7" s="24">
        <v>0</v>
      </c>
      <c r="CP7" s="19">
        <f>+Hoja2!CP7+Hoja1!CP7</f>
        <v>0</v>
      </c>
      <c r="CQ7" s="24">
        <v>0</v>
      </c>
      <c r="CR7" s="19">
        <f>+Hoja2!CR7+Hoja1!CR7</f>
        <v>0</v>
      </c>
      <c r="CS7" s="24">
        <v>0</v>
      </c>
      <c r="CT7" s="19">
        <f>+Hoja2!CT7+Hoja1!CT7</f>
        <v>0</v>
      </c>
      <c r="CU7" s="24">
        <v>0</v>
      </c>
      <c r="CV7" s="19">
        <f>+Hoja2!CV7+Hoja1!CV7</f>
        <v>0</v>
      </c>
      <c r="CW7" s="24">
        <v>0</v>
      </c>
      <c r="CX7" s="19">
        <f>+Hoja2!CX7+Hoja1!CX7</f>
        <v>0</v>
      </c>
      <c r="CY7" s="24">
        <v>0</v>
      </c>
      <c r="CZ7" s="19">
        <f>+Hoja2!CZ7+Hoja1!CZ7</f>
        <v>0</v>
      </c>
      <c r="DA7" s="24">
        <v>0</v>
      </c>
      <c r="DB7" s="19">
        <f>+Hoja2!DB7+Hoja1!DB7</f>
        <v>0</v>
      </c>
      <c r="DC7" s="24">
        <v>0</v>
      </c>
      <c r="DD7" s="19">
        <f>+Hoja2!DD7+Hoja1!DD7</f>
        <v>0</v>
      </c>
      <c r="DE7" s="24">
        <v>0</v>
      </c>
      <c r="DF7" s="19">
        <f>+Hoja2!DF7+Hoja1!DF7</f>
        <v>0</v>
      </c>
      <c r="DG7" s="24">
        <v>0</v>
      </c>
      <c r="DH7" s="19">
        <f>+Hoja2!DH7+Hoja1!DH7</f>
        <v>0</v>
      </c>
      <c r="DI7" s="24">
        <v>0</v>
      </c>
      <c r="DJ7" s="19">
        <f>+Hoja2!DJ7+Hoja1!DJ7</f>
        <v>0</v>
      </c>
      <c r="DK7" s="24">
        <v>0</v>
      </c>
      <c r="DL7" s="19">
        <f>+Hoja2!DL7+Hoja1!DL7</f>
        <v>0</v>
      </c>
      <c r="DM7" s="24">
        <v>0</v>
      </c>
      <c r="DN7" s="19">
        <f>+Hoja2!DN7+Hoja1!DN7</f>
        <v>0</v>
      </c>
      <c r="DO7" s="24">
        <v>0</v>
      </c>
      <c r="DP7" s="19">
        <f>+Hoja2!DP7+Hoja1!DP7</f>
        <v>0</v>
      </c>
      <c r="DQ7" s="24">
        <v>0</v>
      </c>
      <c r="DR7" s="19">
        <f>+Hoja2!DR7+Hoja1!DR7</f>
        <v>0</v>
      </c>
      <c r="DS7" s="24">
        <v>0</v>
      </c>
      <c r="DT7" s="19">
        <f>+Hoja2!DT7+Hoja1!DT7</f>
        <v>0</v>
      </c>
      <c r="DU7" s="24">
        <v>0</v>
      </c>
      <c r="DV7" s="19">
        <f>+Hoja2!DV7+Hoja1!DV7</f>
        <v>0</v>
      </c>
      <c r="DW7" s="24">
        <v>0</v>
      </c>
      <c r="DX7" s="19">
        <f>+Hoja2!DX7+Hoja1!DX7</f>
        <v>0</v>
      </c>
      <c r="DY7" s="24">
        <v>0</v>
      </c>
      <c r="DZ7" s="19">
        <f>+Hoja2!DZ7+Hoja1!DZ7</f>
        <v>0</v>
      </c>
      <c r="EA7" s="24">
        <v>0</v>
      </c>
      <c r="EB7" s="19">
        <f>+Hoja2!EB7+Hoja1!EB7</f>
        <v>0</v>
      </c>
      <c r="EC7" s="24">
        <v>0</v>
      </c>
      <c r="ED7" s="19">
        <f>+Hoja2!ED7+Hoja1!ED7</f>
        <v>0</v>
      </c>
      <c r="EE7" s="24">
        <v>0</v>
      </c>
      <c r="EF7" s="19">
        <f>+Hoja2!EF7+Hoja1!EF7</f>
        <v>0</v>
      </c>
      <c r="EG7" s="24">
        <v>0</v>
      </c>
      <c r="EH7" s="19">
        <f>+Hoja2!EH7+Hoja1!EH7</f>
        <v>0</v>
      </c>
      <c r="EI7" s="24">
        <v>0</v>
      </c>
      <c r="EJ7" s="19">
        <f>+Hoja2!EJ7+Hoja1!EJ7</f>
        <v>247</v>
      </c>
      <c r="EK7" s="24">
        <v>0</v>
      </c>
      <c r="EL7" s="19">
        <f>+Hoja2!EL7+Hoja1!EL7</f>
        <v>0</v>
      </c>
      <c r="EM7" s="24">
        <v>0</v>
      </c>
      <c r="EN7" s="19">
        <f>+Hoja2!EN7+Hoja1!EN7</f>
        <v>0</v>
      </c>
      <c r="EO7" s="24">
        <v>0</v>
      </c>
      <c r="EP7" s="19">
        <f>+Hoja2!EP7+Hoja1!EP7</f>
        <v>0</v>
      </c>
      <c r="EQ7" s="24">
        <v>0</v>
      </c>
      <c r="ER7" s="19">
        <f>+Hoja2!ER7+Hoja1!ER7</f>
        <v>0</v>
      </c>
      <c r="ES7" s="24">
        <v>0</v>
      </c>
      <c r="ET7" s="19">
        <f>+Hoja2!ET7+Hoja1!ET7</f>
        <v>0</v>
      </c>
      <c r="EU7" s="24">
        <v>0</v>
      </c>
    </row>
    <row r="8" spans="1:151" x14ac:dyDescent="0.25">
      <c r="A8" s="24" t="s">
        <v>17</v>
      </c>
      <c r="B8" s="25">
        <v>29</v>
      </c>
      <c r="C8" s="24" t="s">
        <v>24</v>
      </c>
      <c r="D8" s="24">
        <v>1641121</v>
      </c>
      <c r="E8" s="26">
        <v>1662</v>
      </c>
      <c r="F8" s="26">
        <v>1143262</v>
      </c>
      <c r="G8" s="26">
        <v>54426</v>
      </c>
      <c r="H8" s="26">
        <v>1197688</v>
      </c>
      <c r="I8" s="1">
        <v>5845</v>
      </c>
      <c r="J8" s="19">
        <f>+INT(([1]Hoja1!M8/[1]Hoja1!O8)*M8)</f>
        <v>70031459</v>
      </c>
      <c r="K8" s="19">
        <f>+INT(([1]Hoja1!N8/[1]Hoja1!O8)*M8)</f>
        <v>69257960</v>
      </c>
      <c r="L8" s="19">
        <f t="shared" si="1"/>
        <v>783597</v>
      </c>
      <c r="M8" s="19">
        <f t="shared" si="2"/>
        <v>773499</v>
      </c>
      <c r="N8" s="22">
        <f t="shared" si="0"/>
        <v>765141</v>
      </c>
      <c r="O8" s="26">
        <v>8358</v>
      </c>
      <c r="P8" s="26">
        <v>10098</v>
      </c>
      <c r="Q8" s="22">
        <f t="shared" si="3"/>
        <v>11</v>
      </c>
      <c r="R8" s="19">
        <f>+Hoja2!R8+Hoja1!R8</f>
        <v>244871</v>
      </c>
      <c r="S8" s="24">
        <v>4</v>
      </c>
      <c r="T8" s="19">
        <f>+Hoja2!T8+Hoja1!T8</f>
        <v>220036</v>
      </c>
      <c r="U8" s="24">
        <v>3</v>
      </c>
      <c r="V8" s="19">
        <f>+Hoja2!V8+Hoja1!V8</f>
        <v>165525</v>
      </c>
      <c r="W8" s="24">
        <v>2</v>
      </c>
      <c r="X8" s="19">
        <f>+Hoja2!X8+Hoja1!X8</f>
        <v>102691</v>
      </c>
      <c r="Y8" s="24">
        <v>1</v>
      </c>
      <c r="Z8" s="19">
        <f>+Hoja2!Z8+Hoja1!Z8</f>
        <v>0</v>
      </c>
      <c r="AA8" s="24">
        <v>0</v>
      </c>
      <c r="AB8" s="19">
        <f>+Hoja2!AB8+Hoja1!AB8</f>
        <v>0</v>
      </c>
      <c r="AC8" s="24">
        <v>1</v>
      </c>
      <c r="AD8" s="19">
        <f>+Hoja2!AD8+Hoja1!AD8</f>
        <v>0</v>
      </c>
      <c r="AE8" s="24">
        <v>0</v>
      </c>
      <c r="AF8" s="19">
        <f>+Hoja2!AF8+Hoja1!AF8</f>
        <v>0</v>
      </c>
      <c r="AG8" s="24">
        <v>0</v>
      </c>
      <c r="AH8" s="19">
        <f>+Hoja2!AH8+Hoja1!AH8</f>
        <v>0</v>
      </c>
      <c r="AI8" s="24">
        <v>0</v>
      </c>
      <c r="AJ8" s="19">
        <f>+Hoja2!AJ8+Hoja1!AJ8</f>
        <v>0</v>
      </c>
      <c r="AK8" s="24">
        <v>0</v>
      </c>
      <c r="AL8" s="19">
        <f>+Hoja2!AL8+Hoja1!AL8</f>
        <v>14817</v>
      </c>
      <c r="AM8" s="24">
        <v>0</v>
      </c>
      <c r="AN8" s="19">
        <f>+Hoja2!AN8+Hoja1!AN8</f>
        <v>0</v>
      </c>
      <c r="AO8" s="24">
        <v>0</v>
      </c>
      <c r="AP8" s="19">
        <f>+Hoja2!AP8+Hoja1!AP8</f>
        <v>0</v>
      </c>
      <c r="AQ8" s="24">
        <v>0</v>
      </c>
      <c r="AR8" s="19">
        <f>+Hoja2!AR8+Hoja1!AR8</f>
        <v>0</v>
      </c>
      <c r="AS8" s="24">
        <v>0</v>
      </c>
      <c r="AT8" s="19">
        <f>+Hoja2!AT8+Hoja1!AT8</f>
        <v>0</v>
      </c>
      <c r="AU8" s="24">
        <v>0</v>
      </c>
      <c r="AV8" s="19">
        <f>+Hoja2!AV8+Hoja1!AV8</f>
        <v>0</v>
      </c>
      <c r="AW8" s="24">
        <v>0</v>
      </c>
      <c r="AX8" s="19">
        <f>+Hoja2!AX8+Hoja1!AX8</f>
        <v>0</v>
      </c>
      <c r="AY8" s="24">
        <v>0</v>
      </c>
      <c r="AZ8" s="19">
        <f>+Hoja2!AZ8+Hoja1!AZ8</f>
        <v>0</v>
      </c>
      <c r="BA8" s="24">
        <v>0</v>
      </c>
      <c r="BB8" s="19">
        <f>+Hoja2!BB8+Hoja1!BB8</f>
        <v>0</v>
      </c>
      <c r="BC8" s="24">
        <v>0</v>
      </c>
      <c r="BD8" s="19">
        <f>+Hoja2!BD8+Hoja1!BD8</f>
        <v>11033</v>
      </c>
      <c r="BE8" s="24">
        <v>0</v>
      </c>
      <c r="BF8" s="19">
        <f>+Hoja2!BF8+Hoja1!BF8</f>
        <v>0</v>
      </c>
      <c r="BG8" s="24">
        <v>0</v>
      </c>
      <c r="BH8" s="19">
        <f>+Hoja2!BH8+Hoja1!BH8</f>
        <v>1254</v>
      </c>
      <c r="BI8" s="24">
        <v>0</v>
      </c>
      <c r="BJ8" s="19">
        <f>+Hoja2!BJ8+Hoja1!BJ8</f>
        <v>899</v>
      </c>
      <c r="BK8" s="24">
        <v>0</v>
      </c>
      <c r="BL8" s="19">
        <f>+Hoja2!BL8+Hoja1!BL8</f>
        <v>0</v>
      </c>
      <c r="BM8" s="24">
        <v>0</v>
      </c>
      <c r="BN8" s="19">
        <f>+Hoja2!BN8+Hoja1!BN8</f>
        <v>0</v>
      </c>
      <c r="BO8" s="24">
        <v>0</v>
      </c>
      <c r="BP8" s="19">
        <f>+Hoja2!BP8+Hoja1!BP8</f>
        <v>1677</v>
      </c>
      <c r="BQ8" s="24">
        <v>0</v>
      </c>
      <c r="BR8" s="19">
        <f>+Hoja2!BR8+Hoja1!BR8</f>
        <v>610</v>
      </c>
      <c r="BS8" s="24">
        <v>0</v>
      </c>
      <c r="BT8" s="19">
        <f>+Hoja2!BT8+Hoja1!BT8</f>
        <v>400</v>
      </c>
      <c r="BU8" s="24">
        <v>0</v>
      </c>
      <c r="BV8" s="19">
        <f>+Hoja2!BV8+Hoja1!BV8</f>
        <v>0</v>
      </c>
      <c r="BW8" s="24">
        <v>0</v>
      </c>
      <c r="BX8" s="19">
        <f>+Hoja2!BX8+Hoja1!BX8</f>
        <v>0</v>
      </c>
      <c r="BY8" s="24">
        <v>0</v>
      </c>
      <c r="BZ8" s="19">
        <f>+Hoja2!BZ8+Hoja1!BZ8</f>
        <v>1328</v>
      </c>
      <c r="CA8" s="24">
        <v>0</v>
      </c>
      <c r="CB8" s="19">
        <f>+Hoja2!CB8+Hoja1!CB8</f>
        <v>0</v>
      </c>
      <c r="CC8" s="24">
        <v>0</v>
      </c>
      <c r="CD8" s="19">
        <f>+Hoja2!CD8+Hoja1!CD8</f>
        <v>0</v>
      </c>
      <c r="CE8" s="24">
        <v>0</v>
      </c>
      <c r="CF8" s="19">
        <f>+Hoja2!CF8+Hoja1!CF8</f>
        <v>0</v>
      </c>
      <c r="CG8" s="24">
        <v>0</v>
      </c>
      <c r="CH8" s="19">
        <f>+Hoja2!CH8+Hoja1!CH8</f>
        <v>0</v>
      </c>
      <c r="CI8" s="24">
        <v>0</v>
      </c>
      <c r="CJ8" s="19">
        <f>+Hoja2!CJ8+Hoja1!CJ8</f>
        <v>0</v>
      </c>
      <c r="CK8" s="24">
        <v>0</v>
      </c>
      <c r="CL8" s="19">
        <f>+Hoja2!CL8+Hoja1!CL8</f>
        <v>0</v>
      </c>
      <c r="CM8" s="24">
        <v>0</v>
      </c>
      <c r="CN8" s="19">
        <f>+Hoja2!CN8+Hoja1!CN8</f>
        <v>0</v>
      </c>
      <c r="CO8" s="24">
        <v>0</v>
      </c>
      <c r="CP8" s="19">
        <f>+Hoja2!CP8+Hoja1!CP8</f>
        <v>0</v>
      </c>
      <c r="CQ8" s="24">
        <v>0</v>
      </c>
      <c r="CR8" s="19">
        <f>+Hoja2!CR8+Hoja1!CR8</f>
        <v>0</v>
      </c>
      <c r="CS8" s="24">
        <v>0</v>
      </c>
      <c r="CT8" s="19">
        <f>+Hoja2!CT8+Hoja1!CT8</f>
        <v>0</v>
      </c>
      <c r="CU8" s="24">
        <v>0</v>
      </c>
      <c r="CV8" s="19">
        <f>+Hoja2!CV8+Hoja1!CV8</f>
        <v>0</v>
      </c>
      <c r="CW8" s="24">
        <v>0</v>
      </c>
      <c r="CX8" s="19">
        <f>+Hoja2!CX8+Hoja1!CX8</f>
        <v>0</v>
      </c>
      <c r="CY8" s="24">
        <v>0</v>
      </c>
      <c r="CZ8" s="19">
        <f>+Hoja2!CZ8+Hoja1!CZ8</f>
        <v>0</v>
      </c>
      <c r="DA8" s="24">
        <v>0</v>
      </c>
      <c r="DB8" s="19">
        <f>+Hoja2!DB8+Hoja1!DB8</f>
        <v>0</v>
      </c>
      <c r="DC8" s="24">
        <v>0</v>
      </c>
      <c r="DD8" s="19">
        <f>+Hoja2!DD8+Hoja1!DD8</f>
        <v>0</v>
      </c>
      <c r="DE8" s="24">
        <v>0</v>
      </c>
      <c r="DF8" s="19">
        <f>+Hoja2!DF8+Hoja1!DF8</f>
        <v>0</v>
      </c>
      <c r="DG8" s="24">
        <v>0</v>
      </c>
      <c r="DH8" s="19">
        <f>+Hoja2!DH8+Hoja1!DH8</f>
        <v>0</v>
      </c>
      <c r="DI8" s="24">
        <v>0</v>
      </c>
      <c r="DJ8" s="19">
        <f>+Hoja2!DJ8+Hoja1!DJ8</f>
        <v>0</v>
      </c>
      <c r="DK8" s="24">
        <v>0</v>
      </c>
      <c r="DL8" s="19">
        <f>+Hoja2!DL8+Hoja1!DL8</f>
        <v>0</v>
      </c>
      <c r="DM8" s="24">
        <v>0</v>
      </c>
      <c r="DN8" s="19">
        <f>+Hoja2!DN8+Hoja1!DN8</f>
        <v>0</v>
      </c>
      <c r="DO8" s="24">
        <v>0</v>
      </c>
      <c r="DP8" s="19">
        <f>+Hoja2!DP8+Hoja1!DP8</f>
        <v>0</v>
      </c>
      <c r="DQ8" s="24">
        <v>0</v>
      </c>
      <c r="DR8" s="19">
        <f>+Hoja2!DR8+Hoja1!DR8</f>
        <v>0</v>
      </c>
      <c r="DS8" s="24">
        <v>0</v>
      </c>
      <c r="DT8" s="19">
        <f>+Hoja2!DT8+Hoja1!DT8</f>
        <v>0</v>
      </c>
      <c r="DU8" s="24">
        <v>0</v>
      </c>
      <c r="DV8" s="19">
        <f>+Hoja2!DV8+Hoja1!DV8</f>
        <v>0</v>
      </c>
      <c r="DW8" s="24">
        <v>0</v>
      </c>
      <c r="DX8" s="19">
        <f>+Hoja2!DX8+Hoja1!DX8</f>
        <v>0</v>
      </c>
      <c r="DY8" s="24">
        <v>0</v>
      </c>
      <c r="DZ8" s="19">
        <f>+Hoja2!DZ8+Hoja1!DZ8</f>
        <v>0</v>
      </c>
      <c r="EA8" s="24">
        <v>0</v>
      </c>
      <c r="EB8" s="19">
        <f>+Hoja2!EB8+Hoja1!EB8</f>
        <v>0</v>
      </c>
      <c r="EC8" s="24">
        <v>0</v>
      </c>
      <c r="ED8" s="19">
        <f>+Hoja2!ED8+Hoja1!ED8</f>
        <v>0</v>
      </c>
      <c r="EE8" s="24">
        <v>0</v>
      </c>
      <c r="EF8" s="19">
        <f>+Hoja2!EF8+Hoja1!EF8</f>
        <v>0</v>
      </c>
      <c r="EG8" s="24">
        <v>0</v>
      </c>
      <c r="EH8" s="19">
        <f>+Hoja2!EH8+Hoja1!EH8</f>
        <v>0</v>
      </c>
      <c r="EI8" s="24">
        <v>0</v>
      </c>
      <c r="EJ8" s="19">
        <f>+Hoja2!EJ8+Hoja1!EJ8</f>
        <v>0</v>
      </c>
      <c r="EK8" s="24">
        <v>0</v>
      </c>
      <c r="EL8" s="19">
        <f>+Hoja2!EL8+Hoja1!EL8</f>
        <v>0</v>
      </c>
      <c r="EM8" s="24">
        <v>0</v>
      </c>
      <c r="EN8" s="19">
        <f>+Hoja2!EN8+Hoja1!EN8</f>
        <v>0</v>
      </c>
      <c r="EO8" s="24">
        <v>0</v>
      </c>
      <c r="EP8" s="19">
        <f>+Hoja2!EP8+Hoja1!EP8</f>
        <v>0</v>
      </c>
      <c r="EQ8" s="24">
        <v>0</v>
      </c>
      <c r="ER8" s="19">
        <f>+Hoja2!ER8+Hoja1!ER8</f>
        <v>0</v>
      </c>
      <c r="ES8" s="24">
        <v>0</v>
      </c>
      <c r="ET8" s="19">
        <f>+Hoja2!ET8+Hoja1!ET8</f>
        <v>0</v>
      </c>
      <c r="EU8" s="24">
        <v>0</v>
      </c>
    </row>
    <row r="9" spans="1:151" x14ac:dyDescent="0.25">
      <c r="A9" s="24" t="s">
        <v>17</v>
      </c>
      <c r="B9" s="25">
        <v>41</v>
      </c>
      <c r="C9" s="24" t="s">
        <v>25</v>
      </c>
      <c r="D9" s="24">
        <v>1939887</v>
      </c>
      <c r="E9" s="26">
        <v>2560</v>
      </c>
      <c r="F9" s="26">
        <v>1512436</v>
      </c>
      <c r="G9" s="26">
        <v>35308</v>
      </c>
      <c r="H9" s="26">
        <v>1547744</v>
      </c>
      <c r="I9" s="1">
        <v>5435</v>
      </c>
      <c r="J9" s="19">
        <f>+INT(([1]Hoja1!M9/[1]Hoja1!O9)*M9)</f>
        <v>82532934</v>
      </c>
      <c r="K9" s="19">
        <f>+INT(([1]Hoja1!N9/[1]Hoja1!O9)*M9)</f>
        <v>81452386</v>
      </c>
      <c r="L9" s="19">
        <f t="shared" si="1"/>
        <v>1098277</v>
      </c>
      <c r="M9" s="19">
        <f t="shared" si="2"/>
        <v>1080548</v>
      </c>
      <c r="N9" s="22">
        <f t="shared" si="0"/>
        <v>1066755</v>
      </c>
      <c r="O9" s="26">
        <v>13793</v>
      </c>
      <c r="P9" s="26">
        <v>17729</v>
      </c>
      <c r="Q9" s="22">
        <f t="shared" si="3"/>
        <v>12</v>
      </c>
      <c r="R9" s="19">
        <f>+Hoja2!R9+Hoja1!R9</f>
        <v>407761</v>
      </c>
      <c r="S9" s="24">
        <v>5</v>
      </c>
      <c r="T9" s="19">
        <f>+Hoja2!T9+Hoja1!T9</f>
        <v>258789</v>
      </c>
      <c r="U9" s="24">
        <v>2</v>
      </c>
      <c r="V9" s="19">
        <f>+Hoja2!V9+Hoja1!V9</f>
        <v>192589</v>
      </c>
      <c r="W9" s="24">
        <v>2</v>
      </c>
      <c r="X9" s="19">
        <f>+Hoja2!X9+Hoja1!X9</f>
        <v>161106</v>
      </c>
      <c r="Y9" s="24">
        <v>2</v>
      </c>
      <c r="Z9" s="19">
        <f>+Hoja2!Z9+Hoja1!Z9</f>
        <v>0</v>
      </c>
      <c r="AA9" s="24">
        <v>0</v>
      </c>
      <c r="AB9" s="19">
        <f>+Hoja2!AB9+Hoja1!AB9</f>
        <v>0</v>
      </c>
      <c r="AC9" s="24">
        <v>1</v>
      </c>
      <c r="AD9" s="19">
        <f>+Hoja2!AD9+Hoja1!AD9</f>
        <v>0</v>
      </c>
      <c r="AE9" s="24">
        <v>0</v>
      </c>
      <c r="AF9" s="19">
        <f>+Hoja2!AF9+Hoja1!AF9</f>
        <v>0</v>
      </c>
      <c r="AG9" s="24">
        <v>0</v>
      </c>
      <c r="AH9" s="19">
        <f>+Hoja2!AH9+Hoja1!AH9</f>
        <v>0</v>
      </c>
      <c r="AI9" s="24">
        <v>0</v>
      </c>
      <c r="AJ9" s="19">
        <f>+Hoja2!AJ9+Hoja1!AJ9</f>
        <v>0</v>
      </c>
      <c r="AK9" s="24">
        <v>0</v>
      </c>
      <c r="AL9" s="19">
        <f>+Hoja2!AL9+Hoja1!AL9</f>
        <v>23507</v>
      </c>
      <c r="AM9" s="24">
        <v>0</v>
      </c>
      <c r="AN9" s="19">
        <f>+Hoja2!AN9+Hoja1!AN9</f>
        <v>0</v>
      </c>
      <c r="AO9" s="24">
        <v>0</v>
      </c>
      <c r="AP9" s="19">
        <f>+Hoja2!AP9+Hoja1!AP9</f>
        <v>0</v>
      </c>
      <c r="AQ9" s="24">
        <v>0</v>
      </c>
      <c r="AR9" s="19">
        <f>+Hoja2!AR9+Hoja1!AR9</f>
        <v>0</v>
      </c>
      <c r="AS9" s="24">
        <v>0</v>
      </c>
      <c r="AT9" s="19">
        <f>+Hoja2!AT9+Hoja1!AT9</f>
        <v>0</v>
      </c>
      <c r="AU9" s="24">
        <v>0</v>
      </c>
      <c r="AV9" s="19">
        <f>+Hoja2!AV9+Hoja1!AV9</f>
        <v>0</v>
      </c>
      <c r="AW9" s="24">
        <v>0</v>
      </c>
      <c r="AX9" s="19">
        <f>+Hoja2!AX9+Hoja1!AX9</f>
        <v>0</v>
      </c>
      <c r="AY9" s="24">
        <v>0</v>
      </c>
      <c r="AZ9" s="19">
        <f>+Hoja2!AZ9+Hoja1!AZ9</f>
        <v>0</v>
      </c>
      <c r="BA9" s="24">
        <v>0</v>
      </c>
      <c r="BB9" s="19">
        <f>+Hoja2!BB9+Hoja1!BB9</f>
        <v>0</v>
      </c>
      <c r="BC9" s="24">
        <v>0</v>
      </c>
      <c r="BD9" s="19">
        <f>+Hoja2!BD9+Hoja1!BD9</f>
        <v>11974</v>
      </c>
      <c r="BE9" s="24">
        <v>0</v>
      </c>
      <c r="BF9" s="19">
        <f>+Hoja2!BF9+Hoja1!BF9</f>
        <v>0</v>
      </c>
      <c r="BG9" s="24">
        <v>0</v>
      </c>
      <c r="BH9" s="19">
        <f>+Hoja2!BH9+Hoja1!BH9</f>
        <v>1448</v>
      </c>
      <c r="BI9" s="24">
        <v>0</v>
      </c>
      <c r="BJ9" s="19">
        <f>+Hoja2!BJ9+Hoja1!BJ9</f>
        <v>1394</v>
      </c>
      <c r="BK9" s="24">
        <v>0</v>
      </c>
      <c r="BL9" s="19">
        <f>+Hoja2!BL9+Hoja1!BL9</f>
        <v>0</v>
      </c>
      <c r="BM9" s="24">
        <v>0</v>
      </c>
      <c r="BN9" s="19">
        <f>+Hoja2!BN9+Hoja1!BN9</f>
        <v>0</v>
      </c>
      <c r="BO9" s="24">
        <v>0</v>
      </c>
      <c r="BP9" s="19">
        <f>+Hoja2!BP9+Hoja1!BP9</f>
        <v>5157</v>
      </c>
      <c r="BQ9" s="24">
        <v>0</v>
      </c>
      <c r="BR9" s="19">
        <f>+Hoja2!BR9+Hoja1!BR9</f>
        <v>884</v>
      </c>
      <c r="BS9" s="24">
        <v>0</v>
      </c>
      <c r="BT9" s="19">
        <f>+Hoja2!BT9+Hoja1!BT9</f>
        <v>577</v>
      </c>
      <c r="BU9" s="24">
        <v>0</v>
      </c>
      <c r="BV9" s="19">
        <f>+Hoja2!BV9+Hoja1!BV9</f>
        <v>0</v>
      </c>
      <c r="BW9" s="24">
        <v>0</v>
      </c>
      <c r="BX9" s="19">
        <f>+Hoja2!BX9+Hoja1!BX9</f>
        <v>0</v>
      </c>
      <c r="BY9" s="24">
        <v>0</v>
      </c>
      <c r="BZ9" s="19">
        <f>+Hoja2!BZ9+Hoja1!BZ9</f>
        <v>1569</v>
      </c>
      <c r="CA9" s="24">
        <v>0</v>
      </c>
      <c r="CB9" s="19">
        <f>+Hoja2!CB9+Hoja1!CB9</f>
        <v>0</v>
      </c>
      <c r="CC9" s="24">
        <v>0</v>
      </c>
      <c r="CD9" s="19">
        <f>+Hoja2!CD9+Hoja1!CD9</f>
        <v>0</v>
      </c>
      <c r="CE9" s="24">
        <v>0</v>
      </c>
      <c r="CF9" s="19">
        <f>+Hoja2!CF9+Hoja1!CF9</f>
        <v>0</v>
      </c>
      <c r="CG9" s="24">
        <v>0</v>
      </c>
      <c r="CH9" s="19">
        <f>+Hoja2!CH9+Hoja1!CH9</f>
        <v>0</v>
      </c>
      <c r="CI9" s="24">
        <v>0</v>
      </c>
      <c r="CJ9" s="19">
        <f>+Hoja2!CJ9+Hoja1!CJ9</f>
        <v>0</v>
      </c>
      <c r="CK9" s="24">
        <v>0</v>
      </c>
      <c r="CL9" s="19">
        <f>+Hoja2!CL9+Hoja1!CL9</f>
        <v>0</v>
      </c>
      <c r="CM9" s="24">
        <v>0</v>
      </c>
      <c r="CN9" s="19">
        <f>+Hoja2!CN9+Hoja1!CN9</f>
        <v>0</v>
      </c>
      <c r="CO9" s="24">
        <v>0</v>
      </c>
      <c r="CP9" s="19">
        <f>+Hoja2!CP9+Hoja1!CP9</f>
        <v>0</v>
      </c>
      <c r="CQ9" s="24">
        <v>0</v>
      </c>
      <c r="CR9" s="19">
        <f>+Hoja2!CR9+Hoja1!CR9</f>
        <v>0</v>
      </c>
      <c r="CS9" s="24">
        <v>0</v>
      </c>
      <c r="CT9" s="19">
        <f>+Hoja2!CT9+Hoja1!CT9</f>
        <v>0</v>
      </c>
      <c r="CU9" s="24">
        <v>0</v>
      </c>
      <c r="CV9" s="19">
        <f>+Hoja2!CV9+Hoja1!CV9</f>
        <v>0</v>
      </c>
      <c r="CW9" s="24">
        <v>0</v>
      </c>
      <c r="CX9" s="19">
        <f>+Hoja2!CX9+Hoja1!CX9</f>
        <v>0</v>
      </c>
      <c r="CY9" s="24">
        <v>0</v>
      </c>
      <c r="CZ9" s="19">
        <f>+Hoja2!CZ9+Hoja1!CZ9</f>
        <v>0</v>
      </c>
      <c r="DA9" s="24">
        <v>0</v>
      </c>
      <c r="DB9" s="19">
        <f>+Hoja2!DB9+Hoja1!DB9</f>
        <v>0</v>
      </c>
      <c r="DC9" s="24">
        <v>0</v>
      </c>
      <c r="DD9" s="19">
        <f>+Hoja2!DD9+Hoja1!DD9</f>
        <v>0</v>
      </c>
      <c r="DE9" s="24">
        <v>0</v>
      </c>
      <c r="DF9" s="19">
        <f>+Hoja2!DF9+Hoja1!DF9</f>
        <v>0</v>
      </c>
      <c r="DG9" s="24">
        <v>0</v>
      </c>
      <c r="DH9" s="19">
        <f>+Hoja2!DH9+Hoja1!DH9</f>
        <v>0</v>
      </c>
      <c r="DI9" s="24">
        <v>0</v>
      </c>
      <c r="DJ9" s="19">
        <f>+Hoja2!DJ9+Hoja1!DJ9</f>
        <v>0</v>
      </c>
      <c r="DK9" s="24">
        <v>0</v>
      </c>
      <c r="DL9" s="19">
        <f>+Hoja2!DL9+Hoja1!DL9</f>
        <v>0</v>
      </c>
      <c r="DM9" s="24">
        <v>0</v>
      </c>
      <c r="DN9" s="19">
        <f>+Hoja2!DN9+Hoja1!DN9</f>
        <v>0</v>
      </c>
      <c r="DO9" s="24">
        <v>0</v>
      </c>
      <c r="DP9" s="19">
        <f>+Hoja2!DP9+Hoja1!DP9</f>
        <v>0</v>
      </c>
      <c r="DQ9" s="24">
        <v>0</v>
      </c>
      <c r="DR9" s="19">
        <f>+Hoja2!DR9+Hoja1!DR9</f>
        <v>0</v>
      </c>
      <c r="DS9" s="24">
        <v>0</v>
      </c>
      <c r="DT9" s="19">
        <f>+Hoja2!DT9+Hoja1!DT9</f>
        <v>0</v>
      </c>
      <c r="DU9" s="24">
        <v>0</v>
      </c>
      <c r="DV9" s="19">
        <f>+Hoja2!DV9+Hoja1!DV9</f>
        <v>0</v>
      </c>
      <c r="DW9" s="24">
        <v>0</v>
      </c>
      <c r="DX9" s="19">
        <f>+Hoja2!DX9+Hoja1!DX9</f>
        <v>0</v>
      </c>
      <c r="DY9" s="24">
        <v>0</v>
      </c>
      <c r="DZ9" s="19">
        <f>+Hoja2!DZ9+Hoja1!DZ9</f>
        <v>0</v>
      </c>
      <c r="EA9" s="24">
        <v>0</v>
      </c>
      <c r="EB9" s="19">
        <f>+Hoja2!EB9+Hoja1!EB9</f>
        <v>0</v>
      </c>
      <c r="EC9" s="24">
        <v>0</v>
      </c>
      <c r="ED9" s="19">
        <f>+Hoja2!ED9+Hoja1!ED9</f>
        <v>0</v>
      </c>
      <c r="EE9" s="24">
        <v>0</v>
      </c>
      <c r="EF9" s="19">
        <f>+Hoja2!EF9+Hoja1!EF9</f>
        <v>0</v>
      </c>
      <c r="EG9" s="24">
        <v>0</v>
      </c>
      <c r="EH9" s="19">
        <f>+Hoja2!EH9+Hoja1!EH9</f>
        <v>0</v>
      </c>
      <c r="EI9" s="24">
        <v>0</v>
      </c>
      <c r="EJ9" s="19">
        <f>+Hoja2!EJ9+Hoja1!EJ9</f>
        <v>0</v>
      </c>
      <c r="EK9" s="24">
        <v>0</v>
      </c>
      <c r="EL9" s="19">
        <f>+Hoja2!EL9+Hoja1!EL9</f>
        <v>0</v>
      </c>
      <c r="EM9" s="24">
        <v>0</v>
      </c>
      <c r="EN9" s="19">
        <f>+Hoja2!EN9+Hoja1!EN9</f>
        <v>0</v>
      </c>
      <c r="EO9" s="24">
        <v>0</v>
      </c>
      <c r="EP9" s="19">
        <f>+Hoja2!EP9+Hoja1!EP9</f>
        <v>0</v>
      </c>
      <c r="EQ9" s="24">
        <v>0</v>
      </c>
      <c r="ER9" s="19">
        <f>+Hoja2!ER9+Hoja1!ER9</f>
        <v>0</v>
      </c>
      <c r="ES9" s="24">
        <v>0</v>
      </c>
      <c r="ET9" s="19">
        <f>+Hoja2!ET9+Hoja1!ET9</f>
        <v>0</v>
      </c>
      <c r="EU9" s="24">
        <v>0</v>
      </c>
    </row>
    <row r="10" spans="1:151" x14ac:dyDescent="0.25">
      <c r="A10" s="24" t="s">
        <v>26</v>
      </c>
      <c r="B10" s="25">
        <v>22</v>
      </c>
      <c r="C10" s="24" t="s">
        <v>27</v>
      </c>
      <c r="D10" s="24">
        <v>219345</v>
      </c>
      <c r="E10" s="26">
        <v>399</v>
      </c>
      <c r="F10" s="26">
        <v>165099</v>
      </c>
      <c r="G10" s="26">
        <v>7623</v>
      </c>
      <c r="H10" s="26">
        <v>172722</v>
      </c>
      <c r="I10" s="1">
        <v>1173</v>
      </c>
      <c r="J10" s="19">
        <f>+INT(([1]Hoja1!M10/[1]Hoja1!O10)*M10)</f>
        <v>9685081</v>
      </c>
      <c r="K10" s="19">
        <f>+INT(([1]Hoja1!N10/[1]Hoja1!O10)*M10)</f>
        <v>9568874</v>
      </c>
      <c r="L10" s="19">
        <f t="shared" si="1"/>
        <v>117401</v>
      </c>
      <c r="M10" s="19">
        <f t="shared" si="2"/>
        <v>116207</v>
      </c>
      <c r="N10" s="22">
        <f t="shared" si="0"/>
        <v>114844</v>
      </c>
      <c r="O10" s="26">
        <v>1363</v>
      </c>
      <c r="P10" s="26">
        <v>1194</v>
      </c>
      <c r="Q10" s="22">
        <f t="shared" si="3"/>
        <v>3</v>
      </c>
      <c r="R10" s="19">
        <f>+Hoja2!R10+Hoja1!R10</f>
        <v>40930</v>
      </c>
      <c r="S10" s="24">
        <v>2</v>
      </c>
      <c r="T10" s="19">
        <f>+Hoja2!T10+Hoja1!T10</f>
        <v>37795</v>
      </c>
      <c r="U10" s="24">
        <v>1</v>
      </c>
      <c r="V10" s="19">
        <f>+Hoja2!V10+Hoja1!V10</f>
        <v>17581</v>
      </c>
      <c r="W10" s="24">
        <v>0</v>
      </c>
      <c r="X10" s="19">
        <f>+Hoja2!X10+Hoja1!X10</f>
        <v>14736</v>
      </c>
      <c r="Y10" s="24">
        <v>0</v>
      </c>
      <c r="Z10" s="19">
        <f>+Hoja2!Z10+Hoja1!Z10</f>
        <v>0</v>
      </c>
      <c r="AA10" s="24">
        <v>0</v>
      </c>
      <c r="AB10" s="19">
        <f>+Hoja2!AB10+Hoja1!AB10</f>
        <v>0</v>
      </c>
      <c r="AC10" s="24">
        <v>0</v>
      </c>
      <c r="AD10" s="19">
        <f>+Hoja2!AD10+Hoja1!AD10</f>
        <v>0</v>
      </c>
      <c r="AE10" s="24">
        <v>0</v>
      </c>
      <c r="AF10" s="19">
        <f>+Hoja2!AF10+Hoja1!AF10</f>
        <v>0</v>
      </c>
      <c r="AG10" s="24">
        <v>0</v>
      </c>
      <c r="AH10" s="19">
        <f>+Hoja2!AH10+Hoja1!AH10</f>
        <v>0</v>
      </c>
      <c r="AI10" s="24">
        <v>0</v>
      </c>
      <c r="AJ10" s="19">
        <f>+Hoja2!AJ10+Hoja1!AJ10</f>
        <v>0</v>
      </c>
      <c r="AK10" s="24">
        <v>0</v>
      </c>
      <c r="AL10" s="19">
        <f>+Hoja2!AL10+Hoja1!AL10</f>
        <v>0</v>
      </c>
      <c r="AM10" s="24">
        <v>0</v>
      </c>
      <c r="AN10" s="19">
        <f>+Hoja2!AN10+Hoja1!AN10</f>
        <v>0</v>
      </c>
      <c r="AO10" s="24">
        <v>0</v>
      </c>
      <c r="AP10" s="19">
        <f>+Hoja2!AP10+Hoja1!AP10</f>
        <v>0</v>
      </c>
      <c r="AQ10" s="24">
        <v>0</v>
      </c>
      <c r="AR10" s="19">
        <f>+Hoja2!AR10+Hoja1!AR10</f>
        <v>0</v>
      </c>
      <c r="AS10" s="24">
        <v>0</v>
      </c>
      <c r="AT10" s="19">
        <f>+Hoja2!AT10+Hoja1!AT10</f>
        <v>0</v>
      </c>
      <c r="AU10" s="24">
        <v>0</v>
      </c>
      <c r="AV10" s="19">
        <f>+Hoja2!AV10+Hoja1!AV10</f>
        <v>0</v>
      </c>
      <c r="AW10" s="24">
        <v>0</v>
      </c>
      <c r="AX10" s="19">
        <f>+Hoja2!AX10+Hoja1!AX10</f>
        <v>0</v>
      </c>
      <c r="AY10" s="24">
        <v>0</v>
      </c>
      <c r="AZ10" s="19">
        <f>+Hoja2!AZ10+Hoja1!AZ10</f>
        <v>0</v>
      </c>
      <c r="BA10" s="24">
        <v>0</v>
      </c>
      <c r="BB10" s="19">
        <f>+Hoja2!BB10+Hoja1!BB10</f>
        <v>0</v>
      </c>
      <c r="BC10" s="24">
        <v>0</v>
      </c>
      <c r="BD10" s="19">
        <f>+Hoja2!BD10+Hoja1!BD10</f>
        <v>731</v>
      </c>
      <c r="BE10" s="24">
        <v>0</v>
      </c>
      <c r="BF10" s="19">
        <f>+Hoja2!BF10+Hoja1!BF10</f>
        <v>0</v>
      </c>
      <c r="BG10" s="24">
        <v>0</v>
      </c>
      <c r="BH10" s="19">
        <f>+Hoja2!BH10+Hoja1!BH10</f>
        <v>197</v>
      </c>
      <c r="BI10" s="24">
        <v>0</v>
      </c>
      <c r="BJ10" s="19">
        <f>+Hoja2!BJ10+Hoja1!BJ10</f>
        <v>152</v>
      </c>
      <c r="BK10" s="24">
        <v>0</v>
      </c>
      <c r="BL10" s="19">
        <f>+Hoja2!BL10+Hoja1!BL10</f>
        <v>0</v>
      </c>
      <c r="BM10" s="24">
        <v>0</v>
      </c>
      <c r="BN10" s="19">
        <f>+Hoja2!BN10+Hoja1!BN10</f>
        <v>0</v>
      </c>
      <c r="BO10" s="24">
        <v>0</v>
      </c>
      <c r="BP10" s="19">
        <f>+Hoja2!BP10+Hoja1!BP10</f>
        <v>0</v>
      </c>
      <c r="BQ10" s="24">
        <v>0</v>
      </c>
      <c r="BR10" s="19">
        <f>+Hoja2!BR10+Hoja1!BR10</f>
        <v>105</v>
      </c>
      <c r="BS10" s="24">
        <v>0</v>
      </c>
      <c r="BT10" s="19">
        <f>+Hoja2!BT10+Hoja1!BT10</f>
        <v>90</v>
      </c>
      <c r="BU10" s="24">
        <v>0</v>
      </c>
      <c r="BV10" s="19">
        <f>+Hoja2!BV10+Hoja1!BV10</f>
        <v>0</v>
      </c>
      <c r="BW10" s="24">
        <v>0</v>
      </c>
      <c r="BX10" s="19">
        <f>+Hoja2!BX10+Hoja1!BX10</f>
        <v>0</v>
      </c>
      <c r="BY10" s="24">
        <v>0</v>
      </c>
      <c r="BZ10" s="19">
        <f>+Hoja2!BZ10+Hoja1!BZ10</f>
        <v>0</v>
      </c>
      <c r="CA10" s="24">
        <v>0</v>
      </c>
      <c r="CB10" s="19">
        <f>+Hoja2!CB10+Hoja1!CB10</f>
        <v>0</v>
      </c>
      <c r="CC10" s="24">
        <v>0</v>
      </c>
      <c r="CD10" s="19">
        <f>+Hoja2!CD10+Hoja1!CD10</f>
        <v>391</v>
      </c>
      <c r="CE10" s="24">
        <v>0</v>
      </c>
      <c r="CF10" s="19">
        <f>+Hoja2!CF10+Hoja1!CF10</f>
        <v>0</v>
      </c>
      <c r="CG10" s="24">
        <v>0</v>
      </c>
      <c r="CH10" s="19">
        <f>+Hoja2!CH10+Hoja1!CH10</f>
        <v>0</v>
      </c>
      <c r="CI10" s="24">
        <v>0</v>
      </c>
      <c r="CJ10" s="19">
        <f>+Hoja2!CJ10+Hoja1!CJ10</f>
        <v>0</v>
      </c>
      <c r="CK10" s="24">
        <v>0</v>
      </c>
      <c r="CL10" s="19">
        <f>+Hoja2!CL10+Hoja1!CL10</f>
        <v>0</v>
      </c>
      <c r="CM10" s="24">
        <v>0</v>
      </c>
      <c r="CN10" s="19">
        <f>+Hoja2!CN10+Hoja1!CN10</f>
        <v>0</v>
      </c>
      <c r="CO10" s="24">
        <v>0</v>
      </c>
      <c r="CP10" s="19">
        <f>+Hoja2!CP10+Hoja1!CP10</f>
        <v>0</v>
      </c>
      <c r="CQ10" s="24">
        <v>0</v>
      </c>
      <c r="CR10" s="19">
        <f>+Hoja2!CR10+Hoja1!CR10</f>
        <v>0</v>
      </c>
      <c r="CS10" s="24">
        <v>0</v>
      </c>
      <c r="CT10" s="19">
        <f>+Hoja2!CT10+Hoja1!CT10</f>
        <v>0</v>
      </c>
      <c r="CU10" s="24">
        <v>0</v>
      </c>
      <c r="CV10" s="19">
        <f>+Hoja2!CV10+Hoja1!CV10</f>
        <v>0</v>
      </c>
      <c r="CW10" s="24">
        <v>0</v>
      </c>
      <c r="CX10" s="19">
        <f>+Hoja2!CX10+Hoja1!CX10</f>
        <v>0</v>
      </c>
      <c r="CY10" s="24">
        <v>0</v>
      </c>
      <c r="CZ10" s="19">
        <f>+Hoja2!CZ10+Hoja1!CZ10</f>
        <v>0</v>
      </c>
      <c r="DA10" s="24">
        <v>0</v>
      </c>
      <c r="DB10" s="19">
        <f>+Hoja2!DB10+Hoja1!DB10</f>
        <v>1990</v>
      </c>
      <c r="DC10" s="24">
        <v>0</v>
      </c>
      <c r="DD10" s="19">
        <f>+Hoja2!DD10+Hoja1!DD10</f>
        <v>0</v>
      </c>
      <c r="DE10" s="24">
        <v>0</v>
      </c>
      <c r="DF10" s="19">
        <f>+Hoja2!DF10+Hoja1!DF10</f>
        <v>0</v>
      </c>
      <c r="DG10" s="24">
        <v>0</v>
      </c>
      <c r="DH10" s="19">
        <f>+Hoja2!DH10+Hoja1!DH10</f>
        <v>0</v>
      </c>
      <c r="DI10" s="24">
        <v>0</v>
      </c>
      <c r="DJ10" s="19">
        <f>+Hoja2!DJ10+Hoja1!DJ10</f>
        <v>0</v>
      </c>
      <c r="DK10" s="24">
        <v>0</v>
      </c>
      <c r="DL10" s="19">
        <f>+Hoja2!DL10+Hoja1!DL10</f>
        <v>0</v>
      </c>
      <c r="DM10" s="24">
        <v>0</v>
      </c>
      <c r="DN10" s="19">
        <f>+Hoja2!DN10+Hoja1!DN10</f>
        <v>0</v>
      </c>
      <c r="DO10" s="24">
        <v>0</v>
      </c>
      <c r="DP10" s="19">
        <f>+Hoja2!DP10+Hoja1!DP10</f>
        <v>0</v>
      </c>
      <c r="DQ10" s="24">
        <v>0</v>
      </c>
      <c r="DR10" s="19">
        <f>+Hoja2!DR10+Hoja1!DR10</f>
        <v>0</v>
      </c>
      <c r="DS10" s="24">
        <v>0</v>
      </c>
      <c r="DT10" s="19">
        <f>+Hoja2!DT10+Hoja1!DT10</f>
        <v>0</v>
      </c>
      <c r="DU10" s="24">
        <v>0</v>
      </c>
      <c r="DV10" s="19">
        <f>+Hoja2!DV10+Hoja1!DV10</f>
        <v>72</v>
      </c>
      <c r="DW10" s="24">
        <v>0</v>
      </c>
      <c r="DX10" s="19">
        <f>+Hoja2!DX10+Hoja1!DX10</f>
        <v>0</v>
      </c>
      <c r="DY10" s="24">
        <v>0</v>
      </c>
      <c r="DZ10" s="19">
        <f>+Hoja2!DZ10+Hoja1!DZ10</f>
        <v>0</v>
      </c>
      <c r="EA10" s="24">
        <v>0</v>
      </c>
      <c r="EB10" s="19">
        <f>+Hoja2!EB10+Hoja1!EB10</f>
        <v>0</v>
      </c>
      <c r="EC10" s="24">
        <v>0</v>
      </c>
      <c r="ED10" s="19">
        <f>+Hoja2!ED10+Hoja1!ED10</f>
        <v>0</v>
      </c>
      <c r="EE10" s="24">
        <v>0</v>
      </c>
      <c r="EF10" s="19">
        <f>+Hoja2!EF10+Hoja1!EF10</f>
        <v>74</v>
      </c>
      <c r="EG10" s="24">
        <v>0</v>
      </c>
      <c r="EH10" s="19">
        <f>+Hoja2!EH10+Hoja1!EH10</f>
        <v>0</v>
      </c>
      <c r="EI10" s="24">
        <v>0</v>
      </c>
      <c r="EJ10" s="19">
        <f>+Hoja2!EJ10+Hoja1!EJ10</f>
        <v>0</v>
      </c>
      <c r="EK10" s="24">
        <v>0</v>
      </c>
      <c r="EL10" s="19">
        <f>+Hoja2!EL10+Hoja1!EL10</f>
        <v>0</v>
      </c>
      <c r="EM10" s="24">
        <v>0</v>
      </c>
      <c r="EN10" s="19">
        <f>+Hoja2!EN10+Hoja1!EN10</f>
        <v>0</v>
      </c>
      <c r="EO10" s="24">
        <v>0</v>
      </c>
      <c r="EP10" s="19">
        <f>+Hoja2!EP10+Hoja1!EP10</f>
        <v>0</v>
      </c>
      <c r="EQ10" s="24">
        <v>0</v>
      </c>
      <c r="ER10" s="19">
        <f>+Hoja2!ER10+Hoja1!ER10</f>
        <v>0</v>
      </c>
      <c r="ES10" s="24">
        <v>0</v>
      </c>
      <c r="ET10" s="19">
        <f>+Hoja2!ET10+Hoja1!ET10</f>
        <v>0</v>
      </c>
      <c r="EU10" s="24">
        <v>0</v>
      </c>
    </row>
    <row r="11" spans="1:151" x14ac:dyDescent="0.25">
      <c r="A11" s="24" t="s">
        <v>26</v>
      </c>
      <c r="B11" s="25">
        <v>44</v>
      </c>
      <c r="C11" s="24" t="s">
        <v>28</v>
      </c>
      <c r="D11" s="24">
        <v>134572</v>
      </c>
      <c r="E11" s="26">
        <v>333</v>
      </c>
      <c r="F11" s="26">
        <v>102585</v>
      </c>
      <c r="G11" s="26">
        <v>4882</v>
      </c>
      <c r="H11" s="26">
        <v>107467</v>
      </c>
      <c r="I11">
        <v>519</v>
      </c>
      <c r="J11" s="19">
        <f>+INT(([1]Hoja1!M11/[1]Hoja1!O11)*M11)</f>
        <v>13858263</v>
      </c>
      <c r="K11" s="19">
        <f>+INT(([1]Hoja1!N11/[1]Hoja1!O11)*M11)</f>
        <v>13782924</v>
      </c>
      <c r="L11" s="19">
        <f t="shared" si="1"/>
        <v>75870</v>
      </c>
      <c r="M11" s="19">
        <f t="shared" si="2"/>
        <v>75339</v>
      </c>
      <c r="N11" s="22">
        <f t="shared" si="0"/>
        <v>74936</v>
      </c>
      <c r="O11" s="26">
        <v>403</v>
      </c>
      <c r="P11" s="26">
        <v>531</v>
      </c>
      <c r="Q11" s="22">
        <f t="shared" si="3"/>
        <v>3</v>
      </c>
      <c r="R11" s="19">
        <f>+Hoja2!R11+Hoja1!R11</f>
        <v>20253</v>
      </c>
      <c r="S11" s="24">
        <v>1</v>
      </c>
      <c r="T11" s="19">
        <f>+Hoja2!T11+Hoja1!T11</f>
        <v>20855</v>
      </c>
      <c r="U11" s="24">
        <v>1</v>
      </c>
      <c r="V11" s="19">
        <f>+Hoja2!V11+Hoja1!V11</f>
        <v>9532</v>
      </c>
      <c r="W11" s="24">
        <v>0</v>
      </c>
      <c r="X11" s="19">
        <f>+Hoja2!X11+Hoja1!X11</f>
        <v>4181</v>
      </c>
      <c r="Y11" s="24">
        <v>0</v>
      </c>
      <c r="Z11" s="19">
        <f>+Hoja2!Z11+Hoja1!Z11</f>
        <v>0</v>
      </c>
      <c r="AA11" s="24">
        <v>0</v>
      </c>
      <c r="AB11" s="19">
        <f>+Hoja2!AB11+Hoja1!AB11</f>
        <v>0</v>
      </c>
      <c r="AC11" s="24">
        <v>0</v>
      </c>
      <c r="AD11" s="19">
        <f>+Hoja2!AD11+Hoja1!AD11</f>
        <v>0</v>
      </c>
      <c r="AE11" s="24">
        <v>0</v>
      </c>
      <c r="AF11" s="19">
        <f>+Hoja2!AF11+Hoja1!AF11</f>
        <v>0</v>
      </c>
      <c r="AG11" s="24">
        <v>0</v>
      </c>
      <c r="AH11" s="19">
        <f>+Hoja2!AH11+Hoja1!AH11</f>
        <v>0</v>
      </c>
      <c r="AI11" s="24">
        <v>0</v>
      </c>
      <c r="AJ11" s="19">
        <f>+Hoja2!AJ11+Hoja1!AJ11</f>
        <v>0</v>
      </c>
      <c r="AK11" s="24">
        <v>0</v>
      </c>
      <c r="AL11" s="19">
        <f>+Hoja2!AL11+Hoja1!AL11</f>
        <v>0</v>
      </c>
      <c r="AM11" s="24">
        <v>0</v>
      </c>
      <c r="AN11" s="19">
        <f>+Hoja2!AN11+Hoja1!AN11</f>
        <v>0</v>
      </c>
      <c r="AO11" s="24">
        <v>0</v>
      </c>
      <c r="AP11" s="19">
        <f>+Hoja2!AP11+Hoja1!AP11</f>
        <v>0</v>
      </c>
      <c r="AQ11" s="24">
        <v>0</v>
      </c>
      <c r="AR11" s="19">
        <f>+Hoja2!AR11+Hoja1!AR11</f>
        <v>0</v>
      </c>
      <c r="AS11" s="24">
        <v>0</v>
      </c>
      <c r="AT11" s="19">
        <f>+Hoja2!AT11+Hoja1!AT11</f>
        <v>0</v>
      </c>
      <c r="AU11" s="24">
        <v>0</v>
      </c>
      <c r="AV11" s="19">
        <f>+Hoja2!AV11+Hoja1!AV11</f>
        <v>0</v>
      </c>
      <c r="AW11" s="24">
        <v>0</v>
      </c>
      <c r="AX11" s="19">
        <f>+Hoja2!AX11+Hoja1!AX11</f>
        <v>0</v>
      </c>
      <c r="AY11" s="24">
        <v>0</v>
      </c>
      <c r="AZ11" s="19">
        <f>+Hoja2!AZ11+Hoja1!AZ11</f>
        <v>0</v>
      </c>
      <c r="BA11" s="24">
        <v>0</v>
      </c>
      <c r="BB11" s="19">
        <f>+Hoja2!BB11+Hoja1!BB11</f>
        <v>19662</v>
      </c>
      <c r="BC11" s="24">
        <v>1</v>
      </c>
      <c r="BD11" s="19">
        <f>+Hoja2!BD11+Hoja1!BD11</f>
        <v>210</v>
      </c>
      <c r="BE11" s="24">
        <v>0</v>
      </c>
      <c r="BF11" s="19">
        <f>+Hoja2!BF11+Hoja1!BF11</f>
        <v>0</v>
      </c>
      <c r="BG11" s="24">
        <v>0</v>
      </c>
      <c r="BH11" s="19">
        <f>+Hoja2!BH11+Hoja1!BH11</f>
        <v>0</v>
      </c>
      <c r="BI11" s="24">
        <v>0</v>
      </c>
      <c r="BJ11" s="19">
        <f>+Hoja2!BJ11+Hoja1!BJ11</f>
        <v>34</v>
      </c>
      <c r="BK11" s="24">
        <v>0</v>
      </c>
      <c r="BL11" s="19">
        <f>+Hoja2!BL11+Hoja1!BL11</f>
        <v>0</v>
      </c>
      <c r="BM11" s="24">
        <v>0</v>
      </c>
      <c r="BN11" s="19">
        <f>+Hoja2!BN11+Hoja1!BN11</f>
        <v>0</v>
      </c>
      <c r="BO11" s="24">
        <v>0</v>
      </c>
      <c r="BP11" s="19">
        <f>+Hoja2!BP11+Hoja1!BP11</f>
        <v>0</v>
      </c>
      <c r="BQ11" s="24">
        <v>0</v>
      </c>
      <c r="BR11" s="19">
        <f>+Hoja2!BR11+Hoja1!BR11</f>
        <v>47</v>
      </c>
      <c r="BS11" s="24">
        <v>0</v>
      </c>
      <c r="BT11" s="19">
        <f>+Hoja2!BT11+Hoja1!BT11</f>
        <v>0</v>
      </c>
      <c r="BU11" s="24">
        <v>0</v>
      </c>
      <c r="BV11" s="19">
        <f>+Hoja2!BV11+Hoja1!BV11</f>
        <v>0</v>
      </c>
      <c r="BW11" s="24">
        <v>0</v>
      </c>
      <c r="BX11" s="19">
        <f>+Hoja2!BX11+Hoja1!BX11</f>
        <v>0</v>
      </c>
      <c r="BY11" s="24">
        <v>0</v>
      </c>
      <c r="BZ11" s="19">
        <f>+Hoja2!BZ11+Hoja1!BZ11</f>
        <v>100</v>
      </c>
      <c r="CA11" s="24">
        <v>0</v>
      </c>
      <c r="CB11" s="19">
        <f>+Hoja2!CB11+Hoja1!CB11</f>
        <v>0</v>
      </c>
      <c r="CC11" s="24">
        <v>0</v>
      </c>
      <c r="CD11" s="19">
        <f>+Hoja2!CD11+Hoja1!CD11</f>
        <v>0</v>
      </c>
      <c r="CE11" s="24">
        <v>0</v>
      </c>
      <c r="CF11" s="19">
        <f>+Hoja2!CF11+Hoja1!CF11</f>
        <v>0</v>
      </c>
      <c r="CG11" s="24">
        <v>0</v>
      </c>
      <c r="CH11" s="19">
        <f>+Hoja2!CH11+Hoja1!CH11</f>
        <v>0</v>
      </c>
      <c r="CI11" s="24">
        <v>0</v>
      </c>
      <c r="CJ11" s="19">
        <f>+Hoja2!CJ11+Hoja1!CJ11</f>
        <v>0</v>
      </c>
      <c r="CK11" s="24">
        <v>0</v>
      </c>
      <c r="CL11" s="19">
        <f>+Hoja2!CL11+Hoja1!CL11</f>
        <v>0</v>
      </c>
      <c r="CM11" s="24">
        <v>0</v>
      </c>
      <c r="CN11" s="19">
        <f>+Hoja2!CN11+Hoja1!CN11</f>
        <v>0</v>
      </c>
      <c r="CO11" s="24">
        <v>0</v>
      </c>
      <c r="CP11" s="19">
        <f>+Hoja2!CP11+Hoja1!CP11</f>
        <v>0</v>
      </c>
      <c r="CQ11" s="24">
        <v>0</v>
      </c>
      <c r="CR11" s="19">
        <f>+Hoja2!CR11+Hoja1!CR11</f>
        <v>0</v>
      </c>
      <c r="CS11" s="24">
        <v>0</v>
      </c>
      <c r="CT11" s="19">
        <f>+Hoja2!CT11+Hoja1!CT11</f>
        <v>0</v>
      </c>
      <c r="CU11" s="24">
        <v>0</v>
      </c>
      <c r="CV11" s="19">
        <f>+Hoja2!CV11+Hoja1!CV11</f>
        <v>0</v>
      </c>
      <c r="CW11" s="24">
        <v>0</v>
      </c>
      <c r="CX11" s="19">
        <f>+Hoja2!CX11+Hoja1!CX11</f>
        <v>0</v>
      </c>
      <c r="CY11" s="24">
        <v>0</v>
      </c>
      <c r="CZ11" s="19">
        <f>+Hoja2!CZ11+Hoja1!CZ11</f>
        <v>0</v>
      </c>
      <c r="DA11" s="24">
        <v>0</v>
      </c>
      <c r="DB11" s="19">
        <f>+Hoja2!DB11+Hoja1!DB11</f>
        <v>0</v>
      </c>
      <c r="DC11" s="24">
        <v>0</v>
      </c>
      <c r="DD11" s="19">
        <f>+Hoja2!DD11+Hoja1!DD11</f>
        <v>0</v>
      </c>
      <c r="DE11" s="24">
        <v>0</v>
      </c>
      <c r="DF11" s="19">
        <f>+Hoja2!DF11+Hoja1!DF11</f>
        <v>0</v>
      </c>
      <c r="DG11" s="24">
        <v>0</v>
      </c>
      <c r="DH11" s="19">
        <f>+Hoja2!DH11+Hoja1!DH11</f>
        <v>0</v>
      </c>
      <c r="DI11" s="24">
        <v>0</v>
      </c>
      <c r="DJ11" s="19">
        <f>+Hoja2!DJ11+Hoja1!DJ11</f>
        <v>0</v>
      </c>
      <c r="DK11" s="24">
        <v>0</v>
      </c>
      <c r="DL11" s="19">
        <f>+Hoja2!DL11+Hoja1!DL11</f>
        <v>0</v>
      </c>
      <c r="DM11" s="24">
        <v>0</v>
      </c>
      <c r="DN11" s="19">
        <f>+Hoja2!DN11+Hoja1!DN11</f>
        <v>0</v>
      </c>
      <c r="DO11" s="24">
        <v>0</v>
      </c>
      <c r="DP11" s="19">
        <f>+Hoja2!DP11+Hoja1!DP11</f>
        <v>0</v>
      </c>
      <c r="DQ11" s="24">
        <v>0</v>
      </c>
      <c r="DR11" s="19">
        <f>+Hoja2!DR11+Hoja1!DR11</f>
        <v>0</v>
      </c>
      <c r="DS11" s="24">
        <v>0</v>
      </c>
      <c r="DT11" s="19">
        <f>+Hoja2!DT11+Hoja1!DT11</f>
        <v>0</v>
      </c>
      <c r="DU11" s="24">
        <v>0</v>
      </c>
      <c r="DV11" s="19">
        <f>+Hoja2!DV11+Hoja1!DV11</f>
        <v>24</v>
      </c>
      <c r="DW11" s="24">
        <v>0</v>
      </c>
      <c r="DX11" s="19">
        <f>+Hoja2!DX11+Hoja1!DX11</f>
        <v>0</v>
      </c>
      <c r="DY11" s="24">
        <v>0</v>
      </c>
      <c r="DZ11" s="19">
        <f>+Hoja2!DZ11+Hoja1!DZ11</f>
        <v>13</v>
      </c>
      <c r="EA11" s="24">
        <v>0</v>
      </c>
      <c r="EB11" s="19">
        <f>+Hoja2!EB11+Hoja1!EB11</f>
        <v>0</v>
      </c>
      <c r="EC11" s="24">
        <v>0</v>
      </c>
      <c r="ED11" s="19">
        <f>+Hoja2!ED11+Hoja1!ED11</f>
        <v>0</v>
      </c>
      <c r="EE11" s="24">
        <v>0</v>
      </c>
      <c r="EF11" s="19">
        <f>+Hoja2!EF11+Hoja1!EF11</f>
        <v>0</v>
      </c>
      <c r="EG11" s="24">
        <v>0</v>
      </c>
      <c r="EH11" s="19">
        <f>+Hoja2!EH11+Hoja1!EH11</f>
        <v>0</v>
      </c>
      <c r="EI11" s="24">
        <v>0</v>
      </c>
      <c r="EJ11" s="19">
        <f>+Hoja2!EJ11+Hoja1!EJ11</f>
        <v>0</v>
      </c>
      <c r="EK11" s="24">
        <v>0</v>
      </c>
      <c r="EL11" s="19">
        <f>+Hoja2!EL11+Hoja1!EL11</f>
        <v>0</v>
      </c>
      <c r="EM11" s="24">
        <v>0</v>
      </c>
      <c r="EN11" s="19">
        <f>+Hoja2!EN11+Hoja1!EN11</f>
        <v>0</v>
      </c>
      <c r="EO11" s="24">
        <v>0</v>
      </c>
      <c r="EP11" s="19">
        <f>+Hoja2!EP11+Hoja1!EP11</f>
        <v>0</v>
      </c>
      <c r="EQ11" s="24">
        <v>0</v>
      </c>
      <c r="ER11" s="19">
        <f>+Hoja2!ER11+Hoja1!ER11</f>
        <v>0</v>
      </c>
      <c r="ES11" s="24">
        <v>0</v>
      </c>
      <c r="ET11" s="19">
        <f>+Hoja2!ET11+Hoja1!ET11</f>
        <v>25</v>
      </c>
      <c r="EU11" s="24">
        <v>0</v>
      </c>
    </row>
    <row r="12" spans="1:151" x14ac:dyDescent="0.25">
      <c r="A12" s="24" t="s">
        <v>26</v>
      </c>
      <c r="B12" s="25">
        <v>50</v>
      </c>
      <c r="C12" s="24" t="s">
        <v>29</v>
      </c>
      <c r="D12" s="24">
        <v>954811</v>
      </c>
      <c r="E12" s="26">
        <v>1435</v>
      </c>
      <c r="F12" s="26">
        <v>715389</v>
      </c>
      <c r="G12" s="26">
        <v>24184</v>
      </c>
      <c r="H12" s="26">
        <v>739573</v>
      </c>
      <c r="I12" s="1">
        <v>4159</v>
      </c>
      <c r="J12" s="19">
        <f>+INT(([1]Hoja1!M12/[1]Hoja1!O12)*M12)</f>
        <v>53866321</v>
      </c>
      <c r="K12" s="19">
        <f>+INT(([1]Hoja1!N12/[1]Hoja1!O12)*M12)</f>
        <v>53342753</v>
      </c>
      <c r="L12" s="19">
        <f t="shared" si="1"/>
        <v>527923</v>
      </c>
      <c r="M12" s="19">
        <f t="shared" si="2"/>
        <v>523568</v>
      </c>
      <c r="N12" s="22">
        <f t="shared" si="0"/>
        <v>518579</v>
      </c>
      <c r="O12" s="26">
        <v>4989</v>
      </c>
      <c r="P12" s="26">
        <v>4355</v>
      </c>
      <c r="Q12" s="22">
        <f t="shared" si="3"/>
        <v>7</v>
      </c>
      <c r="R12" s="19">
        <f>+Hoja2!R12+Hoja1!R12</f>
        <v>170942</v>
      </c>
      <c r="S12" s="24">
        <v>3</v>
      </c>
      <c r="T12" s="19">
        <f>+Hoja2!T12+Hoja1!T12</f>
        <v>159907</v>
      </c>
      <c r="U12" s="24">
        <v>2</v>
      </c>
      <c r="V12" s="19">
        <f>+Hoja2!V12+Hoja1!V12</f>
        <v>94200</v>
      </c>
      <c r="W12" s="24">
        <v>1</v>
      </c>
      <c r="X12" s="19">
        <f>+Hoja2!X12+Hoja1!X12</f>
        <v>60768</v>
      </c>
      <c r="Y12" s="24">
        <v>1</v>
      </c>
      <c r="Z12" s="19">
        <f>+Hoja2!Z12+Hoja1!Z12</f>
        <v>0</v>
      </c>
      <c r="AA12" s="24">
        <v>0</v>
      </c>
      <c r="AB12" s="19">
        <f>+Hoja2!AB12+Hoja1!AB12</f>
        <v>0</v>
      </c>
      <c r="AC12" s="24">
        <v>0</v>
      </c>
      <c r="AD12" s="19">
        <f>+Hoja2!AD12+Hoja1!AD12</f>
        <v>0</v>
      </c>
      <c r="AE12" s="24">
        <v>0</v>
      </c>
      <c r="AF12" s="19">
        <f>+Hoja2!AF12+Hoja1!AF12</f>
        <v>0</v>
      </c>
      <c r="AG12" s="24">
        <v>0</v>
      </c>
      <c r="AH12" s="19">
        <f>+Hoja2!AH12+Hoja1!AH12</f>
        <v>0</v>
      </c>
      <c r="AI12" s="24">
        <v>0</v>
      </c>
      <c r="AJ12" s="19">
        <f>+Hoja2!AJ12+Hoja1!AJ12</f>
        <v>0</v>
      </c>
      <c r="AK12" s="24">
        <v>0</v>
      </c>
      <c r="AL12" s="19">
        <f>+Hoja2!AL12+Hoja1!AL12</f>
        <v>0</v>
      </c>
      <c r="AM12" s="24">
        <v>0</v>
      </c>
      <c r="AN12" s="19">
        <f>+Hoja2!AN12+Hoja1!AN12</f>
        <v>0</v>
      </c>
      <c r="AO12" s="24">
        <v>0</v>
      </c>
      <c r="AP12" s="19">
        <f>+Hoja2!AP12+Hoja1!AP12</f>
        <v>0</v>
      </c>
      <c r="AQ12" s="24">
        <v>0</v>
      </c>
      <c r="AR12" s="19">
        <f>+Hoja2!AR12+Hoja1!AR12</f>
        <v>0</v>
      </c>
      <c r="AS12" s="24">
        <v>0</v>
      </c>
      <c r="AT12" s="19">
        <f>+Hoja2!AT12+Hoja1!AT12</f>
        <v>0</v>
      </c>
      <c r="AU12" s="24">
        <v>0</v>
      </c>
      <c r="AV12" s="19">
        <f>+Hoja2!AV12+Hoja1!AV12</f>
        <v>0</v>
      </c>
      <c r="AW12" s="24">
        <v>0</v>
      </c>
      <c r="AX12" s="19">
        <f>+Hoja2!AX12+Hoja1!AX12</f>
        <v>0</v>
      </c>
      <c r="AY12" s="24">
        <v>0</v>
      </c>
      <c r="AZ12" s="19">
        <f>+Hoja2!AZ12+Hoja1!AZ12</f>
        <v>0</v>
      </c>
      <c r="BA12" s="24">
        <v>0</v>
      </c>
      <c r="BB12" s="19">
        <f>+Hoja2!BB12+Hoja1!BB12</f>
        <v>0</v>
      </c>
      <c r="BC12" s="24">
        <v>0</v>
      </c>
      <c r="BD12" s="19">
        <f>+Hoja2!BD12+Hoja1!BD12</f>
        <v>3599</v>
      </c>
      <c r="BE12" s="24">
        <v>0</v>
      </c>
      <c r="BF12" s="19">
        <f>+Hoja2!BF12+Hoja1!BF12</f>
        <v>0</v>
      </c>
      <c r="BG12" s="24">
        <v>0</v>
      </c>
      <c r="BH12" s="19">
        <f>+Hoja2!BH12+Hoja1!BH12</f>
        <v>856</v>
      </c>
      <c r="BI12" s="24">
        <v>0</v>
      </c>
      <c r="BJ12" s="19">
        <f>+Hoja2!BJ12+Hoja1!BJ12</f>
        <v>482</v>
      </c>
      <c r="BK12" s="24">
        <v>0</v>
      </c>
      <c r="BL12" s="19">
        <f>+Hoja2!BL12+Hoja1!BL12</f>
        <v>23080</v>
      </c>
      <c r="BM12" s="24">
        <v>0</v>
      </c>
      <c r="BN12" s="19">
        <f>+Hoja2!BN12+Hoja1!BN12</f>
        <v>0</v>
      </c>
      <c r="BO12" s="24">
        <v>0</v>
      </c>
      <c r="BP12" s="19">
        <f>+Hoja2!BP12+Hoja1!BP12</f>
        <v>0</v>
      </c>
      <c r="BQ12" s="24">
        <v>0</v>
      </c>
      <c r="BR12" s="19">
        <f>+Hoja2!BR12+Hoja1!BR12</f>
        <v>347</v>
      </c>
      <c r="BS12" s="24">
        <v>0</v>
      </c>
      <c r="BT12" s="19">
        <f>+Hoja2!BT12+Hoja1!BT12</f>
        <v>434</v>
      </c>
      <c r="BU12" s="24">
        <v>0</v>
      </c>
      <c r="BV12" s="19">
        <f>+Hoja2!BV12+Hoja1!BV12</f>
        <v>0</v>
      </c>
      <c r="BW12" s="24">
        <v>0</v>
      </c>
      <c r="BX12" s="19">
        <f>+Hoja2!BX12+Hoja1!BX12</f>
        <v>0</v>
      </c>
      <c r="BY12" s="24">
        <v>0</v>
      </c>
      <c r="BZ12" s="19">
        <f>+Hoja2!BZ12+Hoja1!BZ12</f>
        <v>0</v>
      </c>
      <c r="CA12" s="24">
        <v>0</v>
      </c>
      <c r="CB12" s="19">
        <f>+Hoja2!CB12+Hoja1!CB12</f>
        <v>0</v>
      </c>
      <c r="CC12" s="24">
        <v>0</v>
      </c>
      <c r="CD12" s="19">
        <f>+Hoja2!CD12+Hoja1!CD12</f>
        <v>1930</v>
      </c>
      <c r="CE12" s="24">
        <v>0</v>
      </c>
      <c r="CF12" s="19">
        <f>+Hoja2!CF12+Hoja1!CF12</f>
        <v>0</v>
      </c>
      <c r="CG12" s="24">
        <v>0</v>
      </c>
      <c r="CH12" s="19">
        <f>+Hoja2!CH12+Hoja1!CH12</f>
        <v>0</v>
      </c>
      <c r="CI12" s="24">
        <v>0</v>
      </c>
      <c r="CJ12" s="19">
        <f>+Hoja2!CJ12+Hoja1!CJ12</f>
        <v>0</v>
      </c>
      <c r="CK12" s="24">
        <v>0</v>
      </c>
      <c r="CL12" s="19">
        <f>+Hoja2!CL12+Hoja1!CL12</f>
        <v>0</v>
      </c>
      <c r="CM12" s="24">
        <v>0</v>
      </c>
      <c r="CN12" s="19">
        <f>+Hoja2!CN12+Hoja1!CN12</f>
        <v>0</v>
      </c>
      <c r="CO12" s="24">
        <v>0</v>
      </c>
      <c r="CP12" s="19">
        <f>+Hoja2!CP12+Hoja1!CP12</f>
        <v>0</v>
      </c>
      <c r="CQ12" s="24">
        <v>0</v>
      </c>
      <c r="CR12" s="19">
        <f>+Hoja2!CR12+Hoja1!CR12</f>
        <v>0</v>
      </c>
      <c r="CS12" s="24">
        <v>0</v>
      </c>
      <c r="CT12" s="19">
        <f>+Hoja2!CT12+Hoja1!CT12</f>
        <v>0</v>
      </c>
      <c r="CU12" s="24">
        <v>0</v>
      </c>
      <c r="CV12" s="19">
        <f>+Hoja2!CV12+Hoja1!CV12</f>
        <v>0</v>
      </c>
      <c r="CW12" s="24">
        <v>0</v>
      </c>
      <c r="CX12" s="19">
        <f>+Hoja2!CX12+Hoja1!CX12</f>
        <v>0</v>
      </c>
      <c r="CY12" s="24">
        <v>0</v>
      </c>
      <c r="CZ12" s="19">
        <f>+Hoja2!CZ12+Hoja1!CZ12</f>
        <v>0</v>
      </c>
      <c r="DA12" s="24">
        <v>0</v>
      </c>
      <c r="DB12" s="19">
        <f>+Hoja2!DB12+Hoja1!DB12</f>
        <v>0</v>
      </c>
      <c r="DC12" s="24">
        <v>0</v>
      </c>
      <c r="DD12" s="19">
        <f>+Hoja2!DD12+Hoja1!DD12</f>
        <v>0</v>
      </c>
      <c r="DE12" s="24">
        <v>0</v>
      </c>
      <c r="DF12" s="19">
        <f>+Hoja2!DF12+Hoja1!DF12</f>
        <v>0</v>
      </c>
      <c r="DG12" s="24">
        <v>0</v>
      </c>
      <c r="DH12" s="19">
        <f>+Hoja2!DH12+Hoja1!DH12</f>
        <v>0</v>
      </c>
      <c r="DI12" s="24">
        <v>0</v>
      </c>
      <c r="DJ12" s="19">
        <f>+Hoja2!DJ12+Hoja1!DJ12</f>
        <v>0</v>
      </c>
      <c r="DK12" s="24">
        <v>0</v>
      </c>
      <c r="DL12" s="19">
        <f>+Hoja2!DL12+Hoja1!DL12</f>
        <v>1121</v>
      </c>
      <c r="DM12" s="24">
        <v>0</v>
      </c>
      <c r="DN12" s="19">
        <f>+Hoja2!DN12+Hoja1!DN12</f>
        <v>0</v>
      </c>
      <c r="DO12" s="24">
        <v>0</v>
      </c>
      <c r="DP12" s="19">
        <f>+Hoja2!DP12+Hoja1!DP12</f>
        <v>0</v>
      </c>
      <c r="DQ12" s="24">
        <v>0</v>
      </c>
      <c r="DR12" s="19">
        <f>+Hoja2!DR12+Hoja1!DR12</f>
        <v>0</v>
      </c>
      <c r="DS12" s="24">
        <v>0</v>
      </c>
      <c r="DT12" s="19">
        <f>+Hoja2!DT12+Hoja1!DT12</f>
        <v>0</v>
      </c>
      <c r="DU12" s="24">
        <v>0</v>
      </c>
      <c r="DV12" s="19">
        <f>+Hoja2!DV12+Hoja1!DV12</f>
        <v>529</v>
      </c>
      <c r="DW12" s="24">
        <v>0</v>
      </c>
      <c r="DX12" s="19">
        <f>+Hoja2!DX12+Hoja1!DX12</f>
        <v>0</v>
      </c>
      <c r="DY12" s="24">
        <v>0</v>
      </c>
      <c r="DZ12" s="19">
        <f>+Hoja2!DZ12+Hoja1!DZ12</f>
        <v>0</v>
      </c>
      <c r="EA12" s="24">
        <v>0</v>
      </c>
      <c r="EB12" s="19">
        <f>+Hoja2!EB12+Hoja1!EB12</f>
        <v>0</v>
      </c>
      <c r="EC12" s="24">
        <v>0</v>
      </c>
      <c r="ED12" s="19">
        <f>+Hoja2!ED12+Hoja1!ED12</f>
        <v>0</v>
      </c>
      <c r="EE12" s="24">
        <v>0</v>
      </c>
      <c r="EF12" s="19">
        <f>+Hoja2!EF12+Hoja1!EF12</f>
        <v>384</v>
      </c>
      <c r="EG12" s="24">
        <v>0</v>
      </c>
      <c r="EH12" s="19">
        <f>+Hoja2!EH12+Hoja1!EH12</f>
        <v>0</v>
      </c>
      <c r="EI12" s="24">
        <v>0</v>
      </c>
      <c r="EJ12" s="19">
        <f>+Hoja2!EJ12+Hoja1!EJ12</f>
        <v>0</v>
      </c>
      <c r="EK12" s="24">
        <v>0</v>
      </c>
      <c r="EL12" s="19">
        <f>+Hoja2!EL12+Hoja1!EL12</f>
        <v>0</v>
      </c>
      <c r="EM12" s="24">
        <v>0</v>
      </c>
      <c r="EN12" s="19">
        <f>+Hoja2!EN12+Hoja1!EN12</f>
        <v>0</v>
      </c>
      <c r="EO12" s="24">
        <v>0</v>
      </c>
      <c r="EP12" s="19">
        <f>+Hoja2!EP12+Hoja1!EP12</f>
        <v>0</v>
      </c>
      <c r="EQ12" s="24">
        <v>0</v>
      </c>
      <c r="ER12" s="19">
        <f>+Hoja2!ER12+Hoja1!ER12</f>
        <v>0</v>
      </c>
      <c r="ES12" s="24">
        <v>0</v>
      </c>
      <c r="ET12" s="19">
        <f>+Hoja2!ET12+Hoja1!ET12</f>
        <v>0</v>
      </c>
      <c r="EU12" s="24">
        <v>0</v>
      </c>
    </row>
    <row r="13" spans="1:151" x14ac:dyDescent="0.25">
      <c r="A13" s="24" t="s">
        <v>30</v>
      </c>
      <c r="B13" s="25">
        <v>33</v>
      </c>
      <c r="C13" s="24" t="s">
        <v>31</v>
      </c>
      <c r="D13" s="24">
        <v>1028244</v>
      </c>
      <c r="E13" s="26">
        <v>1541</v>
      </c>
      <c r="F13" s="26">
        <v>853793</v>
      </c>
      <c r="G13" s="26">
        <v>118787</v>
      </c>
      <c r="H13" s="26">
        <v>972580</v>
      </c>
      <c r="I13" s="1">
        <v>9797</v>
      </c>
      <c r="J13" s="19">
        <f>+INT(([1]Hoja1!M13/[1]Hoja1!O13)*M13)</f>
        <v>45697562</v>
      </c>
      <c r="K13" s="19">
        <f>+INT(([1]Hoja1!N13/[1]Hoja1!O13)*M13)</f>
        <v>45122735</v>
      </c>
      <c r="L13" s="19">
        <f t="shared" si="1"/>
        <v>580313</v>
      </c>
      <c r="M13" s="19">
        <f t="shared" si="2"/>
        <v>574827</v>
      </c>
      <c r="N13" s="22">
        <f t="shared" si="0"/>
        <v>567786</v>
      </c>
      <c r="O13" s="26">
        <v>7041</v>
      </c>
      <c r="P13" s="26">
        <v>5486</v>
      </c>
      <c r="Q13" s="22">
        <f t="shared" si="3"/>
        <v>7</v>
      </c>
      <c r="R13" s="19">
        <f>+Hoja2!R13+Hoja1!R13</f>
        <v>199258</v>
      </c>
      <c r="S13" s="24">
        <v>3</v>
      </c>
      <c r="T13" s="19">
        <f>+Hoja2!T13+Hoja1!T13</f>
        <v>162442</v>
      </c>
      <c r="U13" s="24">
        <v>2</v>
      </c>
      <c r="V13" s="19">
        <f>+Hoja2!V13+Hoja1!V13</f>
        <v>90563</v>
      </c>
      <c r="W13" s="24">
        <v>1</v>
      </c>
      <c r="X13" s="19">
        <f>+Hoja2!X13+Hoja1!X13</f>
        <v>93766</v>
      </c>
      <c r="Y13" s="24">
        <v>1</v>
      </c>
      <c r="Z13" s="19">
        <f>+Hoja2!Z13+Hoja1!Z13</f>
        <v>0</v>
      </c>
      <c r="AA13" s="24">
        <v>0</v>
      </c>
      <c r="AB13" s="19">
        <f>+Hoja2!AB13+Hoja1!AB13</f>
        <v>0</v>
      </c>
      <c r="AC13" s="24">
        <v>0</v>
      </c>
      <c r="AD13" s="19">
        <f>+Hoja2!AD13+Hoja1!AD13</f>
        <v>0</v>
      </c>
      <c r="AE13" s="24">
        <v>0</v>
      </c>
      <c r="AF13" s="19">
        <f>+Hoja2!AF13+Hoja1!AF13</f>
        <v>0</v>
      </c>
      <c r="AG13" s="24">
        <v>0</v>
      </c>
      <c r="AH13" s="19">
        <f>+Hoja2!AH13+Hoja1!AH13</f>
        <v>0</v>
      </c>
      <c r="AI13" s="24">
        <v>0</v>
      </c>
      <c r="AJ13" s="19">
        <f>+Hoja2!AJ13+Hoja1!AJ13</f>
        <v>0</v>
      </c>
      <c r="AK13" s="24">
        <v>0</v>
      </c>
      <c r="AL13" s="19">
        <f>+Hoja2!AL13+Hoja1!AL13</f>
        <v>13368</v>
      </c>
      <c r="AM13" s="24">
        <v>0</v>
      </c>
      <c r="AN13" s="19">
        <f>+Hoja2!AN13+Hoja1!AN13</f>
        <v>0</v>
      </c>
      <c r="AO13" s="24">
        <v>0</v>
      </c>
      <c r="AP13" s="19">
        <f>+Hoja2!AP13+Hoja1!AP13</f>
        <v>0</v>
      </c>
      <c r="AQ13" s="24">
        <v>0</v>
      </c>
      <c r="AR13" s="19">
        <f>+Hoja2!AR13+Hoja1!AR13</f>
        <v>0</v>
      </c>
      <c r="AS13" s="24">
        <v>0</v>
      </c>
      <c r="AT13" s="19">
        <f>+Hoja2!AT13+Hoja1!AT13</f>
        <v>0</v>
      </c>
      <c r="AU13" s="24">
        <v>0</v>
      </c>
      <c r="AV13" s="19">
        <f>+Hoja2!AV13+Hoja1!AV13</f>
        <v>0</v>
      </c>
      <c r="AW13" s="24">
        <v>0</v>
      </c>
      <c r="AX13" s="19">
        <f>+Hoja2!AX13+Hoja1!AX13</f>
        <v>0</v>
      </c>
      <c r="AY13" s="24">
        <v>0</v>
      </c>
      <c r="AZ13" s="19">
        <f>+Hoja2!AZ13+Hoja1!AZ13</f>
        <v>0</v>
      </c>
      <c r="BA13" s="24">
        <v>0</v>
      </c>
      <c r="BB13" s="19">
        <f>+Hoja2!BB13+Hoja1!BB13</f>
        <v>0</v>
      </c>
      <c r="BC13" s="24">
        <v>0</v>
      </c>
      <c r="BD13" s="19">
        <f>+Hoja2!BD13+Hoja1!BD13</f>
        <v>4389</v>
      </c>
      <c r="BE13" s="24">
        <v>0</v>
      </c>
      <c r="BF13" s="19">
        <f>+Hoja2!BF13+Hoja1!BF13</f>
        <v>0</v>
      </c>
      <c r="BG13" s="24">
        <v>0</v>
      </c>
      <c r="BH13" s="19">
        <f>+Hoja2!BH13+Hoja1!BH13</f>
        <v>728</v>
      </c>
      <c r="BI13" s="24">
        <v>0</v>
      </c>
      <c r="BJ13" s="19">
        <f>+Hoja2!BJ13+Hoja1!BJ13</f>
        <v>484</v>
      </c>
      <c r="BK13" s="24">
        <v>0</v>
      </c>
      <c r="BL13" s="19">
        <f>+Hoja2!BL13+Hoja1!BL13</f>
        <v>0</v>
      </c>
      <c r="BM13" s="24">
        <v>0</v>
      </c>
      <c r="BN13" s="19">
        <f>+Hoja2!BN13+Hoja1!BN13</f>
        <v>0</v>
      </c>
      <c r="BO13" s="24">
        <v>0</v>
      </c>
      <c r="BP13" s="19">
        <f>+Hoja2!BP13+Hoja1!BP13</f>
        <v>0</v>
      </c>
      <c r="BQ13" s="24">
        <v>0</v>
      </c>
      <c r="BR13" s="19">
        <f>+Hoja2!BR13+Hoja1!BR13</f>
        <v>657</v>
      </c>
      <c r="BS13" s="24">
        <v>0</v>
      </c>
      <c r="BT13" s="19">
        <f>+Hoja2!BT13+Hoja1!BT13</f>
        <v>885</v>
      </c>
      <c r="BU13" s="24">
        <v>0</v>
      </c>
      <c r="BV13" s="19">
        <f>+Hoja2!BV13+Hoja1!BV13</f>
        <v>0</v>
      </c>
      <c r="BW13" s="24">
        <v>0</v>
      </c>
      <c r="BX13" s="19">
        <f>+Hoja2!BX13+Hoja1!BX13</f>
        <v>0</v>
      </c>
      <c r="BY13" s="24">
        <v>0</v>
      </c>
      <c r="BZ13" s="19">
        <f>+Hoja2!BZ13+Hoja1!BZ13</f>
        <v>0</v>
      </c>
      <c r="CA13" s="24">
        <v>0</v>
      </c>
      <c r="CB13" s="19">
        <f>+Hoja2!CB13+Hoja1!CB13</f>
        <v>0</v>
      </c>
      <c r="CC13" s="24">
        <v>0</v>
      </c>
      <c r="CD13" s="19">
        <f>+Hoja2!CD13+Hoja1!CD13</f>
        <v>0</v>
      </c>
      <c r="CE13" s="24">
        <v>0</v>
      </c>
      <c r="CF13" s="19">
        <f>+Hoja2!CF13+Hoja1!CF13</f>
        <v>0</v>
      </c>
      <c r="CG13" s="24">
        <v>0</v>
      </c>
      <c r="CH13" s="19">
        <f>+Hoja2!CH13+Hoja1!CH13</f>
        <v>0</v>
      </c>
      <c r="CI13" s="24">
        <v>0</v>
      </c>
      <c r="CJ13" s="19">
        <f>+Hoja2!CJ13+Hoja1!CJ13</f>
        <v>0</v>
      </c>
      <c r="CK13" s="24">
        <v>0</v>
      </c>
      <c r="CL13" s="19">
        <f>+Hoja2!CL13+Hoja1!CL13</f>
        <v>0</v>
      </c>
      <c r="CM13" s="24">
        <v>0</v>
      </c>
      <c r="CN13" s="19">
        <f>+Hoja2!CN13+Hoja1!CN13</f>
        <v>364</v>
      </c>
      <c r="CO13" s="24">
        <v>0</v>
      </c>
      <c r="CP13" s="19">
        <f>+Hoja2!CP13+Hoja1!CP13</f>
        <v>0</v>
      </c>
      <c r="CQ13" s="24">
        <v>0</v>
      </c>
      <c r="CR13" s="19">
        <f>+Hoja2!CR13+Hoja1!CR13</f>
        <v>0</v>
      </c>
      <c r="CS13" s="24">
        <v>0</v>
      </c>
      <c r="CT13" s="19">
        <f>+Hoja2!CT13+Hoja1!CT13</f>
        <v>0</v>
      </c>
      <c r="CU13" s="24">
        <v>0</v>
      </c>
      <c r="CV13" s="19">
        <f>+Hoja2!CV13+Hoja1!CV13</f>
        <v>0</v>
      </c>
      <c r="CW13" s="24">
        <v>0</v>
      </c>
      <c r="CX13" s="19">
        <f>+Hoja2!CX13+Hoja1!CX13</f>
        <v>0</v>
      </c>
      <c r="CY13" s="24">
        <v>0</v>
      </c>
      <c r="CZ13" s="19">
        <f>+Hoja2!CZ13+Hoja1!CZ13</f>
        <v>0</v>
      </c>
      <c r="DA13" s="24">
        <v>0</v>
      </c>
      <c r="DB13" s="19">
        <f>+Hoja2!DB13+Hoja1!DB13</f>
        <v>0</v>
      </c>
      <c r="DC13" s="24">
        <v>0</v>
      </c>
      <c r="DD13" s="19">
        <f>+Hoja2!DD13+Hoja1!DD13</f>
        <v>0</v>
      </c>
      <c r="DE13" s="24">
        <v>0</v>
      </c>
      <c r="DF13" s="19">
        <f>+Hoja2!DF13+Hoja1!DF13</f>
        <v>0</v>
      </c>
      <c r="DG13" s="24">
        <v>0</v>
      </c>
      <c r="DH13" s="19">
        <f>+Hoja2!DH13+Hoja1!DH13</f>
        <v>0</v>
      </c>
      <c r="DI13" s="24">
        <v>0</v>
      </c>
      <c r="DJ13" s="19">
        <f>+Hoja2!DJ13+Hoja1!DJ13</f>
        <v>0</v>
      </c>
      <c r="DK13" s="24">
        <v>0</v>
      </c>
      <c r="DL13" s="19">
        <f>+Hoja2!DL13+Hoja1!DL13</f>
        <v>0</v>
      </c>
      <c r="DM13" s="24">
        <v>0</v>
      </c>
      <c r="DN13" s="19">
        <f>+Hoja2!DN13+Hoja1!DN13</f>
        <v>0</v>
      </c>
      <c r="DO13" s="24">
        <v>0</v>
      </c>
      <c r="DP13" s="19">
        <f>+Hoja2!DP13+Hoja1!DP13</f>
        <v>0</v>
      </c>
      <c r="DQ13" s="24">
        <v>0</v>
      </c>
      <c r="DR13" s="19">
        <f>+Hoja2!DR13+Hoja1!DR13</f>
        <v>882</v>
      </c>
      <c r="DS13" s="24">
        <v>0</v>
      </c>
      <c r="DT13" s="19">
        <f>+Hoja2!DT13+Hoja1!DT13</f>
        <v>0</v>
      </c>
      <c r="DU13" s="24">
        <v>0</v>
      </c>
      <c r="DV13" s="19">
        <f>+Hoja2!DV13+Hoja1!DV13</f>
        <v>0</v>
      </c>
      <c r="DW13" s="24">
        <v>0</v>
      </c>
      <c r="DX13" s="19">
        <f>+Hoja2!DX13+Hoja1!DX13</f>
        <v>0</v>
      </c>
      <c r="DY13" s="24">
        <v>0</v>
      </c>
      <c r="DZ13" s="19">
        <f>+Hoja2!DZ13+Hoja1!DZ13</f>
        <v>0</v>
      </c>
      <c r="EA13" s="24">
        <v>0</v>
      </c>
      <c r="EB13" s="19">
        <f>+Hoja2!EB13+Hoja1!EB13</f>
        <v>0</v>
      </c>
      <c r="EC13" s="24">
        <v>0</v>
      </c>
      <c r="ED13" s="19">
        <f>+Hoja2!ED13+Hoja1!ED13</f>
        <v>0</v>
      </c>
      <c r="EE13" s="24">
        <v>0</v>
      </c>
      <c r="EF13" s="19">
        <f>+Hoja2!EF13+Hoja1!EF13</f>
        <v>0</v>
      </c>
      <c r="EG13" s="24">
        <v>0</v>
      </c>
      <c r="EH13" s="19">
        <f>+Hoja2!EH13+Hoja1!EH13</f>
        <v>0</v>
      </c>
      <c r="EI13" s="24">
        <v>0</v>
      </c>
      <c r="EJ13" s="19">
        <f>+Hoja2!EJ13+Hoja1!EJ13</f>
        <v>0</v>
      </c>
      <c r="EK13" s="24">
        <v>0</v>
      </c>
      <c r="EL13" s="19">
        <f>+Hoja2!EL13+Hoja1!EL13</f>
        <v>0</v>
      </c>
      <c r="EM13" s="24">
        <v>0</v>
      </c>
      <c r="EN13" s="19">
        <f>+Hoja2!EN13+Hoja1!EN13</f>
        <v>0</v>
      </c>
      <c r="EO13" s="24">
        <v>0</v>
      </c>
      <c r="EP13" s="19">
        <f>+Hoja2!EP13+Hoja1!EP13</f>
        <v>0</v>
      </c>
      <c r="EQ13" s="24">
        <v>0</v>
      </c>
      <c r="ER13" s="19">
        <f>+Hoja2!ER13+Hoja1!ER13</f>
        <v>0</v>
      </c>
      <c r="ES13" s="24">
        <v>0</v>
      </c>
      <c r="ET13" s="19">
        <f>+Hoja2!ET13+Hoja1!ET13</f>
        <v>0</v>
      </c>
      <c r="EU13" s="24">
        <v>0</v>
      </c>
    </row>
    <row r="14" spans="1:151" x14ac:dyDescent="0.25">
      <c r="A14" s="24" t="s">
        <v>32</v>
      </c>
      <c r="B14" s="25">
        <v>7</v>
      </c>
      <c r="C14" s="24" t="s">
        <v>32</v>
      </c>
      <c r="D14" s="24">
        <v>1128908</v>
      </c>
      <c r="E14" s="26">
        <v>1215</v>
      </c>
      <c r="F14" s="26">
        <v>778855</v>
      </c>
      <c r="G14" s="26">
        <v>28315</v>
      </c>
      <c r="H14" s="26">
        <v>807170</v>
      </c>
      <c r="I14" s="1">
        <v>2232</v>
      </c>
      <c r="J14" s="19">
        <f>+INT(([1]Hoja1!M14/[1]Hoja1!O14)*M14)</f>
        <v>45319680</v>
      </c>
      <c r="K14" s="19">
        <f>+INT(([1]Hoja1!N14/[1]Hoja1!O14)*M14)</f>
        <v>44853910</v>
      </c>
      <c r="L14" s="19">
        <f t="shared" si="1"/>
        <v>470163</v>
      </c>
      <c r="M14" s="19">
        <f t="shared" si="2"/>
        <v>465770</v>
      </c>
      <c r="N14" s="22">
        <f t="shared" si="0"/>
        <v>461102</v>
      </c>
      <c r="O14" s="26">
        <v>4668</v>
      </c>
      <c r="P14" s="26">
        <v>4393</v>
      </c>
      <c r="Q14" s="22">
        <f t="shared" si="3"/>
        <v>8</v>
      </c>
      <c r="R14" s="19">
        <f>+Hoja2!R14+Hoja1!R14</f>
        <v>124690</v>
      </c>
      <c r="S14" s="24">
        <v>2</v>
      </c>
      <c r="T14" s="19">
        <f>+Hoja2!T14+Hoja1!T14</f>
        <v>132556</v>
      </c>
      <c r="U14" s="24">
        <v>2</v>
      </c>
      <c r="V14" s="19">
        <f>+Hoja2!V14+Hoja1!V14</f>
        <v>79070</v>
      </c>
      <c r="W14" s="24">
        <v>2</v>
      </c>
      <c r="X14" s="19">
        <f>+Hoja2!X14+Hoja1!X14</f>
        <v>86336</v>
      </c>
      <c r="Y14" s="24">
        <v>2</v>
      </c>
      <c r="Z14" s="19">
        <f>+Hoja2!Z14+Hoja1!Z14</f>
        <v>0</v>
      </c>
      <c r="AA14" s="24">
        <v>0</v>
      </c>
      <c r="AB14" s="19">
        <f>+Hoja2!AB14+Hoja1!AB14</f>
        <v>0</v>
      </c>
      <c r="AC14" s="24">
        <v>0</v>
      </c>
      <c r="AD14" s="19">
        <f>+Hoja2!AD14+Hoja1!AD14</f>
        <v>0</v>
      </c>
      <c r="AE14" s="24">
        <v>0</v>
      </c>
      <c r="AF14" s="19">
        <f>+Hoja2!AF14+Hoja1!AF14</f>
        <v>0</v>
      </c>
      <c r="AG14" s="24">
        <v>0</v>
      </c>
      <c r="AH14" s="19">
        <f>+Hoja2!AH14+Hoja1!AH14</f>
        <v>0</v>
      </c>
      <c r="AI14" s="24">
        <v>0</v>
      </c>
      <c r="AJ14" s="19">
        <f>+Hoja2!AJ14+Hoja1!AJ14</f>
        <v>0</v>
      </c>
      <c r="AK14" s="24">
        <v>0</v>
      </c>
      <c r="AL14" s="19">
        <f>+Hoja2!AL14+Hoja1!AL14</f>
        <v>0</v>
      </c>
      <c r="AM14" s="24">
        <v>0</v>
      </c>
      <c r="AN14" s="19">
        <f>+Hoja2!AN14+Hoja1!AN14</f>
        <v>0</v>
      </c>
      <c r="AO14" s="24">
        <v>0</v>
      </c>
      <c r="AP14" s="19">
        <f>+Hoja2!AP14+Hoja1!AP14</f>
        <v>0</v>
      </c>
      <c r="AQ14" s="24">
        <v>0</v>
      </c>
      <c r="AR14" s="19">
        <f>+Hoja2!AR14+Hoja1!AR14</f>
        <v>0</v>
      </c>
      <c r="AS14" s="24">
        <v>0</v>
      </c>
      <c r="AT14" s="19">
        <f>+Hoja2!AT14+Hoja1!AT14</f>
        <v>0</v>
      </c>
      <c r="AU14" s="24">
        <v>0</v>
      </c>
      <c r="AV14" s="19">
        <f>+Hoja2!AV14+Hoja1!AV14</f>
        <v>0</v>
      </c>
      <c r="AW14" s="24">
        <v>0</v>
      </c>
      <c r="AX14" s="19">
        <f>+Hoja2!AX14+Hoja1!AX14</f>
        <v>0</v>
      </c>
      <c r="AY14" s="24">
        <v>0</v>
      </c>
      <c r="AZ14" s="19">
        <f>+Hoja2!AZ14+Hoja1!AZ14</f>
        <v>0</v>
      </c>
      <c r="BA14" s="24">
        <v>0</v>
      </c>
      <c r="BB14" s="19">
        <f>+Hoja2!BB14+Hoja1!BB14</f>
        <v>0</v>
      </c>
      <c r="BC14" s="24">
        <v>0</v>
      </c>
      <c r="BD14" s="19">
        <f>+Hoja2!BD14+Hoja1!BD14</f>
        <v>6175</v>
      </c>
      <c r="BE14" s="24">
        <v>0</v>
      </c>
      <c r="BF14" s="19">
        <f>+Hoja2!BF14+Hoja1!BF14</f>
        <v>11184</v>
      </c>
      <c r="BG14" s="24">
        <v>0</v>
      </c>
      <c r="BH14" s="19">
        <f>+Hoja2!BH14+Hoja1!BH14</f>
        <v>942</v>
      </c>
      <c r="BI14" s="24">
        <v>0</v>
      </c>
      <c r="BJ14" s="19">
        <f>+Hoja2!BJ14+Hoja1!BJ14</f>
        <v>570</v>
      </c>
      <c r="BK14" s="24">
        <v>0</v>
      </c>
      <c r="BL14" s="19">
        <f>+Hoja2!BL14+Hoja1!BL14</f>
        <v>0</v>
      </c>
      <c r="BM14" s="24">
        <v>0</v>
      </c>
      <c r="BN14" s="19">
        <f>+Hoja2!BN14+Hoja1!BN14</f>
        <v>19209</v>
      </c>
      <c r="BO14" s="24">
        <v>0</v>
      </c>
      <c r="BP14" s="19">
        <f>+Hoja2!BP14+Hoja1!BP14</f>
        <v>0</v>
      </c>
      <c r="BQ14" s="24">
        <v>0</v>
      </c>
      <c r="BR14" s="19">
        <f>+Hoja2!BR14+Hoja1!BR14</f>
        <v>0</v>
      </c>
      <c r="BS14" s="24">
        <v>0</v>
      </c>
      <c r="BT14" s="19">
        <f>+Hoja2!BT14+Hoja1!BT14</f>
        <v>0</v>
      </c>
      <c r="BU14" s="24">
        <v>0</v>
      </c>
      <c r="BV14" s="19">
        <f>+Hoja2!BV14+Hoja1!BV14</f>
        <v>0</v>
      </c>
      <c r="BW14" s="24">
        <v>0</v>
      </c>
      <c r="BX14" s="19">
        <f>+Hoja2!BX14+Hoja1!BX14</f>
        <v>0</v>
      </c>
      <c r="BY14" s="24">
        <v>0</v>
      </c>
      <c r="BZ14" s="19">
        <f>+Hoja2!BZ14+Hoja1!BZ14</f>
        <v>0</v>
      </c>
      <c r="CA14" s="24">
        <v>0</v>
      </c>
      <c r="CB14" s="19">
        <f>+Hoja2!CB14+Hoja1!CB14</f>
        <v>0</v>
      </c>
      <c r="CC14" s="24">
        <v>0</v>
      </c>
      <c r="CD14" s="19">
        <f>+Hoja2!CD14+Hoja1!CD14</f>
        <v>0</v>
      </c>
      <c r="CE14" s="24">
        <v>0</v>
      </c>
      <c r="CF14" s="19">
        <f>+Hoja2!CF14+Hoja1!CF14</f>
        <v>0</v>
      </c>
      <c r="CG14" s="24">
        <v>0</v>
      </c>
      <c r="CH14" s="19">
        <f>+Hoja2!CH14+Hoja1!CH14</f>
        <v>0</v>
      </c>
      <c r="CI14" s="24">
        <v>0</v>
      </c>
      <c r="CJ14" s="19">
        <f>+Hoja2!CJ14+Hoja1!CJ14</f>
        <v>0</v>
      </c>
      <c r="CK14" s="24">
        <v>0</v>
      </c>
      <c r="CL14" s="19">
        <f>+Hoja2!CL14+Hoja1!CL14</f>
        <v>0</v>
      </c>
      <c r="CM14" s="24">
        <v>0</v>
      </c>
      <c r="CN14" s="19">
        <f>+Hoja2!CN14+Hoja1!CN14</f>
        <v>0</v>
      </c>
      <c r="CO14" s="24">
        <v>0</v>
      </c>
      <c r="CP14" s="19">
        <f>+Hoja2!CP14+Hoja1!CP14</f>
        <v>0</v>
      </c>
      <c r="CQ14" s="24">
        <v>0</v>
      </c>
      <c r="CR14" s="19">
        <f>+Hoja2!CR14+Hoja1!CR14</f>
        <v>0</v>
      </c>
      <c r="CS14" s="24">
        <v>0</v>
      </c>
      <c r="CT14" s="19">
        <f>+Hoja2!CT14+Hoja1!CT14</f>
        <v>0</v>
      </c>
      <c r="CU14" s="24">
        <v>0</v>
      </c>
      <c r="CV14" s="19">
        <f>+Hoja2!CV14+Hoja1!CV14</f>
        <v>0</v>
      </c>
      <c r="CW14" s="24">
        <v>0</v>
      </c>
      <c r="CX14" s="19">
        <f>+Hoja2!CX14+Hoja1!CX14</f>
        <v>0</v>
      </c>
      <c r="CY14" s="24">
        <v>0</v>
      </c>
      <c r="CZ14" s="19">
        <f>+Hoja2!CZ14+Hoja1!CZ14</f>
        <v>0</v>
      </c>
      <c r="DA14" s="24">
        <v>0</v>
      </c>
      <c r="DB14" s="19">
        <f>+Hoja2!DB14+Hoja1!DB14</f>
        <v>0</v>
      </c>
      <c r="DC14" s="24">
        <v>0</v>
      </c>
      <c r="DD14" s="19">
        <f>+Hoja2!DD14+Hoja1!DD14</f>
        <v>0</v>
      </c>
      <c r="DE14" s="24">
        <v>0</v>
      </c>
      <c r="DF14" s="19">
        <f>+Hoja2!DF14+Hoja1!DF14</f>
        <v>0</v>
      </c>
      <c r="DG14" s="24">
        <v>0</v>
      </c>
      <c r="DH14" s="19">
        <f>+Hoja2!DH14+Hoja1!DH14</f>
        <v>0</v>
      </c>
      <c r="DI14" s="24">
        <v>0</v>
      </c>
      <c r="DJ14" s="19">
        <f>+Hoja2!DJ14+Hoja1!DJ14</f>
        <v>370</v>
      </c>
      <c r="DK14" s="24">
        <v>0</v>
      </c>
      <c r="DL14" s="19">
        <f>+Hoja2!DL14+Hoja1!DL14</f>
        <v>0</v>
      </c>
      <c r="DM14" s="24">
        <v>0</v>
      </c>
      <c r="DN14" s="19">
        <f>+Hoja2!DN14+Hoja1!DN14</f>
        <v>0</v>
      </c>
      <c r="DO14" s="24">
        <v>0</v>
      </c>
      <c r="DP14" s="19">
        <f>+Hoja2!DP14+Hoja1!DP14</f>
        <v>0</v>
      </c>
      <c r="DQ14" s="24">
        <v>0</v>
      </c>
      <c r="DR14" s="19">
        <f>+Hoja2!DR14+Hoja1!DR14</f>
        <v>0</v>
      </c>
      <c r="DS14" s="24">
        <v>0</v>
      </c>
      <c r="DT14" s="19">
        <f>+Hoja2!DT14+Hoja1!DT14</f>
        <v>0</v>
      </c>
      <c r="DU14" s="24">
        <v>0</v>
      </c>
      <c r="DV14" s="19">
        <f>+Hoja2!DV14+Hoja1!DV14</f>
        <v>0</v>
      </c>
      <c r="DW14" s="24">
        <v>0</v>
      </c>
      <c r="DX14" s="19">
        <f>+Hoja2!DX14+Hoja1!DX14</f>
        <v>0</v>
      </c>
      <c r="DY14" s="24">
        <v>0</v>
      </c>
      <c r="DZ14" s="19">
        <f>+Hoja2!DZ14+Hoja1!DZ14</f>
        <v>0</v>
      </c>
      <c r="EA14" s="24">
        <v>0</v>
      </c>
      <c r="EB14" s="19">
        <f>+Hoja2!EB14+Hoja1!EB14</f>
        <v>0</v>
      </c>
      <c r="EC14" s="24">
        <v>0</v>
      </c>
      <c r="ED14" s="19">
        <f>+Hoja2!ED14+Hoja1!ED14</f>
        <v>0</v>
      </c>
      <c r="EE14" s="24">
        <v>0</v>
      </c>
      <c r="EF14" s="19">
        <f>+Hoja2!EF14+Hoja1!EF14</f>
        <v>0</v>
      </c>
      <c r="EG14" s="24">
        <v>0</v>
      </c>
      <c r="EH14" s="19">
        <f>+Hoja2!EH14+Hoja1!EH14</f>
        <v>0</v>
      </c>
      <c r="EI14" s="24">
        <v>0</v>
      </c>
      <c r="EJ14" s="19">
        <f>+Hoja2!EJ14+Hoja1!EJ14</f>
        <v>0</v>
      </c>
      <c r="EK14" s="24">
        <v>0</v>
      </c>
      <c r="EL14" s="19">
        <f>+Hoja2!EL14+Hoja1!EL14</f>
        <v>0</v>
      </c>
      <c r="EM14" s="24">
        <v>0</v>
      </c>
      <c r="EN14" s="19">
        <f>+Hoja2!EN14+Hoja1!EN14</f>
        <v>0</v>
      </c>
      <c r="EO14" s="24">
        <v>0</v>
      </c>
      <c r="EP14" s="19">
        <f>+Hoja2!EP14+Hoja1!EP14</f>
        <v>0</v>
      </c>
      <c r="EQ14" s="24">
        <v>0</v>
      </c>
      <c r="ER14" s="19">
        <f>+Hoja2!ER14+Hoja1!ER14</f>
        <v>0</v>
      </c>
      <c r="ES14" s="24">
        <v>0</v>
      </c>
      <c r="ET14" s="19">
        <f>+Hoja2!ET14+Hoja1!ET14</f>
        <v>0</v>
      </c>
      <c r="EU14" s="24">
        <v>0</v>
      </c>
    </row>
    <row r="15" spans="1:151" x14ac:dyDescent="0.25">
      <c r="A15" s="24" t="s">
        <v>33</v>
      </c>
      <c r="B15" s="25">
        <v>35</v>
      </c>
      <c r="C15" s="24" t="s">
        <v>34</v>
      </c>
      <c r="D15" s="24">
        <v>1109175</v>
      </c>
      <c r="E15" s="26">
        <v>1511</v>
      </c>
      <c r="F15" s="26">
        <v>823161</v>
      </c>
      <c r="G15" s="26">
        <v>48567</v>
      </c>
      <c r="H15" s="26">
        <v>871728</v>
      </c>
      <c r="I15" s="1">
        <v>2530</v>
      </c>
      <c r="J15" s="19">
        <f>+INT(([1]Hoja1!M15/[1]Hoja1!O15)*M15)</f>
        <v>60197477</v>
      </c>
      <c r="K15" s="19">
        <f>+INT(([1]Hoja1!N15/[1]Hoja1!O15)*M15)</f>
        <v>59703013</v>
      </c>
      <c r="L15" s="19">
        <f t="shared" si="1"/>
        <v>499890</v>
      </c>
      <c r="M15" s="19">
        <f t="shared" si="2"/>
        <v>494464</v>
      </c>
      <c r="N15" s="22">
        <f t="shared" si="0"/>
        <v>490489</v>
      </c>
      <c r="O15" s="26">
        <v>3975</v>
      </c>
      <c r="P15" s="26">
        <v>5426</v>
      </c>
      <c r="Q15" s="22">
        <f t="shared" si="3"/>
        <v>8</v>
      </c>
      <c r="R15" s="19">
        <f>+Hoja2!R15+Hoja1!R15</f>
        <v>150932</v>
      </c>
      <c r="S15" s="24">
        <v>3</v>
      </c>
      <c r="T15" s="19">
        <f>+Hoja2!T15+Hoja1!T15</f>
        <v>127856</v>
      </c>
      <c r="U15" s="24">
        <v>2</v>
      </c>
      <c r="V15" s="19">
        <f>+Hoja2!V15+Hoja1!V15</f>
        <v>65805</v>
      </c>
      <c r="W15" s="24">
        <v>1</v>
      </c>
      <c r="X15" s="19">
        <f>+Hoja2!X15+Hoja1!X15</f>
        <v>78380</v>
      </c>
      <c r="Y15" s="24">
        <v>1</v>
      </c>
      <c r="Z15" s="19">
        <f>+Hoja2!Z15+Hoja1!Z15</f>
        <v>0</v>
      </c>
      <c r="AA15" s="24">
        <v>0</v>
      </c>
      <c r="AB15" s="19">
        <f>+Hoja2!AB15+Hoja1!AB15</f>
        <v>0</v>
      </c>
      <c r="AC15" s="24">
        <v>0</v>
      </c>
      <c r="AD15" s="19">
        <f>+Hoja2!AD15+Hoja1!AD15</f>
        <v>0</v>
      </c>
      <c r="AE15" s="24">
        <v>0</v>
      </c>
      <c r="AF15" s="19">
        <f>+Hoja2!AF15+Hoja1!AF15</f>
        <v>0</v>
      </c>
      <c r="AG15" s="24">
        <v>0</v>
      </c>
      <c r="AH15" s="19">
        <f>+Hoja2!AH15+Hoja1!AH15</f>
        <v>0</v>
      </c>
      <c r="AI15" s="24">
        <v>0</v>
      </c>
      <c r="AJ15" s="19">
        <f>+Hoja2!AJ15+Hoja1!AJ15</f>
        <v>0</v>
      </c>
      <c r="AK15" s="24">
        <v>0</v>
      </c>
      <c r="AL15" s="19">
        <f>+Hoja2!AL15+Hoja1!AL15</f>
        <v>8808</v>
      </c>
      <c r="AM15" s="24">
        <v>0</v>
      </c>
      <c r="AN15" s="19">
        <f>+Hoja2!AN15+Hoja1!AN15</f>
        <v>0</v>
      </c>
      <c r="AO15" s="24">
        <v>0</v>
      </c>
      <c r="AP15" s="19">
        <f>+Hoja2!AP15+Hoja1!AP15</f>
        <v>0</v>
      </c>
      <c r="AQ15" s="24">
        <v>0</v>
      </c>
      <c r="AR15" s="19">
        <f>+Hoja2!AR15+Hoja1!AR15</f>
        <v>46827</v>
      </c>
      <c r="AS15" s="24">
        <v>1</v>
      </c>
      <c r="AT15" s="19">
        <f>+Hoja2!AT15+Hoja1!AT15</f>
        <v>0</v>
      </c>
      <c r="AU15" s="24">
        <v>0</v>
      </c>
      <c r="AV15" s="19">
        <f>+Hoja2!AV15+Hoja1!AV15</f>
        <v>0</v>
      </c>
      <c r="AW15" s="24">
        <v>0</v>
      </c>
      <c r="AX15" s="19">
        <f>+Hoja2!AX15+Hoja1!AX15</f>
        <v>0</v>
      </c>
      <c r="AY15" s="24">
        <v>0</v>
      </c>
      <c r="AZ15" s="19">
        <f>+Hoja2!AZ15+Hoja1!AZ15</f>
        <v>0</v>
      </c>
      <c r="BA15" s="24">
        <v>0</v>
      </c>
      <c r="BB15" s="19">
        <f>+Hoja2!BB15+Hoja1!BB15</f>
        <v>0</v>
      </c>
      <c r="BC15" s="24">
        <v>0</v>
      </c>
      <c r="BD15" s="19">
        <f>+Hoja2!BD15+Hoja1!BD15</f>
        <v>5767</v>
      </c>
      <c r="BE15" s="24">
        <v>0</v>
      </c>
      <c r="BF15" s="19">
        <f>+Hoja2!BF15+Hoja1!BF15</f>
        <v>0</v>
      </c>
      <c r="BG15" s="24">
        <v>0</v>
      </c>
      <c r="BH15" s="19">
        <f>+Hoja2!BH15+Hoja1!BH15</f>
        <v>502</v>
      </c>
      <c r="BI15" s="24">
        <v>0</v>
      </c>
      <c r="BJ15" s="19">
        <f>+Hoja2!BJ15+Hoja1!BJ15</f>
        <v>549</v>
      </c>
      <c r="BK15" s="24">
        <v>0</v>
      </c>
      <c r="BL15" s="19">
        <f>+Hoja2!BL15+Hoja1!BL15</f>
        <v>0</v>
      </c>
      <c r="BM15" s="24">
        <v>0</v>
      </c>
      <c r="BN15" s="19">
        <f>+Hoja2!BN15+Hoja1!BN15</f>
        <v>0</v>
      </c>
      <c r="BO15" s="24">
        <v>0</v>
      </c>
      <c r="BP15" s="19">
        <f>+Hoja2!BP15+Hoja1!BP15</f>
        <v>0</v>
      </c>
      <c r="BQ15" s="24">
        <v>0</v>
      </c>
      <c r="BR15" s="19">
        <f>+Hoja2!BR15+Hoja1!BR15</f>
        <v>764</v>
      </c>
      <c r="BS15" s="24">
        <v>0</v>
      </c>
      <c r="BT15" s="19">
        <f>+Hoja2!BT15+Hoja1!BT15</f>
        <v>0</v>
      </c>
      <c r="BU15" s="24">
        <v>0</v>
      </c>
      <c r="BV15" s="19">
        <f>+Hoja2!BV15+Hoja1!BV15</f>
        <v>0</v>
      </c>
      <c r="BW15" s="24">
        <v>0</v>
      </c>
      <c r="BX15" s="19">
        <f>+Hoja2!BX15+Hoja1!BX15</f>
        <v>0</v>
      </c>
      <c r="BY15" s="24">
        <v>0</v>
      </c>
      <c r="BZ15" s="19">
        <f>+Hoja2!BZ15+Hoja1!BZ15</f>
        <v>0</v>
      </c>
      <c r="CA15" s="24">
        <v>0</v>
      </c>
      <c r="CB15" s="19">
        <f>+Hoja2!CB15+Hoja1!CB15</f>
        <v>0</v>
      </c>
      <c r="CC15" s="24">
        <v>0</v>
      </c>
      <c r="CD15" s="19">
        <f>+Hoja2!CD15+Hoja1!CD15</f>
        <v>0</v>
      </c>
      <c r="CE15" s="24">
        <v>0</v>
      </c>
      <c r="CF15" s="19">
        <f>+Hoja2!CF15+Hoja1!CF15</f>
        <v>0</v>
      </c>
      <c r="CG15" s="24">
        <v>0</v>
      </c>
      <c r="CH15" s="19">
        <f>+Hoja2!CH15+Hoja1!CH15</f>
        <v>0</v>
      </c>
      <c r="CI15" s="24">
        <v>0</v>
      </c>
      <c r="CJ15" s="19">
        <f>+Hoja2!CJ15+Hoja1!CJ15</f>
        <v>0</v>
      </c>
      <c r="CK15" s="24">
        <v>0</v>
      </c>
      <c r="CL15" s="19">
        <f>+Hoja2!CL15+Hoja1!CL15</f>
        <v>1854</v>
      </c>
      <c r="CM15" s="24">
        <v>0</v>
      </c>
      <c r="CN15" s="19">
        <f>+Hoja2!CN15+Hoja1!CN15</f>
        <v>274</v>
      </c>
      <c r="CO15" s="24">
        <v>0</v>
      </c>
      <c r="CP15" s="19">
        <f>+Hoja2!CP15+Hoja1!CP15</f>
        <v>0</v>
      </c>
      <c r="CQ15" s="24">
        <v>0</v>
      </c>
      <c r="CR15" s="19">
        <f>+Hoja2!CR15+Hoja1!CR15</f>
        <v>0</v>
      </c>
      <c r="CS15" s="24">
        <v>0</v>
      </c>
      <c r="CT15" s="19">
        <f>+Hoja2!CT15+Hoja1!CT15</f>
        <v>0</v>
      </c>
      <c r="CU15" s="24">
        <v>0</v>
      </c>
      <c r="CV15" s="19">
        <f>+Hoja2!CV15+Hoja1!CV15</f>
        <v>0</v>
      </c>
      <c r="CW15" s="24">
        <v>0</v>
      </c>
      <c r="CX15" s="19">
        <f>+Hoja2!CX15+Hoja1!CX15</f>
        <v>1104</v>
      </c>
      <c r="CY15" s="24">
        <v>0</v>
      </c>
      <c r="CZ15" s="19">
        <f>+Hoja2!CZ15+Hoja1!CZ15</f>
        <v>358</v>
      </c>
      <c r="DA15" s="24">
        <v>0</v>
      </c>
      <c r="DB15" s="19">
        <f>+Hoja2!DB15+Hoja1!DB15</f>
        <v>0</v>
      </c>
      <c r="DC15" s="24">
        <v>0</v>
      </c>
      <c r="DD15" s="19">
        <f>+Hoja2!DD15+Hoja1!DD15</f>
        <v>0</v>
      </c>
      <c r="DE15" s="24">
        <v>0</v>
      </c>
      <c r="DF15" s="19">
        <f>+Hoja2!DF15+Hoja1!DF15</f>
        <v>0</v>
      </c>
      <c r="DG15" s="24">
        <v>0</v>
      </c>
      <c r="DH15" s="19">
        <f>+Hoja2!DH15+Hoja1!DH15</f>
        <v>709</v>
      </c>
      <c r="DI15" s="24">
        <v>0</v>
      </c>
      <c r="DJ15" s="19">
        <f>+Hoja2!DJ15+Hoja1!DJ15</f>
        <v>0</v>
      </c>
      <c r="DK15" s="24">
        <v>0</v>
      </c>
      <c r="DL15" s="19">
        <f>+Hoja2!DL15+Hoja1!DL15</f>
        <v>0</v>
      </c>
      <c r="DM15" s="24">
        <v>0</v>
      </c>
      <c r="DN15" s="19">
        <f>+Hoja2!DN15+Hoja1!DN15</f>
        <v>0</v>
      </c>
      <c r="DO15" s="24">
        <v>0</v>
      </c>
      <c r="DP15" s="19">
        <f>+Hoja2!DP15+Hoja1!DP15</f>
        <v>0</v>
      </c>
      <c r="DQ15" s="24">
        <v>0</v>
      </c>
      <c r="DR15" s="19">
        <f>+Hoja2!DR15+Hoja1!DR15</f>
        <v>0</v>
      </c>
      <c r="DS15" s="24">
        <v>0</v>
      </c>
      <c r="DT15" s="19">
        <f>+Hoja2!DT15+Hoja1!DT15</f>
        <v>0</v>
      </c>
      <c r="DU15" s="24">
        <v>0</v>
      </c>
      <c r="DV15" s="19">
        <f>+Hoja2!DV15+Hoja1!DV15</f>
        <v>0</v>
      </c>
      <c r="DW15" s="24">
        <v>0</v>
      </c>
      <c r="DX15" s="19">
        <f>+Hoja2!DX15+Hoja1!DX15</f>
        <v>0</v>
      </c>
      <c r="DY15" s="24">
        <v>0</v>
      </c>
      <c r="DZ15" s="19">
        <f>+Hoja2!DZ15+Hoja1!DZ15</f>
        <v>0</v>
      </c>
      <c r="EA15" s="24">
        <v>0</v>
      </c>
      <c r="EB15" s="19">
        <f>+Hoja2!EB15+Hoja1!EB15</f>
        <v>0</v>
      </c>
      <c r="EC15" s="24">
        <v>0</v>
      </c>
      <c r="ED15" s="19">
        <f>+Hoja2!ED15+Hoja1!ED15</f>
        <v>0</v>
      </c>
      <c r="EE15" s="24">
        <v>0</v>
      </c>
      <c r="EF15" s="19">
        <f>+Hoja2!EF15+Hoja1!EF15</f>
        <v>0</v>
      </c>
      <c r="EG15" s="24">
        <v>0</v>
      </c>
      <c r="EH15" s="19">
        <f>+Hoja2!EH15+Hoja1!EH15</f>
        <v>0</v>
      </c>
      <c r="EI15" s="24">
        <v>0</v>
      </c>
      <c r="EJ15" s="19">
        <f>+Hoja2!EJ15+Hoja1!EJ15</f>
        <v>0</v>
      </c>
      <c r="EK15" s="24">
        <v>0</v>
      </c>
      <c r="EL15" s="19">
        <f>+Hoja2!EL15+Hoja1!EL15</f>
        <v>0</v>
      </c>
      <c r="EM15" s="24">
        <v>0</v>
      </c>
      <c r="EN15" s="19">
        <f>+Hoja2!EN15+Hoja1!EN15</f>
        <v>0</v>
      </c>
      <c r="EO15" s="24">
        <v>0</v>
      </c>
      <c r="EP15" s="19">
        <f>+Hoja2!EP15+Hoja1!EP15</f>
        <v>0</v>
      </c>
      <c r="EQ15" s="24">
        <v>0</v>
      </c>
      <c r="ER15" s="19">
        <f>+Hoja2!ER15+Hoja1!ER15</f>
        <v>0</v>
      </c>
      <c r="ES15" s="24">
        <v>0</v>
      </c>
      <c r="ET15" s="19">
        <f>+Hoja2!ET15+Hoja1!ET15</f>
        <v>0</v>
      </c>
      <c r="EU15" s="24">
        <v>0</v>
      </c>
    </row>
    <row r="16" spans="1:151" x14ac:dyDescent="0.25">
      <c r="A16" s="24" t="s">
        <v>33</v>
      </c>
      <c r="B16" s="25">
        <v>38</v>
      </c>
      <c r="C16" s="24" t="s">
        <v>35</v>
      </c>
      <c r="D16" s="24">
        <v>1018510</v>
      </c>
      <c r="E16" s="26">
        <v>1307</v>
      </c>
      <c r="F16" s="26">
        <v>755614</v>
      </c>
      <c r="G16" s="26">
        <v>99524</v>
      </c>
      <c r="H16" s="26">
        <v>855138</v>
      </c>
      <c r="I16" s="1">
        <v>4675</v>
      </c>
      <c r="J16" s="19">
        <f>+INT(([1]Hoja1!M16/[1]Hoja1!O16)*M16)</f>
        <v>64800389</v>
      </c>
      <c r="K16" s="19">
        <f>+INT(([1]Hoja1!N16/[1]Hoja1!O16)*M16)</f>
        <v>64327923</v>
      </c>
      <c r="L16" s="19">
        <f t="shared" si="1"/>
        <v>476909</v>
      </c>
      <c r="M16" s="19">
        <f t="shared" si="2"/>
        <v>472466</v>
      </c>
      <c r="N16" s="22">
        <f t="shared" si="0"/>
        <v>469086</v>
      </c>
      <c r="O16" s="26">
        <v>3380</v>
      </c>
      <c r="P16" s="26">
        <v>4443</v>
      </c>
      <c r="Q16" s="22">
        <f t="shared" si="3"/>
        <v>7</v>
      </c>
      <c r="R16" s="19">
        <f>+Hoja2!R16+Hoja1!R16</f>
        <v>141440</v>
      </c>
      <c r="S16" s="24">
        <v>2</v>
      </c>
      <c r="T16" s="19">
        <f>+Hoja2!T16+Hoja1!T16</f>
        <v>113685</v>
      </c>
      <c r="U16" s="24">
        <v>2</v>
      </c>
      <c r="V16" s="19">
        <f>+Hoja2!V16+Hoja1!V16</f>
        <v>54560</v>
      </c>
      <c r="W16" s="24">
        <v>1</v>
      </c>
      <c r="X16" s="19">
        <f>+Hoja2!X16+Hoja1!X16</f>
        <v>67843</v>
      </c>
      <c r="Y16" s="24">
        <v>1</v>
      </c>
      <c r="Z16" s="19">
        <f>+Hoja2!Z16+Hoja1!Z16</f>
        <v>0</v>
      </c>
      <c r="AA16" s="24">
        <v>0</v>
      </c>
      <c r="AB16" s="19">
        <f>+Hoja2!AB16+Hoja1!AB16</f>
        <v>0</v>
      </c>
      <c r="AC16" s="24">
        <v>0</v>
      </c>
      <c r="AD16" s="19">
        <f>+Hoja2!AD16+Hoja1!AD16</f>
        <v>0</v>
      </c>
      <c r="AE16" s="24">
        <v>0</v>
      </c>
      <c r="AF16" s="19">
        <f>+Hoja2!AF16+Hoja1!AF16</f>
        <v>0</v>
      </c>
      <c r="AG16" s="24">
        <v>0</v>
      </c>
      <c r="AH16" s="19">
        <f>+Hoja2!AH16+Hoja1!AH16</f>
        <v>0</v>
      </c>
      <c r="AI16" s="24">
        <v>0</v>
      </c>
      <c r="AJ16" s="19">
        <f>+Hoja2!AJ16+Hoja1!AJ16</f>
        <v>0</v>
      </c>
      <c r="AK16" s="24">
        <v>0</v>
      </c>
      <c r="AL16" s="19">
        <f>+Hoja2!AL16+Hoja1!AL16</f>
        <v>6912</v>
      </c>
      <c r="AM16" s="24">
        <v>0</v>
      </c>
      <c r="AN16" s="19">
        <f>+Hoja2!AN16+Hoja1!AN16</f>
        <v>0</v>
      </c>
      <c r="AO16" s="24">
        <v>0</v>
      </c>
      <c r="AP16" s="19">
        <f>+Hoja2!AP16+Hoja1!AP16</f>
        <v>0</v>
      </c>
      <c r="AQ16" s="24">
        <v>0</v>
      </c>
      <c r="AR16" s="19">
        <f>+Hoja2!AR16+Hoja1!AR16</f>
        <v>74354</v>
      </c>
      <c r="AS16" s="24">
        <v>1</v>
      </c>
      <c r="AT16" s="19">
        <f>+Hoja2!AT16+Hoja1!AT16</f>
        <v>0</v>
      </c>
      <c r="AU16" s="24">
        <v>0</v>
      </c>
      <c r="AV16" s="19">
        <f>+Hoja2!AV16+Hoja1!AV16</f>
        <v>0</v>
      </c>
      <c r="AW16" s="24">
        <v>0</v>
      </c>
      <c r="AX16" s="19">
        <f>+Hoja2!AX16+Hoja1!AX16</f>
        <v>0</v>
      </c>
      <c r="AY16" s="24">
        <v>0</v>
      </c>
      <c r="AZ16" s="19">
        <f>+Hoja2!AZ16+Hoja1!AZ16</f>
        <v>0</v>
      </c>
      <c r="BA16" s="24">
        <v>0</v>
      </c>
      <c r="BB16" s="19">
        <f>+Hoja2!BB16+Hoja1!BB16</f>
        <v>0</v>
      </c>
      <c r="BC16" s="24">
        <v>0</v>
      </c>
      <c r="BD16" s="19">
        <f>+Hoja2!BD16+Hoja1!BD16</f>
        <v>6119</v>
      </c>
      <c r="BE16" s="24">
        <v>0</v>
      </c>
      <c r="BF16" s="19">
        <f>+Hoja2!BF16+Hoja1!BF16</f>
        <v>0</v>
      </c>
      <c r="BG16" s="24">
        <v>0</v>
      </c>
      <c r="BH16" s="19">
        <f>+Hoja2!BH16+Hoja1!BH16</f>
        <v>486</v>
      </c>
      <c r="BI16" s="24">
        <v>0</v>
      </c>
      <c r="BJ16" s="19">
        <f>+Hoja2!BJ16+Hoja1!BJ16</f>
        <v>317</v>
      </c>
      <c r="BK16" s="24">
        <v>0</v>
      </c>
      <c r="BL16" s="19">
        <f>+Hoja2!BL16+Hoja1!BL16</f>
        <v>0</v>
      </c>
      <c r="BM16" s="24">
        <v>0</v>
      </c>
      <c r="BN16" s="19">
        <f>+Hoja2!BN16+Hoja1!BN16</f>
        <v>0</v>
      </c>
      <c r="BO16" s="24">
        <v>0</v>
      </c>
      <c r="BP16" s="19">
        <f>+Hoja2!BP16+Hoja1!BP16</f>
        <v>0</v>
      </c>
      <c r="BQ16" s="24">
        <v>0</v>
      </c>
      <c r="BR16" s="19">
        <f>+Hoja2!BR16+Hoja1!BR16</f>
        <v>487</v>
      </c>
      <c r="BS16" s="24">
        <v>0</v>
      </c>
      <c r="BT16" s="19">
        <f>+Hoja2!BT16+Hoja1!BT16</f>
        <v>0</v>
      </c>
      <c r="BU16" s="24">
        <v>0</v>
      </c>
      <c r="BV16" s="19">
        <f>+Hoja2!BV16+Hoja1!BV16</f>
        <v>0</v>
      </c>
      <c r="BW16" s="24">
        <v>0</v>
      </c>
      <c r="BX16" s="19">
        <f>+Hoja2!BX16+Hoja1!BX16</f>
        <v>0</v>
      </c>
      <c r="BY16" s="24">
        <v>0</v>
      </c>
      <c r="BZ16" s="19">
        <f>+Hoja2!BZ16+Hoja1!BZ16</f>
        <v>0</v>
      </c>
      <c r="CA16" s="24">
        <v>0</v>
      </c>
      <c r="CB16" s="19">
        <f>+Hoja2!CB16+Hoja1!CB16</f>
        <v>0</v>
      </c>
      <c r="CC16" s="24">
        <v>0</v>
      </c>
      <c r="CD16" s="19">
        <f>+Hoja2!CD16+Hoja1!CD16</f>
        <v>415</v>
      </c>
      <c r="CE16" s="24">
        <v>0</v>
      </c>
      <c r="CF16" s="19">
        <f>+Hoja2!CF16+Hoja1!CF16</f>
        <v>0</v>
      </c>
      <c r="CG16" s="24">
        <v>0</v>
      </c>
      <c r="CH16" s="19">
        <f>+Hoja2!CH16+Hoja1!CH16</f>
        <v>0</v>
      </c>
      <c r="CI16" s="24">
        <v>0</v>
      </c>
      <c r="CJ16" s="19">
        <f>+Hoja2!CJ16+Hoja1!CJ16</f>
        <v>0</v>
      </c>
      <c r="CK16" s="24">
        <v>0</v>
      </c>
      <c r="CL16" s="19">
        <f>+Hoja2!CL16+Hoja1!CL16</f>
        <v>1315</v>
      </c>
      <c r="CM16" s="24">
        <v>0</v>
      </c>
      <c r="CN16" s="19">
        <f>+Hoja2!CN16+Hoja1!CN16</f>
        <v>0</v>
      </c>
      <c r="CO16" s="24">
        <v>0</v>
      </c>
      <c r="CP16" s="19">
        <f>+Hoja2!CP16+Hoja1!CP16</f>
        <v>0</v>
      </c>
      <c r="CQ16" s="24">
        <v>0</v>
      </c>
      <c r="CR16" s="19">
        <f>+Hoja2!CR16+Hoja1!CR16</f>
        <v>0</v>
      </c>
      <c r="CS16" s="24">
        <v>0</v>
      </c>
      <c r="CT16" s="19">
        <f>+Hoja2!CT16+Hoja1!CT16</f>
        <v>0</v>
      </c>
      <c r="CU16" s="24">
        <v>0</v>
      </c>
      <c r="CV16" s="19">
        <f>+Hoja2!CV16+Hoja1!CV16</f>
        <v>0</v>
      </c>
      <c r="CW16" s="24">
        <v>0</v>
      </c>
      <c r="CX16" s="19">
        <f>+Hoja2!CX16+Hoja1!CX16</f>
        <v>917</v>
      </c>
      <c r="CY16" s="24">
        <v>0</v>
      </c>
      <c r="CZ16" s="19">
        <f>+Hoja2!CZ16+Hoja1!CZ16</f>
        <v>236</v>
      </c>
      <c r="DA16" s="24">
        <v>0</v>
      </c>
      <c r="DB16" s="19">
        <f>+Hoja2!DB16+Hoja1!DB16</f>
        <v>0</v>
      </c>
      <c r="DC16" s="24">
        <v>0</v>
      </c>
      <c r="DD16" s="19">
        <f>+Hoja2!DD16+Hoja1!DD16</f>
        <v>0</v>
      </c>
      <c r="DE16" s="24">
        <v>0</v>
      </c>
      <c r="DF16" s="19">
        <f>+Hoja2!DF16+Hoja1!DF16</f>
        <v>0</v>
      </c>
      <c r="DG16" s="24">
        <v>0</v>
      </c>
      <c r="DH16" s="19">
        <f>+Hoja2!DH16+Hoja1!DH16</f>
        <v>0</v>
      </c>
      <c r="DI16" s="24">
        <v>0</v>
      </c>
      <c r="DJ16" s="19">
        <f>+Hoja2!DJ16+Hoja1!DJ16</f>
        <v>0</v>
      </c>
      <c r="DK16" s="24">
        <v>0</v>
      </c>
      <c r="DL16" s="19">
        <f>+Hoja2!DL16+Hoja1!DL16</f>
        <v>0</v>
      </c>
      <c r="DM16" s="24">
        <v>0</v>
      </c>
      <c r="DN16" s="19">
        <f>+Hoja2!DN16+Hoja1!DN16</f>
        <v>0</v>
      </c>
      <c r="DO16" s="24">
        <v>0</v>
      </c>
      <c r="DP16" s="19">
        <f>+Hoja2!DP16+Hoja1!DP16</f>
        <v>0</v>
      </c>
      <c r="DQ16" s="24">
        <v>0</v>
      </c>
      <c r="DR16" s="19">
        <f>+Hoja2!DR16+Hoja1!DR16</f>
        <v>0</v>
      </c>
      <c r="DS16" s="24">
        <v>0</v>
      </c>
      <c r="DT16" s="19">
        <f>+Hoja2!DT16+Hoja1!DT16</f>
        <v>0</v>
      </c>
      <c r="DU16" s="24">
        <v>0</v>
      </c>
      <c r="DV16" s="19">
        <f>+Hoja2!DV16+Hoja1!DV16</f>
        <v>0</v>
      </c>
      <c r="DW16" s="24">
        <v>0</v>
      </c>
      <c r="DX16" s="19">
        <f>+Hoja2!DX16+Hoja1!DX16</f>
        <v>0</v>
      </c>
      <c r="DY16" s="24">
        <v>0</v>
      </c>
      <c r="DZ16" s="19">
        <f>+Hoja2!DZ16+Hoja1!DZ16</f>
        <v>0</v>
      </c>
      <c r="EA16" s="24">
        <v>0</v>
      </c>
      <c r="EB16" s="19">
        <f>+Hoja2!EB16+Hoja1!EB16</f>
        <v>0</v>
      </c>
      <c r="EC16" s="24">
        <v>0</v>
      </c>
      <c r="ED16" s="19">
        <f>+Hoja2!ED16+Hoja1!ED16</f>
        <v>0</v>
      </c>
      <c r="EE16" s="24">
        <v>0</v>
      </c>
      <c r="EF16" s="19">
        <f>+Hoja2!EF16+Hoja1!EF16</f>
        <v>0</v>
      </c>
      <c r="EG16" s="24">
        <v>0</v>
      </c>
      <c r="EH16" s="19">
        <f>+Hoja2!EH16+Hoja1!EH16</f>
        <v>0</v>
      </c>
      <c r="EI16" s="24">
        <v>0</v>
      </c>
      <c r="EJ16" s="19">
        <f>+Hoja2!EJ16+Hoja1!EJ16</f>
        <v>0</v>
      </c>
      <c r="EK16" s="24">
        <v>0</v>
      </c>
      <c r="EL16" s="19">
        <f>+Hoja2!EL16+Hoja1!EL16</f>
        <v>0</v>
      </c>
      <c r="EM16" s="24">
        <v>0</v>
      </c>
      <c r="EN16" s="19">
        <f>+Hoja2!EN16+Hoja1!EN16</f>
        <v>0</v>
      </c>
      <c r="EO16" s="24">
        <v>0</v>
      </c>
      <c r="EP16" s="19">
        <f>+Hoja2!EP16+Hoja1!EP16</f>
        <v>0</v>
      </c>
      <c r="EQ16" s="24">
        <v>0</v>
      </c>
      <c r="ER16" s="19">
        <f>+Hoja2!ER16+Hoja1!ER16</f>
        <v>0</v>
      </c>
      <c r="ES16" s="24">
        <v>0</v>
      </c>
      <c r="ET16" s="19">
        <f>+Hoja2!ET16+Hoja1!ET16</f>
        <v>0</v>
      </c>
      <c r="EU16" s="24">
        <v>0</v>
      </c>
    </row>
    <row r="17" spans="1:151" x14ac:dyDescent="0.25">
      <c r="A17" s="24" t="s">
        <v>36</v>
      </c>
      <c r="B17" s="25">
        <v>39</v>
      </c>
      <c r="C17" s="24" t="s">
        <v>36</v>
      </c>
      <c r="D17" s="24">
        <v>580229</v>
      </c>
      <c r="E17" s="26">
        <v>741</v>
      </c>
      <c r="F17" s="26">
        <v>462660</v>
      </c>
      <c r="G17" s="26">
        <v>39016</v>
      </c>
      <c r="H17" s="26">
        <v>501676</v>
      </c>
      <c r="I17" s="1">
        <v>3455</v>
      </c>
      <c r="J17" s="19">
        <f>+INT(([1]Hoja1!M17/[1]Hoja1!O17)*M17)</f>
        <v>65354422</v>
      </c>
      <c r="K17" s="19">
        <f>+INT(([1]Hoja1!N17/[1]Hoja1!O17)*M17)</f>
        <v>65021345</v>
      </c>
      <c r="L17" s="19">
        <f t="shared" si="1"/>
        <v>335809</v>
      </c>
      <c r="M17" s="19">
        <f t="shared" si="2"/>
        <v>333077</v>
      </c>
      <c r="N17" s="22">
        <f t="shared" si="0"/>
        <v>331410</v>
      </c>
      <c r="O17" s="26">
        <v>1667</v>
      </c>
      <c r="P17" s="26">
        <v>2732</v>
      </c>
      <c r="Q17" s="22">
        <f t="shared" si="3"/>
        <v>5</v>
      </c>
      <c r="R17" s="19">
        <f>+Hoja2!R17+Hoja1!R17</f>
        <v>81389</v>
      </c>
      <c r="S17" s="24">
        <v>1</v>
      </c>
      <c r="T17" s="19">
        <f>+Hoja2!T17+Hoja1!T17</f>
        <v>98761</v>
      </c>
      <c r="U17" s="24">
        <v>2</v>
      </c>
      <c r="V17" s="19">
        <f>+Hoja2!V17+Hoja1!V17</f>
        <v>49803</v>
      </c>
      <c r="W17" s="24">
        <v>1</v>
      </c>
      <c r="X17" s="19">
        <f>+Hoja2!X17+Hoja1!X17</f>
        <v>29794</v>
      </c>
      <c r="Y17" s="24">
        <v>0</v>
      </c>
      <c r="Z17" s="19">
        <f>+Hoja2!Z17+Hoja1!Z17</f>
        <v>0</v>
      </c>
      <c r="AA17" s="24">
        <v>0</v>
      </c>
      <c r="AB17" s="19">
        <f>+Hoja2!AB17+Hoja1!AB17</f>
        <v>0</v>
      </c>
      <c r="AC17" s="24">
        <v>0</v>
      </c>
      <c r="AD17" s="19">
        <f>+Hoja2!AD17+Hoja1!AD17</f>
        <v>0</v>
      </c>
      <c r="AE17" s="24">
        <v>0</v>
      </c>
      <c r="AF17" s="19">
        <f>+Hoja2!AF17+Hoja1!AF17</f>
        <v>0</v>
      </c>
      <c r="AG17" s="24">
        <v>0</v>
      </c>
      <c r="AH17" s="19">
        <f>+Hoja2!AH17+Hoja1!AH17</f>
        <v>0</v>
      </c>
      <c r="AI17" s="24">
        <v>0</v>
      </c>
      <c r="AJ17" s="19">
        <f>+Hoja2!AJ17+Hoja1!AJ17</f>
        <v>0</v>
      </c>
      <c r="AK17" s="24">
        <v>0</v>
      </c>
      <c r="AL17" s="19">
        <f>+Hoja2!AL17+Hoja1!AL17</f>
        <v>0</v>
      </c>
      <c r="AM17" s="24">
        <v>0</v>
      </c>
      <c r="AN17" s="19">
        <f>+Hoja2!AN17+Hoja1!AN17</f>
        <v>0</v>
      </c>
      <c r="AO17" s="24">
        <v>0</v>
      </c>
      <c r="AP17" s="19">
        <f>+Hoja2!AP17+Hoja1!AP17</f>
        <v>0</v>
      </c>
      <c r="AQ17" s="24">
        <v>0</v>
      </c>
      <c r="AR17" s="19">
        <f>+Hoja2!AR17+Hoja1!AR17</f>
        <v>0</v>
      </c>
      <c r="AS17" s="24">
        <v>0</v>
      </c>
      <c r="AT17" s="19">
        <f>+Hoja2!AT17+Hoja1!AT17</f>
        <v>0</v>
      </c>
      <c r="AU17" s="24">
        <v>0</v>
      </c>
      <c r="AV17" s="19">
        <f>+Hoja2!AV17+Hoja1!AV17</f>
        <v>0</v>
      </c>
      <c r="AW17" s="24">
        <v>0</v>
      </c>
      <c r="AX17" s="19">
        <f>+Hoja2!AX17+Hoja1!AX17</f>
        <v>0</v>
      </c>
      <c r="AY17" s="24">
        <v>0</v>
      </c>
      <c r="AZ17" s="19">
        <f>+Hoja2!AZ17+Hoja1!AZ17</f>
        <v>68485</v>
      </c>
      <c r="BA17" s="24">
        <v>1</v>
      </c>
      <c r="BB17" s="19">
        <f>+Hoja2!BB17+Hoja1!BB17</f>
        <v>0</v>
      </c>
      <c r="BC17" s="24">
        <v>0</v>
      </c>
      <c r="BD17" s="19">
        <f>+Hoja2!BD17+Hoja1!BD17</f>
        <v>1846</v>
      </c>
      <c r="BE17" s="24">
        <v>0</v>
      </c>
      <c r="BF17" s="19">
        <f>+Hoja2!BF17+Hoja1!BF17</f>
        <v>0</v>
      </c>
      <c r="BG17" s="24">
        <v>0</v>
      </c>
      <c r="BH17" s="19">
        <f>+Hoja2!BH17+Hoja1!BH17</f>
        <v>230</v>
      </c>
      <c r="BI17" s="24">
        <v>0</v>
      </c>
      <c r="BJ17" s="19">
        <f>+Hoja2!BJ17+Hoja1!BJ17</f>
        <v>186</v>
      </c>
      <c r="BK17" s="24">
        <v>0</v>
      </c>
      <c r="BL17" s="19">
        <f>+Hoja2!BL17+Hoja1!BL17</f>
        <v>0</v>
      </c>
      <c r="BM17" s="24">
        <v>0</v>
      </c>
      <c r="BN17" s="19">
        <f>+Hoja2!BN17+Hoja1!BN17</f>
        <v>0</v>
      </c>
      <c r="BO17" s="24">
        <v>0</v>
      </c>
      <c r="BP17" s="19">
        <f>+Hoja2!BP17+Hoja1!BP17</f>
        <v>0</v>
      </c>
      <c r="BQ17" s="24">
        <v>0</v>
      </c>
      <c r="BR17" s="19">
        <f>+Hoja2!BR17+Hoja1!BR17</f>
        <v>275</v>
      </c>
      <c r="BS17" s="24">
        <v>0</v>
      </c>
      <c r="BT17" s="19">
        <f>+Hoja2!BT17+Hoja1!BT17</f>
        <v>259</v>
      </c>
      <c r="BU17" s="24">
        <v>0</v>
      </c>
      <c r="BV17" s="19">
        <f>+Hoja2!BV17+Hoja1!BV17</f>
        <v>0</v>
      </c>
      <c r="BW17" s="24">
        <v>0</v>
      </c>
      <c r="BX17" s="19">
        <f>+Hoja2!BX17+Hoja1!BX17</f>
        <v>0</v>
      </c>
      <c r="BY17" s="24">
        <v>0</v>
      </c>
      <c r="BZ17" s="19">
        <f>+Hoja2!BZ17+Hoja1!BZ17</f>
        <v>0</v>
      </c>
      <c r="CA17" s="24">
        <v>0</v>
      </c>
      <c r="CB17" s="19">
        <f>+Hoja2!CB17+Hoja1!CB17</f>
        <v>0</v>
      </c>
      <c r="CC17" s="24">
        <v>0</v>
      </c>
      <c r="CD17" s="19">
        <f>+Hoja2!CD17+Hoja1!CD17</f>
        <v>257</v>
      </c>
      <c r="CE17" s="24">
        <v>0</v>
      </c>
      <c r="CF17" s="19">
        <f>+Hoja2!CF17+Hoja1!CF17</f>
        <v>0</v>
      </c>
      <c r="CG17" s="24">
        <v>0</v>
      </c>
      <c r="CH17" s="19">
        <f>+Hoja2!CH17+Hoja1!CH17</f>
        <v>0</v>
      </c>
      <c r="CI17" s="24">
        <v>0</v>
      </c>
      <c r="CJ17" s="19">
        <f>+Hoja2!CJ17+Hoja1!CJ17</f>
        <v>0</v>
      </c>
      <c r="CK17" s="24">
        <v>0</v>
      </c>
      <c r="CL17" s="19">
        <f>+Hoja2!CL17+Hoja1!CL17</f>
        <v>0</v>
      </c>
      <c r="CM17" s="24">
        <v>0</v>
      </c>
      <c r="CN17" s="19">
        <f>+Hoja2!CN17+Hoja1!CN17</f>
        <v>0</v>
      </c>
      <c r="CO17" s="24">
        <v>0</v>
      </c>
      <c r="CP17" s="19">
        <f>+Hoja2!CP17+Hoja1!CP17</f>
        <v>0</v>
      </c>
      <c r="CQ17" s="24">
        <v>0</v>
      </c>
      <c r="CR17" s="19">
        <f>+Hoja2!CR17+Hoja1!CR17</f>
        <v>0</v>
      </c>
      <c r="CS17" s="24">
        <v>0</v>
      </c>
      <c r="CT17" s="19">
        <f>+Hoja2!CT17+Hoja1!CT17</f>
        <v>0</v>
      </c>
      <c r="CU17" s="24">
        <v>0</v>
      </c>
      <c r="CV17" s="19">
        <f>+Hoja2!CV17+Hoja1!CV17</f>
        <v>0</v>
      </c>
      <c r="CW17" s="24">
        <v>0</v>
      </c>
      <c r="CX17" s="19">
        <f>+Hoja2!CX17+Hoja1!CX17</f>
        <v>0</v>
      </c>
      <c r="CY17" s="24">
        <v>0</v>
      </c>
      <c r="CZ17" s="19">
        <f>+Hoja2!CZ17+Hoja1!CZ17</f>
        <v>0</v>
      </c>
      <c r="DA17" s="24">
        <v>0</v>
      </c>
      <c r="DB17" s="19">
        <f>+Hoja2!DB17+Hoja1!DB17</f>
        <v>0</v>
      </c>
      <c r="DC17" s="24">
        <v>0</v>
      </c>
      <c r="DD17" s="19">
        <f>+Hoja2!DD17+Hoja1!DD17</f>
        <v>0</v>
      </c>
      <c r="DE17" s="24">
        <v>0</v>
      </c>
      <c r="DF17" s="19">
        <f>+Hoja2!DF17+Hoja1!DF17</f>
        <v>0</v>
      </c>
      <c r="DG17" s="24">
        <v>0</v>
      </c>
      <c r="DH17" s="19">
        <f>+Hoja2!DH17+Hoja1!DH17</f>
        <v>0</v>
      </c>
      <c r="DI17" s="24">
        <v>0</v>
      </c>
      <c r="DJ17" s="19">
        <f>+Hoja2!DJ17+Hoja1!DJ17</f>
        <v>125</v>
      </c>
      <c r="DK17" s="24">
        <v>0</v>
      </c>
      <c r="DL17" s="19">
        <f>+Hoja2!DL17+Hoja1!DL17</f>
        <v>0</v>
      </c>
      <c r="DM17" s="24">
        <v>0</v>
      </c>
      <c r="DN17" s="19">
        <f>+Hoja2!DN17+Hoja1!DN17</f>
        <v>0</v>
      </c>
      <c r="DO17" s="24">
        <v>0</v>
      </c>
      <c r="DP17" s="19">
        <f>+Hoja2!DP17+Hoja1!DP17</f>
        <v>0</v>
      </c>
      <c r="DQ17" s="24">
        <v>0</v>
      </c>
      <c r="DR17" s="19">
        <f>+Hoja2!DR17+Hoja1!DR17</f>
        <v>0</v>
      </c>
      <c r="DS17" s="24">
        <v>0</v>
      </c>
      <c r="DT17" s="19">
        <f>+Hoja2!DT17+Hoja1!DT17</f>
        <v>0</v>
      </c>
      <c r="DU17" s="24">
        <v>0</v>
      </c>
      <c r="DV17" s="19">
        <f>+Hoja2!DV17+Hoja1!DV17</f>
        <v>0</v>
      </c>
      <c r="DW17" s="24">
        <v>0</v>
      </c>
      <c r="DX17" s="19">
        <f>+Hoja2!DX17+Hoja1!DX17</f>
        <v>0</v>
      </c>
      <c r="DY17" s="24">
        <v>0</v>
      </c>
      <c r="DZ17" s="19">
        <f>+Hoja2!DZ17+Hoja1!DZ17</f>
        <v>0</v>
      </c>
      <c r="EA17" s="24">
        <v>0</v>
      </c>
      <c r="EB17" s="19">
        <f>+Hoja2!EB17+Hoja1!EB17</f>
        <v>0</v>
      </c>
      <c r="EC17" s="24">
        <v>0</v>
      </c>
      <c r="ED17" s="19">
        <f>+Hoja2!ED17+Hoja1!ED17</f>
        <v>0</v>
      </c>
      <c r="EE17" s="24">
        <v>0</v>
      </c>
      <c r="EF17" s="19">
        <f>+Hoja2!EF17+Hoja1!EF17</f>
        <v>0</v>
      </c>
      <c r="EG17" s="24">
        <v>0</v>
      </c>
      <c r="EH17" s="19">
        <f>+Hoja2!EH17+Hoja1!EH17</f>
        <v>0</v>
      </c>
      <c r="EI17" s="24">
        <v>0</v>
      </c>
      <c r="EJ17" s="19">
        <f>+Hoja2!EJ17+Hoja1!EJ17</f>
        <v>0</v>
      </c>
      <c r="EK17" s="24">
        <v>0</v>
      </c>
      <c r="EL17" s="19">
        <f>+Hoja2!EL17+Hoja1!EL17</f>
        <v>0</v>
      </c>
      <c r="EM17" s="24">
        <v>0</v>
      </c>
      <c r="EN17" s="19">
        <f>+Hoja2!EN17+Hoja1!EN17</f>
        <v>0</v>
      </c>
      <c r="EO17" s="24">
        <v>0</v>
      </c>
      <c r="EP17" s="19">
        <f>+Hoja2!EP17+Hoja1!EP17</f>
        <v>0</v>
      </c>
      <c r="EQ17" s="24">
        <v>0</v>
      </c>
      <c r="ER17" s="19">
        <f>+Hoja2!ER17+Hoja1!ER17</f>
        <v>0</v>
      </c>
      <c r="ES17" s="24">
        <v>0</v>
      </c>
      <c r="ET17" s="19">
        <f>+Hoja2!ET17+Hoja1!ET17</f>
        <v>0</v>
      </c>
      <c r="EU17" s="24">
        <v>0</v>
      </c>
    </row>
    <row r="18" spans="1:151" x14ac:dyDescent="0.25">
      <c r="A18" s="24" t="s">
        <v>37</v>
      </c>
      <c r="B18" s="25">
        <v>2</v>
      </c>
      <c r="C18" s="24" t="s">
        <v>38</v>
      </c>
      <c r="D18" s="24">
        <v>388786</v>
      </c>
      <c r="E18" s="26">
        <v>519</v>
      </c>
      <c r="F18" s="26">
        <v>302443</v>
      </c>
      <c r="G18" s="26">
        <v>7553</v>
      </c>
      <c r="H18" s="26">
        <v>309996</v>
      </c>
      <c r="I18" s="1">
        <v>1042</v>
      </c>
      <c r="J18" s="19">
        <f>+INT(([1]Hoja1!M18/[1]Hoja1!O18)*M18)</f>
        <v>25794226</v>
      </c>
      <c r="K18" s="19">
        <f>+INT(([1]Hoja1!N18/[1]Hoja1!O18)*M18)</f>
        <v>25574925</v>
      </c>
      <c r="L18" s="19">
        <f t="shared" si="1"/>
        <v>221914</v>
      </c>
      <c r="M18" s="19">
        <f t="shared" si="2"/>
        <v>219301</v>
      </c>
      <c r="N18" s="22">
        <f t="shared" si="0"/>
        <v>217479</v>
      </c>
      <c r="O18" s="26">
        <v>1822</v>
      </c>
      <c r="P18" s="26">
        <v>2613</v>
      </c>
      <c r="Q18" s="22">
        <f t="shared" si="3"/>
        <v>4</v>
      </c>
      <c r="R18" s="19">
        <f>+Hoja2!R18+Hoja1!R18</f>
        <v>74934</v>
      </c>
      <c r="S18" s="24">
        <v>2</v>
      </c>
      <c r="T18" s="19">
        <f>+Hoja2!T18+Hoja1!T18</f>
        <v>72768</v>
      </c>
      <c r="U18" s="24">
        <v>1</v>
      </c>
      <c r="V18" s="19">
        <f>+Hoja2!V18+Hoja1!V18</f>
        <v>45192</v>
      </c>
      <c r="W18" s="24">
        <v>1</v>
      </c>
      <c r="X18" s="19">
        <f>+Hoja2!X18+Hoja1!X18</f>
        <v>21809</v>
      </c>
      <c r="Y18" s="24">
        <v>0</v>
      </c>
      <c r="Z18" s="19">
        <f>+Hoja2!Z18+Hoja1!Z18</f>
        <v>0</v>
      </c>
      <c r="AA18" s="24">
        <v>0</v>
      </c>
      <c r="AB18" s="19">
        <f>+Hoja2!AB18+Hoja1!AB18</f>
        <v>0</v>
      </c>
      <c r="AC18" s="24">
        <v>0</v>
      </c>
      <c r="AD18" s="19">
        <f>+Hoja2!AD18+Hoja1!AD18</f>
        <v>0</v>
      </c>
      <c r="AE18" s="24">
        <v>0</v>
      </c>
      <c r="AF18" s="19">
        <f>+Hoja2!AF18+Hoja1!AF18</f>
        <v>0</v>
      </c>
      <c r="AG18" s="24">
        <v>0</v>
      </c>
      <c r="AH18" s="19">
        <f>+Hoja2!AH18+Hoja1!AH18</f>
        <v>0</v>
      </c>
      <c r="AI18" s="24">
        <v>0</v>
      </c>
      <c r="AJ18" s="19">
        <f>+Hoja2!AJ18+Hoja1!AJ18</f>
        <v>0</v>
      </c>
      <c r="AK18" s="24">
        <v>0</v>
      </c>
      <c r="AL18" s="19">
        <f>+Hoja2!AL18+Hoja1!AL18</f>
        <v>0</v>
      </c>
      <c r="AM18" s="24">
        <v>0</v>
      </c>
      <c r="AN18" s="19">
        <f>+Hoja2!AN18+Hoja1!AN18</f>
        <v>0</v>
      </c>
      <c r="AO18" s="24">
        <v>0</v>
      </c>
      <c r="AP18" s="19">
        <f>+Hoja2!AP18+Hoja1!AP18</f>
        <v>0</v>
      </c>
      <c r="AQ18" s="24">
        <v>0</v>
      </c>
      <c r="AR18" s="19">
        <f>+Hoja2!AR18+Hoja1!AR18</f>
        <v>0</v>
      </c>
      <c r="AS18" s="24">
        <v>0</v>
      </c>
      <c r="AT18" s="19">
        <f>+Hoja2!AT18+Hoja1!AT18</f>
        <v>0</v>
      </c>
      <c r="AU18" s="24">
        <v>0</v>
      </c>
      <c r="AV18" s="19">
        <f>+Hoja2!AV18+Hoja1!AV18</f>
        <v>0</v>
      </c>
      <c r="AW18" s="24">
        <v>0</v>
      </c>
      <c r="AX18" s="19">
        <f>+Hoja2!AX18+Hoja1!AX18</f>
        <v>0</v>
      </c>
      <c r="AY18" s="24">
        <v>0</v>
      </c>
      <c r="AZ18" s="19">
        <f>+Hoja2!AZ18+Hoja1!AZ18</f>
        <v>0</v>
      </c>
      <c r="BA18" s="24">
        <v>0</v>
      </c>
      <c r="BB18" s="19">
        <f>+Hoja2!BB18+Hoja1!BB18</f>
        <v>0</v>
      </c>
      <c r="BC18" s="24">
        <v>0</v>
      </c>
      <c r="BD18" s="19">
        <f>+Hoja2!BD18+Hoja1!BD18</f>
        <v>1642</v>
      </c>
      <c r="BE18" s="24">
        <v>0</v>
      </c>
      <c r="BF18" s="19">
        <f>+Hoja2!BF18+Hoja1!BF18</f>
        <v>0</v>
      </c>
      <c r="BG18" s="24">
        <v>0</v>
      </c>
      <c r="BH18" s="19">
        <f>+Hoja2!BH18+Hoja1!BH18</f>
        <v>220</v>
      </c>
      <c r="BI18" s="24">
        <v>0</v>
      </c>
      <c r="BJ18" s="19">
        <f>+Hoja2!BJ18+Hoja1!BJ18</f>
        <v>373</v>
      </c>
      <c r="BK18" s="24">
        <v>0</v>
      </c>
      <c r="BL18" s="19">
        <f>+Hoja2!BL18+Hoja1!BL18</f>
        <v>0</v>
      </c>
      <c r="BM18" s="24">
        <v>0</v>
      </c>
      <c r="BN18" s="19">
        <f>+Hoja2!BN18+Hoja1!BN18</f>
        <v>0</v>
      </c>
      <c r="BO18" s="24">
        <v>0</v>
      </c>
      <c r="BP18" s="19">
        <f>+Hoja2!BP18+Hoja1!BP18</f>
        <v>0</v>
      </c>
      <c r="BQ18" s="24">
        <v>0</v>
      </c>
      <c r="BR18" s="19">
        <f>+Hoja2!BR18+Hoja1!BR18</f>
        <v>185</v>
      </c>
      <c r="BS18" s="24">
        <v>0</v>
      </c>
      <c r="BT18" s="19">
        <f>+Hoja2!BT18+Hoja1!BT18</f>
        <v>160</v>
      </c>
      <c r="BU18" s="24">
        <v>0</v>
      </c>
      <c r="BV18" s="19">
        <f>+Hoja2!BV18+Hoja1!BV18</f>
        <v>0</v>
      </c>
      <c r="BW18" s="24">
        <v>0</v>
      </c>
      <c r="BX18" s="19">
        <f>+Hoja2!BX18+Hoja1!BX18</f>
        <v>0</v>
      </c>
      <c r="BY18" s="24">
        <v>0</v>
      </c>
      <c r="BZ18" s="19">
        <f>+Hoja2!BZ18+Hoja1!BZ18</f>
        <v>0</v>
      </c>
      <c r="CA18" s="24">
        <v>0</v>
      </c>
      <c r="CB18" s="19">
        <f>+Hoja2!CB18+Hoja1!CB18</f>
        <v>0</v>
      </c>
      <c r="CC18" s="24">
        <v>0</v>
      </c>
      <c r="CD18" s="19">
        <f>+Hoja2!CD18+Hoja1!CD18</f>
        <v>0</v>
      </c>
      <c r="CE18" s="24">
        <v>0</v>
      </c>
      <c r="CF18" s="19">
        <f>+Hoja2!CF18+Hoja1!CF18</f>
        <v>0</v>
      </c>
      <c r="CG18" s="24">
        <v>0</v>
      </c>
      <c r="CH18" s="19">
        <f>+Hoja2!CH18+Hoja1!CH18</f>
        <v>0</v>
      </c>
      <c r="CI18" s="24">
        <v>0</v>
      </c>
      <c r="CJ18" s="19">
        <f>+Hoja2!CJ18+Hoja1!CJ18</f>
        <v>0</v>
      </c>
      <c r="CK18" s="24">
        <v>0</v>
      </c>
      <c r="CL18" s="19">
        <f>+Hoja2!CL18+Hoja1!CL18</f>
        <v>0</v>
      </c>
      <c r="CM18" s="24">
        <v>0</v>
      </c>
      <c r="CN18" s="19">
        <f>+Hoja2!CN18+Hoja1!CN18</f>
        <v>0</v>
      </c>
      <c r="CO18" s="24">
        <v>0</v>
      </c>
      <c r="CP18" s="19">
        <f>+Hoja2!CP18+Hoja1!CP18</f>
        <v>0</v>
      </c>
      <c r="CQ18" s="24">
        <v>0</v>
      </c>
      <c r="CR18" s="19">
        <f>+Hoja2!CR18+Hoja1!CR18</f>
        <v>0</v>
      </c>
      <c r="CS18" s="24">
        <v>0</v>
      </c>
      <c r="CT18" s="19">
        <f>+Hoja2!CT18+Hoja1!CT18</f>
        <v>0</v>
      </c>
      <c r="CU18" s="24">
        <v>0</v>
      </c>
      <c r="CV18" s="19">
        <f>+Hoja2!CV18+Hoja1!CV18</f>
        <v>0</v>
      </c>
      <c r="CW18" s="24">
        <v>0</v>
      </c>
      <c r="CX18" s="19">
        <f>+Hoja2!CX18+Hoja1!CX18</f>
        <v>0</v>
      </c>
      <c r="CY18" s="24">
        <v>0</v>
      </c>
      <c r="CZ18" s="19">
        <f>+Hoja2!CZ18+Hoja1!CZ18</f>
        <v>0</v>
      </c>
      <c r="DA18" s="24">
        <v>0</v>
      </c>
      <c r="DB18" s="19">
        <f>+Hoja2!DB18+Hoja1!DB18</f>
        <v>0</v>
      </c>
      <c r="DC18" s="24">
        <v>0</v>
      </c>
      <c r="DD18" s="19">
        <f>+Hoja2!DD18+Hoja1!DD18</f>
        <v>0</v>
      </c>
      <c r="DE18" s="24">
        <v>0</v>
      </c>
      <c r="DF18" s="19">
        <f>+Hoja2!DF18+Hoja1!DF18</f>
        <v>0</v>
      </c>
      <c r="DG18" s="24">
        <v>0</v>
      </c>
      <c r="DH18" s="19">
        <f>+Hoja2!DH18+Hoja1!DH18</f>
        <v>196</v>
      </c>
      <c r="DI18" s="24">
        <v>0</v>
      </c>
      <c r="DJ18" s="19">
        <f>+Hoja2!DJ18+Hoja1!DJ18</f>
        <v>0</v>
      </c>
      <c r="DK18" s="24">
        <v>0</v>
      </c>
      <c r="DL18" s="19">
        <f>+Hoja2!DL18+Hoja1!DL18</f>
        <v>0</v>
      </c>
      <c r="DM18" s="24">
        <v>0</v>
      </c>
      <c r="DN18" s="19">
        <f>+Hoja2!DN18+Hoja1!DN18</f>
        <v>0</v>
      </c>
      <c r="DO18" s="24">
        <v>0</v>
      </c>
      <c r="DP18" s="19">
        <f>+Hoja2!DP18+Hoja1!DP18</f>
        <v>0</v>
      </c>
      <c r="DQ18" s="24">
        <v>0</v>
      </c>
      <c r="DR18" s="19">
        <f>+Hoja2!DR18+Hoja1!DR18</f>
        <v>0</v>
      </c>
      <c r="DS18" s="24">
        <v>0</v>
      </c>
      <c r="DT18" s="19">
        <f>+Hoja2!DT18+Hoja1!DT18</f>
        <v>0</v>
      </c>
      <c r="DU18" s="24">
        <v>0</v>
      </c>
      <c r="DV18" s="19">
        <f>+Hoja2!DV18+Hoja1!DV18</f>
        <v>0</v>
      </c>
      <c r="DW18" s="24">
        <v>0</v>
      </c>
      <c r="DX18" s="19">
        <f>+Hoja2!DX18+Hoja1!DX18</f>
        <v>0</v>
      </c>
      <c r="DY18" s="24">
        <v>0</v>
      </c>
      <c r="DZ18" s="19">
        <f>+Hoja2!DZ18+Hoja1!DZ18</f>
        <v>0</v>
      </c>
      <c r="EA18" s="24">
        <v>0</v>
      </c>
      <c r="EB18" s="19">
        <f>+Hoja2!EB18+Hoja1!EB18</f>
        <v>0</v>
      </c>
      <c r="EC18" s="24">
        <v>0</v>
      </c>
      <c r="ED18" s="19">
        <f>+Hoja2!ED18+Hoja1!ED18</f>
        <v>0</v>
      </c>
      <c r="EE18" s="24">
        <v>0</v>
      </c>
      <c r="EF18" s="19">
        <f>+Hoja2!EF18+Hoja1!EF18</f>
        <v>0</v>
      </c>
      <c r="EG18" s="24">
        <v>0</v>
      </c>
      <c r="EH18" s="19">
        <f>+Hoja2!EH18+Hoja1!EH18</f>
        <v>0</v>
      </c>
      <c r="EI18" s="24">
        <v>0</v>
      </c>
      <c r="EJ18" s="19">
        <f>+Hoja2!EJ18+Hoja1!EJ18</f>
        <v>0</v>
      </c>
      <c r="EK18" s="24">
        <v>0</v>
      </c>
      <c r="EL18" s="19">
        <f>+Hoja2!EL18+Hoja1!EL18</f>
        <v>0</v>
      </c>
      <c r="EM18" s="24">
        <v>0</v>
      </c>
      <c r="EN18" s="19">
        <f>+Hoja2!EN18+Hoja1!EN18</f>
        <v>0</v>
      </c>
      <c r="EO18" s="24">
        <v>0</v>
      </c>
      <c r="EP18" s="19">
        <f>+Hoja2!EP18+Hoja1!EP18</f>
        <v>0</v>
      </c>
      <c r="EQ18" s="24">
        <v>0</v>
      </c>
      <c r="ER18" s="19">
        <f>+Hoja2!ER18+Hoja1!ER18</f>
        <v>0</v>
      </c>
      <c r="ES18" s="24">
        <v>0</v>
      </c>
      <c r="ET18" s="19">
        <f>+Hoja2!ET18+Hoja1!ET18</f>
        <v>0</v>
      </c>
      <c r="EU18" s="24">
        <v>0</v>
      </c>
    </row>
    <row r="19" spans="1:151" x14ac:dyDescent="0.25">
      <c r="A19" s="24" t="s">
        <v>37</v>
      </c>
      <c r="B19" s="25">
        <v>13</v>
      </c>
      <c r="C19" s="24" t="s">
        <v>39</v>
      </c>
      <c r="D19" s="24">
        <v>499100</v>
      </c>
      <c r="E19" s="26">
        <v>706</v>
      </c>
      <c r="F19" s="26">
        <v>389295</v>
      </c>
      <c r="G19" s="26">
        <v>6490</v>
      </c>
      <c r="H19" s="26">
        <v>395785</v>
      </c>
      <c r="I19" s="1">
        <v>1067</v>
      </c>
      <c r="J19" s="19">
        <f>+INT(([1]Hoja1!M19/[1]Hoja1!O19)*M19)</f>
        <v>31346412</v>
      </c>
      <c r="K19" s="19">
        <f>+INT(([1]Hoja1!N19/[1]Hoja1!O19)*M19)</f>
        <v>31071337</v>
      </c>
      <c r="L19" s="19">
        <f t="shared" si="1"/>
        <v>278951</v>
      </c>
      <c r="M19" s="19">
        <f t="shared" si="2"/>
        <v>275075</v>
      </c>
      <c r="N19" s="22">
        <f t="shared" si="0"/>
        <v>272718</v>
      </c>
      <c r="O19" s="26">
        <v>2357</v>
      </c>
      <c r="P19" s="26">
        <v>3876</v>
      </c>
      <c r="Q19" s="22">
        <f t="shared" si="3"/>
        <v>5</v>
      </c>
      <c r="R19" s="19">
        <f>+Hoja2!R19+Hoja1!R19</f>
        <v>98481</v>
      </c>
      <c r="S19" s="24">
        <v>2</v>
      </c>
      <c r="T19" s="19">
        <f>+Hoja2!T19+Hoja1!T19</f>
        <v>91000</v>
      </c>
      <c r="U19" s="24">
        <v>2</v>
      </c>
      <c r="V19" s="19">
        <f>+Hoja2!V19+Hoja1!V19</f>
        <v>57171</v>
      </c>
      <c r="W19" s="24">
        <v>1</v>
      </c>
      <c r="X19" s="19">
        <f>+Hoja2!X19+Hoja1!X19</f>
        <v>23362</v>
      </c>
      <c r="Y19" s="24">
        <v>0</v>
      </c>
      <c r="Z19" s="19">
        <f>+Hoja2!Z19+Hoja1!Z19</f>
        <v>0</v>
      </c>
      <c r="AA19" s="24">
        <v>0</v>
      </c>
      <c r="AB19" s="19">
        <f>+Hoja2!AB19+Hoja1!AB19</f>
        <v>0</v>
      </c>
      <c r="AC19" s="24">
        <v>0</v>
      </c>
      <c r="AD19" s="19">
        <f>+Hoja2!AD19+Hoja1!AD19</f>
        <v>0</v>
      </c>
      <c r="AE19" s="24">
        <v>0</v>
      </c>
      <c r="AF19" s="19">
        <f>+Hoja2!AF19+Hoja1!AF19</f>
        <v>0</v>
      </c>
      <c r="AG19" s="24">
        <v>0</v>
      </c>
      <c r="AH19" s="19">
        <f>+Hoja2!AH19+Hoja1!AH19</f>
        <v>0</v>
      </c>
      <c r="AI19" s="24">
        <v>0</v>
      </c>
      <c r="AJ19" s="19">
        <f>+Hoja2!AJ19+Hoja1!AJ19</f>
        <v>0</v>
      </c>
      <c r="AK19" s="24">
        <v>0</v>
      </c>
      <c r="AL19" s="19">
        <f>+Hoja2!AL19+Hoja1!AL19</f>
        <v>0</v>
      </c>
      <c r="AM19" s="24">
        <v>0</v>
      </c>
      <c r="AN19" s="19">
        <f>+Hoja2!AN19+Hoja1!AN19</f>
        <v>0</v>
      </c>
      <c r="AO19" s="24">
        <v>0</v>
      </c>
      <c r="AP19" s="19">
        <f>+Hoja2!AP19+Hoja1!AP19</f>
        <v>0</v>
      </c>
      <c r="AQ19" s="24">
        <v>0</v>
      </c>
      <c r="AR19" s="19">
        <f>+Hoja2!AR19+Hoja1!AR19</f>
        <v>0</v>
      </c>
      <c r="AS19" s="24">
        <v>0</v>
      </c>
      <c r="AT19" s="19">
        <f>+Hoja2!AT19+Hoja1!AT19</f>
        <v>0</v>
      </c>
      <c r="AU19" s="24">
        <v>0</v>
      </c>
      <c r="AV19" s="19">
        <f>+Hoja2!AV19+Hoja1!AV19</f>
        <v>0</v>
      </c>
      <c r="AW19" s="24">
        <v>0</v>
      </c>
      <c r="AX19" s="19">
        <f>+Hoja2!AX19+Hoja1!AX19</f>
        <v>0</v>
      </c>
      <c r="AY19" s="24">
        <v>0</v>
      </c>
      <c r="AZ19" s="19">
        <f>+Hoja2!AZ19+Hoja1!AZ19</f>
        <v>0</v>
      </c>
      <c r="BA19" s="24">
        <v>0</v>
      </c>
      <c r="BB19" s="19">
        <f>+Hoja2!BB19+Hoja1!BB19</f>
        <v>0</v>
      </c>
      <c r="BC19" s="24">
        <v>0</v>
      </c>
      <c r="BD19" s="19">
        <f>+Hoja2!BD19+Hoja1!BD19</f>
        <v>1779</v>
      </c>
      <c r="BE19" s="24">
        <v>0</v>
      </c>
      <c r="BF19" s="19">
        <f>+Hoja2!BF19+Hoja1!BF19</f>
        <v>0</v>
      </c>
      <c r="BG19" s="24">
        <v>0</v>
      </c>
      <c r="BH19" s="19">
        <f>+Hoja2!BH19+Hoja1!BH19</f>
        <v>444</v>
      </c>
      <c r="BI19" s="24">
        <v>0</v>
      </c>
      <c r="BJ19" s="19">
        <f>+Hoja2!BJ19+Hoja1!BJ19</f>
        <v>481</v>
      </c>
      <c r="BK19" s="24">
        <v>0</v>
      </c>
      <c r="BL19" s="19">
        <f>+Hoja2!BL19+Hoja1!BL19</f>
        <v>0</v>
      </c>
      <c r="BM19" s="24">
        <v>0</v>
      </c>
      <c r="BN19" s="19">
        <f>+Hoja2!BN19+Hoja1!BN19</f>
        <v>0</v>
      </c>
      <c r="BO19" s="24">
        <v>0</v>
      </c>
      <c r="BP19" s="19">
        <f>+Hoja2!BP19+Hoja1!BP19</f>
        <v>0</v>
      </c>
      <c r="BQ19" s="24">
        <v>0</v>
      </c>
      <c r="BR19" s="19">
        <f>+Hoja2!BR19+Hoja1!BR19</f>
        <v>0</v>
      </c>
      <c r="BS19" s="24">
        <v>0</v>
      </c>
      <c r="BT19" s="19">
        <f>+Hoja2!BT19+Hoja1!BT19</f>
        <v>0</v>
      </c>
      <c r="BU19" s="24">
        <v>0</v>
      </c>
      <c r="BV19" s="19">
        <f>+Hoja2!BV19+Hoja1!BV19</f>
        <v>0</v>
      </c>
      <c r="BW19" s="24">
        <v>0</v>
      </c>
      <c r="BX19" s="19">
        <f>+Hoja2!BX19+Hoja1!BX19</f>
        <v>0</v>
      </c>
      <c r="BY19" s="24">
        <v>0</v>
      </c>
      <c r="BZ19" s="19">
        <f>+Hoja2!BZ19+Hoja1!BZ19</f>
        <v>0</v>
      </c>
      <c r="CA19" s="24">
        <v>0</v>
      </c>
      <c r="CB19" s="19">
        <f>+Hoja2!CB19+Hoja1!CB19</f>
        <v>0</v>
      </c>
      <c r="CC19" s="24">
        <v>0</v>
      </c>
      <c r="CD19" s="19">
        <f>+Hoja2!CD19+Hoja1!CD19</f>
        <v>0</v>
      </c>
      <c r="CE19" s="24">
        <v>0</v>
      </c>
      <c r="CF19" s="19">
        <f>+Hoja2!CF19+Hoja1!CF19</f>
        <v>0</v>
      </c>
      <c r="CG19" s="24">
        <v>0</v>
      </c>
      <c r="CH19" s="19">
        <f>+Hoja2!CH19+Hoja1!CH19</f>
        <v>0</v>
      </c>
      <c r="CI19" s="24">
        <v>0</v>
      </c>
      <c r="CJ19" s="19">
        <f>+Hoja2!CJ19+Hoja1!CJ19</f>
        <v>0</v>
      </c>
      <c r="CK19" s="24">
        <v>0</v>
      </c>
      <c r="CL19" s="19">
        <f>+Hoja2!CL19+Hoja1!CL19</f>
        <v>0</v>
      </c>
      <c r="CM19" s="24">
        <v>0</v>
      </c>
      <c r="CN19" s="19">
        <f>+Hoja2!CN19+Hoja1!CN19</f>
        <v>0</v>
      </c>
      <c r="CO19" s="24">
        <v>0</v>
      </c>
      <c r="CP19" s="19">
        <f>+Hoja2!CP19+Hoja1!CP19</f>
        <v>0</v>
      </c>
      <c r="CQ19" s="24">
        <v>0</v>
      </c>
      <c r="CR19" s="19">
        <f>+Hoja2!CR19+Hoja1!CR19</f>
        <v>0</v>
      </c>
      <c r="CS19" s="24">
        <v>0</v>
      </c>
      <c r="CT19" s="19">
        <f>+Hoja2!CT19+Hoja1!CT19</f>
        <v>0</v>
      </c>
      <c r="CU19" s="24">
        <v>0</v>
      </c>
      <c r="CV19" s="19">
        <f>+Hoja2!CV19+Hoja1!CV19</f>
        <v>0</v>
      </c>
      <c r="CW19" s="24">
        <v>0</v>
      </c>
      <c r="CX19" s="19">
        <f>+Hoja2!CX19+Hoja1!CX19</f>
        <v>0</v>
      </c>
      <c r="CY19" s="24">
        <v>0</v>
      </c>
      <c r="CZ19" s="19">
        <f>+Hoja2!CZ19+Hoja1!CZ19</f>
        <v>0</v>
      </c>
      <c r="DA19" s="24">
        <v>0</v>
      </c>
      <c r="DB19" s="19">
        <f>+Hoja2!DB19+Hoja1!DB19</f>
        <v>0</v>
      </c>
      <c r="DC19" s="24">
        <v>0</v>
      </c>
      <c r="DD19" s="19">
        <f>+Hoja2!DD19+Hoja1!DD19</f>
        <v>0</v>
      </c>
      <c r="DE19" s="24">
        <v>0</v>
      </c>
      <c r="DF19" s="19">
        <f>+Hoja2!DF19+Hoja1!DF19</f>
        <v>0</v>
      </c>
      <c r="DG19" s="24">
        <v>0</v>
      </c>
      <c r="DH19" s="19">
        <f>+Hoja2!DH19+Hoja1!DH19</f>
        <v>0</v>
      </c>
      <c r="DI19" s="24">
        <v>0</v>
      </c>
      <c r="DJ19" s="19">
        <f>+Hoja2!DJ19+Hoja1!DJ19</f>
        <v>0</v>
      </c>
      <c r="DK19" s="24">
        <v>0</v>
      </c>
      <c r="DL19" s="19">
        <f>+Hoja2!DL19+Hoja1!DL19</f>
        <v>0</v>
      </c>
      <c r="DM19" s="24">
        <v>0</v>
      </c>
      <c r="DN19" s="19">
        <f>+Hoja2!DN19+Hoja1!DN19</f>
        <v>0</v>
      </c>
      <c r="DO19" s="24">
        <v>0</v>
      </c>
      <c r="DP19" s="19">
        <f>+Hoja2!DP19+Hoja1!DP19</f>
        <v>0</v>
      </c>
      <c r="DQ19" s="24">
        <v>0</v>
      </c>
      <c r="DR19" s="19">
        <f>+Hoja2!DR19+Hoja1!DR19</f>
        <v>0</v>
      </c>
      <c r="DS19" s="24">
        <v>0</v>
      </c>
      <c r="DT19" s="19">
        <f>+Hoja2!DT19+Hoja1!DT19</f>
        <v>0</v>
      </c>
      <c r="DU19" s="24">
        <v>0</v>
      </c>
      <c r="DV19" s="19">
        <f>+Hoja2!DV19+Hoja1!DV19</f>
        <v>0</v>
      </c>
      <c r="DW19" s="24">
        <v>0</v>
      </c>
      <c r="DX19" s="19">
        <f>+Hoja2!DX19+Hoja1!DX19</f>
        <v>0</v>
      </c>
      <c r="DY19" s="24">
        <v>0</v>
      </c>
      <c r="DZ19" s="19">
        <f>+Hoja2!DZ19+Hoja1!DZ19</f>
        <v>0</v>
      </c>
      <c r="EA19" s="24">
        <v>0</v>
      </c>
      <c r="EB19" s="19">
        <f>+Hoja2!EB19+Hoja1!EB19</f>
        <v>0</v>
      </c>
      <c r="EC19" s="24">
        <v>0</v>
      </c>
      <c r="ED19" s="19">
        <f>+Hoja2!ED19+Hoja1!ED19</f>
        <v>0</v>
      </c>
      <c r="EE19" s="24">
        <v>0</v>
      </c>
      <c r="EF19" s="19">
        <f>+Hoja2!EF19+Hoja1!EF19</f>
        <v>0</v>
      </c>
      <c r="EG19" s="24">
        <v>0</v>
      </c>
      <c r="EH19" s="19">
        <f>+Hoja2!EH19+Hoja1!EH19</f>
        <v>0</v>
      </c>
      <c r="EI19" s="24">
        <v>0</v>
      </c>
      <c r="EJ19" s="19">
        <f>+Hoja2!EJ19+Hoja1!EJ19</f>
        <v>0</v>
      </c>
      <c r="EK19" s="24">
        <v>0</v>
      </c>
      <c r="EL19" s="19">
        <f>+Hoja2!EL19+Hoja1!EL19</f>
        <v>0</v>
      </c>
      <c r="EM19" s="24">
        <v>0</v>
      </c>
      <c r="EN19" s="19">
        <f>+Hoja2!EN19+Hoja1!EN19</f>
        <v>0</v>
      </c>
      <c r="EO19" s="24">
        <v>0</v>
      </c>
      <c r="EP19" s="19">
        <f>+Hoja2!EP19+Hoja1!EP19</f>
        <v>0</v>
      </c>
      <c r="EQ19" s="24">
        <v>0</v>
      </c>
      <c r="ER19" s="19">
        <f>+Hoja2!ER19+Hoja1!ER19</f>
        <v>0</v>
      </c>
      <c r="ES19" s="24">
        <v>0</v>
      </c>
      <c r="ET19" s="19">
        <f>+Hoja2!ET19+Hoja1!ET19</f>
        <v>0</v>
      </c>
      <c r="EU19" s="24">
        <v>0</v>
      </c>
    </row>
    <row r="20" spans="1:151" x14ac:dyDescent="0.25">
      <c r="A20" s="24" t="s">
        <v>37</v>
      </c>
      <c r="B20" s="25">
        <v>16</v>
      </c>
      <c r="C20" s="24" t="s">
        <v>40</v>
      </c>
      <c r="D20" s="24">
        <v>197222</v>
      </c>
      <c r="E20" s="26">
        <v>383</v>
      </c>
      <c r="F20" s="26">
        <v>151282</v>
      </c>
      <c r="G20" s="26">
        <v>3159</v>
      </c>
      <c r="H20" s="26">
        <v>154441</v>
      </c>
      <c r="I20">
        <v>453</v>
      </c>
      <c r="J20" s="19">
        <f>+INT(([1]Hoja1!M20/[1]Hoja1!O20)*M20)</f>
        <v>12207279</v>
      </c>
      <c r="K20" s="19">
        <f>+INT(([1]Hoja1!N20/[1]Hoja1!O20)*M20)</f>
        <v>12095184</v>
      </c>
      <c r="L20" s="19">
        <f t="shared" si="1"/>
        <v>113513</v>
      </c>
      <c r="M20" s="19">
        <f t="shared" si="2"/>
        <v>112095</v>
      </c>
      <c r="N20" s="22">
        <f t="shared" si="0"/>
        <v>111093</v>
      </c>
      <c r="O20" s="26">
        <v>1002</v>
      </c>
      <c r="P20" s="26">
        <v>1418</v>
      </c>
      <c r="Q20" s="22">
        <f t="shared" si="3"/>
        <v>3</v>
      </c>
      <c r="R20" s="19">
        <f>+Hoja2!R20+Hoja1!R20</f>
        <v>43212</v>
      </c>
      <c r="S20" s="24">
        <v>2</v>
      </c>
      <c r="T20" s="19">
        <f>+Hoja2!T20+Hoja1!T20</f>
        <v>38470</v>
      </c>
      <c r="U20" s="24">
        <v>1</v>
      </c>
      <c r="V20" s="19">
        <f>+Hoja2!V20+Hoja1!V20</f>
        <v>20510</v>
      </c>
      <c r="W20" s="24">
        <v>0</v>
      </c>
      <c r="X20" s="19">
        <f>+Hoja2!X20+Hoja1!X20</f>
        <v>7905</v>
      </c>
      <c r="Y20" s="24">
        <v>0</v>
      </c>
      <c r="Z20" s="19">
        <f>+Hoja2!Z20+Hoja1!Z20</f>
        <v>0</v>
      </c>
      <c r="AA20" s="24">
        <v>0</v>
      </c>
      <c r="AB20" s="19">
        <f>+Hoja2!AB20+Hoja1!AB20</f>
        <v>0</v>
      </c>
      <c r="AC20" s="24">
        <v>0</v>
      </c>
      <c r="AD20" s="19">
        <f>+Hoja2!AD20+Hoja1!AD20</f>
        <v>0</v>
      </c>
      <c r="AE20" s="24">
        <v>0</v>
      </c>
      <c r="AF20" s="19">
        <f>+Hoja2!AF20+Hoja1!AF20</f>
        <v>0</v>
      </c>
      <c r="AG20" s="24">
        <v>0</v>
      </c>
      <c r="AH20" s="19">
        <f>+Hoja2!AH20+Hoja1!AH20</f>
        <v>0</v>
      </c>
      <c r="AI20" s="24">
        <v>0</v>
      </c>
      <c r="AJ20" s="19">
        <f>+Hoja2!AJ20+Hoja1!AJ20</f>
        <v>0</v>
      </c>
      <c r="AK20" s="24">
        <v>0</v>
      </c>
      <c r="AL20" s="19">
        <f>+Hoja2!AL20+Hoja1!AL20</f>
        <v>0</v>
      </c>
      <c r="AM20" s="24">
        <v>0</v>
      </c>
      <c r="AN20" s="19">
        <f>+Hoja2!AN20+Hoja1!AN20</f>
        <v>0</v>
      </c>
      <c r="AO20" s="24">
        <v>0</v>
      </c>
      <c r="AP20" s="19">
        <f>+Hoja2!AP20+Hoja1!AP20</f>
        <v>0</v>
      </c>
      <c r="AQ20" s="24">
        <v>0</v>
      </c>
      <c r="AR20" s="19">
        <f>+Hoja2!AR20+Hoja1!AR20</f>
        <v>0</v>
      </c>
      <c r="AS20" s="24">
        <v>0</v>
      </c>
      <c r="AT20" s="19">
        <f>+Hoja2!AT20+Hoja1!AT20</f>
        <v>0</v>
      </c>
      <c r="AU20" s="24">
        <v>0</v>
      </c>
      <c r="AV20" s="19">
        <f>+Hoja2!AV20+Hoja1!AV20</f>
        <v>0</v>
      </c>
      <c r="AW20" s="24">
        <v>0</v>
      </c>
      <c r="AX20" s="19">
        <f>+Hoja2!AX20+Hoja1!AX20</f>
        <v>0</v>
      </c>
      <c r="AY20" s="24">
        <v>0</v>
      </c>
      <c r="AZ20" s="19">
        <f>+Hoja2!AZ20+Hoja1!AZ20</f>
        <v>0</v>
      </c>
      <c r="BA20" s="24">
        <v>0</v>
      </c>
      <c r="BB20" s="19">
        <f>+Hoja2!BB20+Hoja1!BB20</f>
        <v>0</v>
      </c>
      <c r="BC20" s="24">
        <v>0</v>
      </c>
      <c r="BD20" s="19">
        <f>+Hoja2!BD20+Hoja1!BD20</f>
        <v>542</v>
      </c>
      <c r="BE20" s="24">
        <v>0</v>
      </c>
      <c r="BF20" s="19">
        <f>+Hoja2!BF20+Hoja1!BF20</f>
        <v>0</v>
      </c>
      <c r="BG20" s="24">
        <v>0</v>
      </c>
      <c r="BH20" s="19">
        <f>+Hoja2!BH20+Hoja1!BH20</f>
        <v>124</v>
      </c>
      <c r="BI20" s="24">
        <v>0</v>
      </c>
      <c r="BJ20" s="19">
        <f>+Hoja2!BJ20+Hoja1!BJ20</f>
        <v>128</v>
      </c>
      <c r="BK20" s="24">
        <v>0</v>
      </c>
      <c r="BL20" s="19">
        <f>+Hoja2!BL20+Hoja1!BL20</f>
        <v>0</v>
      </c>
      <c r="BM20" s="24">
        <v>0</v>
      </c>
      <c r="BN20" s="19">
        <f>+Hoja2!BN20+Hoja1!BN20</f>
        <v>0</v>
      </c>
      <c r="BO20" s="24">
        <v>0</v>
      </c>
      <c r="BP20" s="19">
        <f>+Hoja2!BP20+Hoja1!BP20</f>
        <v>0</v>
      </c>
      <c r="BQ20" s="24">
        <v>0</v>
      </c>
      <c r="BR20" s="19">
        <f>+Hoja2!BR20+Hoja1!BR20</f>
        <v>87</v>
      </c>
      <c r="BS20" s="24">
        <v>0</v>
      </c>
      <c r="BT20" s="19">
        <f>+Hoja2!BT20+Hoja1!BT20</f>
        <v>69</v>
      </c>
      <c r="BU20" s="24">
        <v>0</v>
      </c>
      <c r="BV20" s="19">
        <f>+Hoja2!BV20+Hoja1!BV20</f>
        <v>0</v>
      </c>
      <c r="BW20" s="24">
        <v>0</v>
      </c>
      <c r="BX20" s="19">
        <f>+Hoja2!BX20+Hoja1!BX20</f>
        <v>0</v>
      </c>
      <c r="BY20" s="24">
        <v>0</v>
      </c>
      <c r="BZ20" s="19">
        <f>+Hoja2!BZ20+Hoja1!BZ20</f>
        <v>0</v>
      </c>
      <c r="CA20" s="24">
        <v>0</v>
      </c>
      <c r="CB20" s="19">
        <f>+Hoja2!CB20+Hoja1!CB20</f>
        <v>0</v>
      </c>
      <c r="CC20" s="24">
        <v>0</v>
      </c>
      <c r="CD20" s="19">
        <f>+Hoja2!CD20+Hoja1!CD20</f>
        <v>0</v>
      </c>
      <c r="CE20" s="24">
        <v>0</v>
      </c>
      <c r="CF20" s="19">
        <f>+Hoja2!CF20+Hoja1!CF20</f>
        <v>0</v>
      </c>
      <c r="CG20" s="24">
        <v>0</v>
      </c>
      <c r="CH20" s="19">
        <f>+Hoja2!CH20+Hoja1!CH20</f>
        <v>0</v>
      </c>
      <c r="CI20" s="24">
        <v>0</v>
      </c>
      <c r="CJ20" s="19">
        <f>+Hoja2!CJ20+Hoja1!CJ20</f>
        <v>0</v>
      </c>
      <c r="CK20" s="24">
        <v>0</v>
      </c>
      <c r="CL20" s="19">
        <f>+Hoja2!CL20+Hoja1!CL20</f>
        <v>0</v>
      </c>
      <c r="CM20" s="24">
        <v>0</v>
      </c>
      <c r="CN20" s="19">
        <f>+Hoja2!CN20+Hoja1!CN20</f>
        <v>0</v>
      </c>
      <c r="CO20" s="24">
        <v>0</v>
      </c>
      <c r="CP20" s="19">
        <f>+Hoja2!CP20+Hoja1!CP20</f>
        <v>0</v>
      </c>
      <c r="CQ20" s="24">
        <v>0</v>
      </c>
      <c r="CR20" s="19">
        <f>+Hoja2!CR20+Hoja1!CR20</f>
        <v>0</v>
      </c>
      <c r="CS20" s="24">
        <v>0</v>
      </c>
      <c r="CT20" s="19">
        <f>+Hoja2!CT20+Hoja1!CT20</f>
        <v>0</v>
      </c>
      <c r="CU20" s="24">
        <v>0</v>
      </c>
      <c r="CV20" s="19">
        <f>+Hoja2!CV20+Hoja1!CV20</f>
        <v>0</v>
      </c>
      <c r="CW20" s="24">
        <v>0</v>
      </c>
      <c r="CX20" s="19">
        <f>+Hoja2!CX20+Hoja1!CX20</f>
        <v>0</v>
      </c>
      <c r="CY20" s="24">
        <v>0</v>
      </c>
      <c r="CZ20" s="19">
        <f>+Hoja2!CZ20+Hoja1!CZ20</f>
        <v>0</v>
      </c>
      <c r="DA20" s="24">
        <v>0</v>
      </c>
      <c r="DB20" s="19">
        <f>+Hoja2!DB20+Hoja1!DB20</f>
        <v>0</v>
      </c>
      <c r="DC20" s="24">
        <v>0</v>
      </c>
      <c r="DD20" s="19">
        <f>+Hoja2!DD20+Hoja1!DD20</f>
        <v>0</v>
      </c>
      <c r="DE20" s="24">
        <v>0</v>
      </c>
      <c r="DF20" s="19">
        <f>+Hoja2!DF20+Hoja1!DF20</f>
        <v>0</v>
      </c>
      <c r="DG20" s="24">
        <v>0</v>
      </c>
      <c r="DH20" s="19">
        <f>+Hoja2!DH20+Hoja1!DH20</f>
        <v>0</v>
      </c>
      <c r="DI20" s="24">
        <v>0</v>
      </c>
      <c r="DJ20" s="19">
        <f>+Hoja2!DJ20+Hoja1!DJ20</f>
        <v>46</v>
      </c>
      <c r="DK20" s="24">
        <v>0</v>
      </c>
      <c r="DL20" s="19">
        <f>+Hoja2!DL20+Hoja1!DL20</f>
        <v>0</v>
      </c>
      <c r="DM20" s="24">
        <v>0</v>
      </c>
      <c r="DN20" s="19">
        <f>+Hoja2!DN20+Hoja1!DN20</f>
        <v>0</v>
      </c>
      <c r="DO20" s="24">
        <v>0</v>
      </c>
      <c r="DP20" s="19">
        <f>+Hoja2!DP20+Hoja1!DP20</f>
        <v>0</v>
      </c>
      <c r="DQ20" s="24">
        <v>0</v>
      </c>
      <c r="DR20" s="19">
        <f>+Hoja2!DR20+Hoja1!DR20</f>
        <v>0</v>
      </c>
      <c r="DS20" s="24">
        <v>0</v>
      </c>
      <c r="DT20" s="19">
        <f>+Hoja2!DT20+Hoja1!DT20</f>
        <v>0</v>
      </c>
      <c r="DU20" s="24">
        <v>0</v>
      </c>
      <c r="DV20" s="19">
        <f>+Hoja2!DV20+Hoja1!DV20</f>
        <v>0</v>
      </c>
      <c r="DW20" s="24">
        <v>0</v>
      </c>
      <c r="DX20" s="19">
        <f>+Hoja2!DX20+Hoja1!DX20</f>
        <v>0</v>
      </c>
      <c r="DY20" s="24">
        <v>0</v>
      </c>
      <c r="DZ20" s="19">
        <f>+Hoja2!DZ20+Hoja1!DZ20</f>
        <v>0</v>
      </c>
      <c r="EA20" s="24">
        <v>0</v>
      </c>
      <c r="EB20" s="19">
        <f>+Hoja2!EB20+Hoja1!EB20</f>
        <v>0</v>
      </c>
      <c r="EC20" s="24">
        <v>0</v>
      </c>
      <c r="ED20" s="19">
        <f>+Hoja2!ED20+Hoja1!ED20</f>
        <v>0</v>
      </c>
      <c r="EE20" s="24">
        <v>0</v>
      </c>
      <c r="EF20" s="19">
        <f>+Hoja2!EF20+Hoja1!EF20</f>
        <v>0</v>
      </c>
      <c r="EG20" s="24">
        <v>0</v>
      </c>
      <c r="EH20" s="19">
        <f>+Hoja2!EH20+Hoja1!EH20</f>
        <v>0</v>
      </c>
      <c r="EI20" s="24">
        <v>0</v>
      </c>
      <c r="EJ20" s="19">
        <f>+Hoja2!EJ20+Hoja1!EJ20</f>
        <v>0</v>
      </c>
      <c r="EK20" s="24">
        <v>0</v>
      </c>
      <c r="EL20" s="19">
        <f>+Hoja2!EL20+Hoja1!EL20</f>
        <v>0</v>
      </c>
      <c r="EM20" s="24">
        <v>0</v>
      </c>
      <c r="EN20" s="19">
        <f>+Hoja2!EN20+Hoja1!EN20</f>
        <v>0</v>
      </c>
      <c r="EO20" s="24">
        <v>0</v>
      </c>
      <c r="EP20" s="19">
        <f>+Hoja2!EP20+Hoja1!EP20</f>
        <v>0</v>
      </c>
      <c r="EQ20" s="24">
        <v>0</v>
      </c>
      <c r="ER20" s="19">
        <f>+Hoja2!ER20+Hoja1!ER20</f>
        <v>0</v>
      </c>
      <c r="ES20" s="24">
        <v>0</v>
      </c>
      <c r="ET20" s="19">
        <f>+Hoja2!ET20+Hoja1!ET20</f>
        <v>0</v>
      </c>
      <c r="EU20" s="24">
        <v>0</v>
      </c>
    </row>
    <row r="21" spans="1:151" x14ac:dyDescent="0.25">
      <c r="A21" s="24" t="s">
        <v>37</v>
      </c>
      <c r="B21" s="25">
        <v>19</v>
      </c>
      <c r="C21" s="24" t="s">
        <v>41</v>
      </c>
      <c r="D21" s="24">
        <v>254308</v>
      </c>
      <c r="E21" s="26">
        <v>523</v>
      </c>
      <c r="F21" s="26">
        <v>182810</v>
      </c>
      <c r="G21" s="26">
        <v>4561</v>
      </c>
      <c r="H21" s="26">
        <v>187371</v>
      </c>
      <c r="I21">
        <v>752</v>
      </c>
      <c r="J21" s="19">
        <f>+INT(([1]Hoja1!M21/[1]Hoja1!O21)*M21)</f>
        <v>15562284</v>
      </c>
      <c r="K21" s="19">
        <f>+INT(([1]Hoja1!N21/[1]Hoja1!O21)*M21)</f>
        <v>15427097</v>
      </c>
      <c r="L21" s="19">
        <f t="shared" si="1"/>
        <v>136829</v>
      </c>
      <c r="M21" s="19">
        <f t="shared" si="2"/>
        <v>135187</v>
      </c>
      <c r="N21" s="22">
        <f t="shared" si="0"/>
        <v>134039</v>
      </c>
      <c r="O21" s="26">
        <v>1148</v>
      </c>
      <c r="P21" s="26">
        <v>1642</v>
      </c>
      <c r="Q21" s="22">
        <f t="shared" si="3"/>
        <v>3</v>
      </c>
      <c r="R21" s="19">
        <f>+Hoja2!R21+Hoja1!R21</f>
        <v>44241</v>
      </c>
      <c r="S21" s="24">
        <v>1</v>
      </c>
      <c r="T21" s="19">
        <f>+Hoja2!T21+Hoja1!T21</f>
        <v>39186</v>
      </c>
      <c r="U21" s="24">
        <v>1</v>
      </c>
      <c r="V21" s="19">
        <f>+Hoja2!V21+Hoja1!V21</f>
        <v>32316</v>
      </c>
      <c r="W21" s="24">
        <v>1</v>
      </c>
      <c r="X21" s="19">
        <f>+Hoja2!X21+Hoja1!X21</f>
        <v>15641</v>
      </c>
      <c r="Y21" s="24">
        <v>0</v>
      </c>
      <c r="Z21" s="19">
        <f>+Hoja2!Z21+Hoja1!Z21</f>
        <v>0</v>
      </c>
      <c r="AA21" s="24">
        <v>0</v>
      </c>
      <c r="AB21" s="19">
        <f>+Hoja2!AB21+Hoja1!AB21</f>
        <v>0</v>
      </c>
      <c r="AC21" s="24">
        <v>0</v>
      </c>
      <c r="AD21" s="19">
        <f>+Hoja2!AD21+Hoja1!AD21</f>
        <v>0</v>
      </c>
      <c r="AE21" s="24">
        <v>0</v>
      </c>
      <c r="AF21" s="19">
        <f>+Hoja2!AF21+Hoja1!AF21</f>
        <v>0</v>
      </c>
      <c r="AG21" s="24">
        <v>0</v>
      </c>
      <c r="AH21" s="19">
        <f>+Hoja2!AH21+Hoja1!AH21</f>
        <v>0</v>
      </c>
      <c r="AI21" s="24">
        <v>0</v>
      </c>
      <c r="AJ21" s="19">
        <f>+Hoja2!AJ21+Hoja1!AJ21</f>
        <v>0</v>
      </c>
      <c r="AK21" s="24">
        <v>0</v>
      </c>
      <c r="AL21" s="19">
        <f>+Hoja2!AL21+Hoja1!AL21</f>
        <v>0</v>
      </c>
      <c r="AM21" s="24">
        <v>0</v>
      </c>
      <c r="AN21" s="19">
        <f>+Hoja2!AN21+Hoja1!AN21</f>
        <v>0</v>
      </c>
      <c r="AO21" s="24">
        <v>0</v>
      </c>
      <c r="AP21" s="19">
        <f>+Hoja2!AP21+Hoja1!AP21</f>
        <v>0</v>
      </c>
      <c r="AQ21" s="24">
        <v>0</v>
      </c>
      <c r="AR21" s="19">
        <f>+Hoja2!AR21+Hoja1!AR21</f>
        <v>0</v>
      </c>
      <c r="AS21" s="24">
        <v>0</v>
      </c>
      <c r="AT21" s="19">
        <f>+Hoja2!AT21+Hoja1!AT21</f>
        <v>0</v>
      </c>
      <c r="AU21" s="24">
        <v>0</v>
      </c>
      <c r="AV21" s="19">
        <f>+Hoja2!AV21+Hoja1!AV21</f>
        <v>0</v>
      </c>
      <c r="AW21" s="24">
        <v>0</v>
      </c>
      <c r="AX21" s="19">
        <f>+Hoja2!AX21+Hoja1!AX21</f>
        <v>0</v>
      </c>
      <c r="AY21" s="24">
        <v>0</v>
      </c>
      <c r="AZ21" s="19">
        <f>+Hoja2!AZ21+Hoja1!AZ21</f>
        <v>0</v>
      </c>
      <c r="BA21" s="24">
        <v>0</v>
      </c>
      <c r="BB21" s="19">
        <f>+Hoja2!BB21+Hoja1!BB21</f>
        <v>0</v>
      </c>
      <c r="BC21" s="24">
        <v>0</v>
      </c>
      <c r="BD21" s="19">
        <f>+Hoja2!BD21+Hoja1!BD21</f>
        <v>1259</v>
      </c>
      <c r="BE21" s="24">
        <v>0</v>
      </c>
      <c r="BF21" s="19">
        <f>+Hoja2!BF21+Hoja1!BF21</f>
        <v>0</v>
      </c>
      <c r="BG21" s="24">
        <v>0</v>
      </c>
      <c r="BH21" s="19">
        <f>+Hoja2!BH21+Hoja1!BH21</f>
        <v>285</v>
      </c>
      <c r="BI21" s="24">
        <v>0</v>
      </c>
      <c r="BJ21" s="19">
        <f>+Hoja2!BJ21+Hoja1!BJ21</f>
        <v>282</v>
      </c>
      <c r="BK21" s="24">
        <v>0</v>
      </c>
      <c r="BL21" s="19">
        <f>+Hoja2!BL21+Hoja1!BL21</f>
        <v>0</v>
      </c>
      <c r="BM21" s="24">
        <v>0</v>
      </c>
      <c r="BN21" s="19">
        <f>+Hoja2!BN21+Hoja1!BN21</f>
        <v>0</v>
      </c>
      <c r="BO21" s="24">
        <v>0</v>
      </c>
      <c r="BP21" s="19">
        <f>+Hoja2!BP21+Hoja1!BP21</f>
        <v>0</v>
      </c>
      <c r="BQ21" s="24">
        <v>0</v>
      </c>
      <c r="BR21" s="19">
        <f>+Hoja2!BR21+Hoja1!BR21</f>
        <v>91</v>
      </c>
      <c r="BS21" s="24">
        <v>0</v>
      </c>
      <c r="BT21" s="19">
        <f>+Hoja2!BT21+Hoja1!BT21</f>
        <v>111</v>
      </c>
      <c r="BU21" s="24">
        <v>0</v>
      </c>
      <c r="BV21" s="19">
        <f>+Hoja2!BV21+Hoja1!BV21</f>
        <v>0</v>
      </c>
      <c r="BW21" s="24">
        <v>0</v>
      </c>
      <c r="BX21" s="19">
        <f>+Hoja2!BX21+Hoja1!BX21</f>
        <v>0</v>
      </c>
      <c r="BY21" s="24">
        <v>0</v>
      </c>
      <c r="BZ21" s="19">
        <f>+Hoja2!BZ21+Hoja1!BZ21</f>
        <v>204</v>
      </c>
      <c r="CA21" s="24">
        <v>0</v>
      </c>
      <c r="CB21" s="19">
        <f>+Hoja2!CB21+Hoja1!CB21</f>
        <v>0</v>
      </c>
      <c r="CC21" s="24">
        <v>0</v>
      </c>
      <c r="CD21" s="19">
        <f>+Hoja2!CD21+Hoja1!CD21</f>
        <v>0</v>
      </c>
      <c r="CE21" s="24">
        <v>0</v>
      </c>
      <c r="CF21" s="19">
        <f>+Hoja2!CF21+Hoja1!CF21</f>
        <v>0</v>
      </c>
      <c r="CG21" s="24">
        <v>0</v>
      </c>
      <c r="CH21" s="19">
        <f>+Hoja2!CH21+Hoja1!CH21</f>
        <v>0</v>
      </c>
      <c r="CI21" s="24">
        <v>0</v>
      </c>
      <c r="CJ21" s="19">
        <f>+Hoja2!CJ21+Hoja1!CJ21</f>
        <v>0</v>
      </c>
      <c r="CK21" s="24">
        <v>0</v>
      </c>
      <c r="CL21" s="19">
        <f>+Hoja2!CL21+Hoja1!CL21</f>
        <v>0</v>
      </c>
      <c r="CM21" s="24">
        <v>0</v>
      </c>
      <c r="CN21" s="19">
        <f>+Hoja2!CN21+Hoja1!CN21</f>
        <v>0</v>
      </c>
      <c r="CO21" s="24">
        <v>0</v>
      </c>
      <c r="CP21" s="19">
        <f>+Hoja2!CP21+Hoja1!CP21</f>
        <v>0</v>
      </c>
      <c r="CQ21" s="24">
        <v>0</v>
      </c>
      <c r="CR21" s="19">
        <f>+Hoja2!CR21+Hoja1!CR21</f>
        <v>0</v>
      </c>
      <c r="CS21" s="24">
        <v>0</v>
      </c>
      <c r="CT21" s="19">
        <f>+Hoja2!CT21+Hoja1!CT21</f>
        <v>0</v>
      </c>
      <c r="CU21" s="24">
        <v>0</v>
      </c>
      <c r="CV21" s="19">
        <f>+Hoja2!CV21+Hoja1!CV21</f>
        <v>0</v>
      </c>
      <c r="CW21" s="24">
        <v>0</v>
      </c>
      <c r="CX21" s="19">
        <f>+Hoja2!CX21+Hoja1!CX21</f>
        <v>0</v>
      </c>
      <c r="CY21" s="24">
        <v>0</v>
      </c>
      <c r="CZ21" s="19">
        <f>+Hoja2!CZ21+Hoja1!CZ21</f>
        <v>0</v>
      </c>
      <c r="DA21" s="24">
        <v>0</v>
      </c>
      <c r="DB21" s="19">
        <f>+Hoja2!DB21+Hoja1!DB21</f>
        <v>0</v>
      </c>
      <c r="DC21" s="24">
        <v>0</v>
      </c>
      <c r="DD21" s="19">
        <f>+Hoja2!DD21+Hoja1!DD21</f>
        <v>0</v>
      </c>
      <c r="DE21" s="24">
        <v>0</v>
      </c>
      <c r="DF21" s="19">
        <f>+Hoja2!DF21+Hoja1!DF21</f>
        <v>0</v>
      </c>
      <c r="DG21" s="24">
        <v>0</v>
      </c>
      <c r="DH21" s="19">
        <f>+Hoja2!DH21+Hoja1!DH21</f>
        <v>232</v>
      </c>
      <c r="DI21" s="24">
        <v>0</v>
      </c>
      <c r="DJ21" s="19">
        <f>+Hoja2!DJ21+Hoja1!DJ21</f>
        <v>0</v>
      </c>
      <c r="DK21" s="24">
        <v>0</v>
      </c>
      <c r="DL21" s="19">
        <f>+Hoja2!DL21+Hoja1!DL21</f>
        <v>0</v>
      </c>
      <c r="DM21" s="24">
        <v>0</v>
      </c>
      <c r="DN21" s="19">
        <f>+Hoja2!DN21+Hoja1!DN21</f>
        <v>0</v>
      </c>
      <c r="DO21" s="24">
        <v>0</v>
      </c>
      <c r="DP21" s="19">
        <f>+Hoja2!DP21+Hoja1!DP21</f>
        <v>0</v>
      </c>
      <c r="DQ21" s="24">
        <v>0</v>
      </c>
      <c r="DR21" s="19">
        <f>+Hoja2!DR21+Hoja1!DR21</f>
        <v>0</v>
      </c>
      <c r="DS21" s="24">
        <v>0</v>
      </c>
      <c r="DT21" s="19">
        <f>+Hoja2!DT21+Hoja1!DT21</f>
        <v>0</v>
      </c>
      <c r="DU21" s="24">
        <v>0</v>
      </c>
      <c r="DV21" s="19">
        <f>+Hoja2!DV21+Hoja1!DV21</f>
        <v>0</v>
      </c>
      <c r="DW21" s="24">
        <v>0</v>
      </c>
      <c r="DX21" s="19">
        <f>+Hoja2!DX21+Hoja1!DX21</f>
        <v>191</v>
      </c>
      <c r="DY21" s="24">
        <v>0</v>
      </c>
      <c r="DZ21" s="19">
        <f>+Hoja2!DZ21+Hoja1!DZ21</f>
        <v>0</v>
      </c>
      <c r="EA21" s="24">
        <v>0</v>
      </c>
      <c r="EB21" s="19">
        <f>+Hoja2!EB21+Hoja1!EB21</f>
        <v>0</v>
      </c>
      <c r="EC21" s="24">
        <v>0</v>
      </c>
      <c r="ED21" s="19">
        <f>+Hoja2!ED21+Hoja1!ED21</f>
        <v>0</v>
      </c>
      <c r="EE21" s="24">
        <v>0</v>
      </c>
      <c r="EF21" s="19">
        <f>+Hoja2!EF21+Hoja1!EF21</f>
        <v>0</v>
      </c>
      <c r="EG21" s="24">
        <v>0</v>
      </c>
      <c r="EH21" s="19">
        <f>+Hoja2!EH21+Hoja1!EH21</f>
        <v>0</v>
      </c>
      <c r="EI21" s="24">
        <v>0</v>
      </c>
      <c r="EJ21" s="19">
        <f>+Hoja2!EJ21+Hoja1!EJ21</f>
        <v>0</v>
      </c>
      <c r="EK21" s="24">
        <v>0</v>
      </c>
      <c r="EL21" s="19">
        <f>+Hoja2!EL21+Hoja1!EL21</f>
        <v>0</v>
      </c>
      <c r="EM21" s="24">
        <v>0</v>
      </c>
      <c r="EN21" s="19">
        <f>+Hoja2!EN21+Hoja1!EN21</f>
        <v>0</v>
      </c>
      <c r="EO21" s="24">
        <v>0</v>
      </c>
      <c r="EP21" s="19">
        <f>+Hoja2!EP21+Hoja1!EP21</f>
        <v>0</v>
      </c>
      <c r="EQ21" s="24">
        <v>0</v>
      </c>
      <c r="ER21" s="19">
        <f>+Hoja2!ER21+Hoja1!ER21</f>
        <v>0</v>
      </c>
      <c r="ES21" s="24">
        <v>0</v>
      </c>
      <c r="ET21" s="19">
        <f>+Hoja2!ET21+Hoja1!ET21</f>
        <v>0</v>
      </c>
      <c r="EU21" s="24">
        <v>0</v>
      </c>
    </row>
    <row r="22" spans="1:151" x14ac:dyDescent="0.25">
      <c r="A22" s="24" t="s">
        <v>37</v>
      </c>
      <c r="B22" s="25">
        <v>45</v>
      </c>
      <c r="C22" s="24" t="s">
        <v>42</v>
      </c>
      <c r="D22" s="24">
        <v>687391</v>
      </c>
      <c r="E22" s="26">
        <v>926</v>
      </c>
      <c r="F22" s="26">
        <v>514083</v>
      </c>
      <c r="G22" s="26">
        <v>11669</v>
      </c>
      <c r="H22" s="26">
        <v>525752</v>
      </c>
      <c r="I22" s="1">
        <v>1610</v>
      </c>
      <c r="J22" s="19">
        <f>+INT(([1]Hoja1!M22/[1]Hoja1!O22)*M22)</f>
        <v>50833225</v>
      </c>
      <c r="K22" s="19">
        <f>+INT(([1]Hoja1!N22/[1]Hoja1!O22)*M22)</f>
        <v>50461074</v>
      </c>
      <c r="L22" s="19">
        <f t="shared" si="1"/>
        <v>377296</v>
      </c>
      <c r="M22" s="19">
        <f t="shared" si="2"/>
        <v>372151</v>
      </c>
      <c r="N22" s="22">
        <f t="shared" si="0"/>
        <v>369490</v>
      </c>
      <c r="O22" s="26">
        <v>2661</v>
      </c>
      <c r="P22" s="26">
        <v>5145</v>
      </c>
      <c r="Q22" s="22">
        <f t="shared" si="3"/>
        <v>6</v>
      </c>
      <c r="R22" s="19">
        <f>+Hoja2!R22+Hoja1!R22</f>
        <v>124583</v>
      </c>
      <c r="S22" s="24">
        <v>2</v>
      </c>
      <c r="T22" s="19">
        <f>+Hoja2!T22+Hoja1!T22</f>
        <v>116161</v>
      </c>
      <c r="U22" s="24">
        <v>2</v>
      </c>
      <c r="V22" s="19">
        <f>+Hoja2!V22+Hoja1!V22</f>
        <v>87769</v>
      </c>
      <c r="W22" s="24">
        <v>2</v>
      </c>
      <c r="X22" s="19">
        <f>+Hoja2!X22+Hoja1!X22</f>
        <v>36578</v>
      </c>
      <c r="Y22" s="24">
        <v>0</v>
      </c>
      <c r="Z22" s="19">
        <f>+Hoja2!Z22+Hoja1!Z22</f>
        <v>0</v>
      </c>
      <c r="AA22" s="24">
        <v>0</v>
      </c>
      <c r="AB22" s="19">
        <f>+Hoja2!AB22+Hoja1!AB22</f>
        <v>0</v>
      </c>
      <c r="AC22" s="24">
        <v>0</v>
      </c>
      <c r="AD22" s="19">
        <f>+Hoja2!AD22+Hoja1!AD22</f>
        <v>0</v>
      </c>
      <c r="AE22" s="24">
        <v>0</v>
      </c>
      <c r="AF22" s="19">
        <f>+Hoja2!AF22+Hoja1!AF22</f>
        <v>0</v>
      </c>
      <c r="AG22" s="24">
        <v>0</v>
      </c>
      <c r="AH22" s="19">
        <f>+Hoja2!AH22+Hoja1!AH22</f>
        <v>0</v>
      </c>
      <c r="AI22" s="24">
        <v>0</v>
      </c>
      <c r="AJ22" s="19">
        <f>+Hoja2!AJ22+Hoja1!AJ22</f>
        <v>0</v>
      </c>
      <c r="AK22" s="24">
        <v>0</v>
      </c>
      <c r="AL22" s="19">
        <f>+Hoja2!AL22+Hoja1!AL22</f>
        <v>0</v>
      </c>
      <c r="AM22" s="24">
        <v>0</v>
      </c>
      <c r="AN22" s="19">
        <f>+Hoja2!AN22+Hoja1!AN22</f>
        <v>0</v>
      </c>
      <c r="AO22" s="24">
        <v>0</v>
      </c>
      <c r="AP22" s="19">
        <f>+Hoja2!AP22+Hoja1!AP22</f>
        <v>0</v>
      </c>
      <c r="AQ22" s="24">
        <v>0</v>
      </c>
      <c r="AR22" s="19">
        <f>+Hoja2!AR22+Hoja1!AR22</f>
        <v>0</v>
      </c>
      <c r="AS22" s="24">
        <v>0</v>
      </c>
      <c r="AT22" s="19">
        <f>+Hoja2!AT22+Hoja1!AT22</f>
        <v>0</v>
      </c>
      <c r="AU22" s="24">
        <v>0</v>
      </c>
      <c r="AV22" s="19">
        <f>+Hoja2!AV22+Hoja1!AV22</f>
        <v>0</v>
      </c>
      <c r="AW22" s="24">
        <v>0</v>
      </c>
      <c r="AX22" s="19">
        <f>+Hoja2!AX22+Hoja1!AX22</f>
        <v>0</v>
      </c>
      <c r="AY22" s="24">
        <v>0</v>
      </c>
      <c r="AZ22" s="19">
        <f>+Hoja2!AZ22+Hoja1!AZ22</f>
        <v>0</v>
      </c>
      <c r="BA22" s="24">
        <v>0</v>
      </c>
      <c r="BB22" s="19">
        <f>+Hoja2!BB22+Hoja1!BB22</f>
        <v>0</v>
      </c>
      <c r="BC22" s="24">
        <v>0</v>
      </c>
      <c r="BD22" s="19">
        <f>+Hoja2!BD22+Hoja1!BD22</f>
        <v>2666</v>
      </c>
      <c r="BE22" s="24">
        <v>0</v>
      </c>
      <c r="BF22" s="19">
        <f>+Hoja2!BF22+Hoja1!BF22</f>
        <v>0</v>
      </c>
      <c r="BG22" s="24">
        <v>0</v>
      </c>
      <c r="BH22" s="19">
        <f>+Hoja2!BH22+Hoja1!BH22</f>
        <v>553</v>
      </c>
      <c r="BI22" s="24">
        <v>0</v>
      </c>
      <c r="BJ22" s="19">
        <f>+Hoja2!BJ22+Hoja1!BJ22</f>
        <v>657</v>
      </c>
      <c r="BK22" s="24">
        <v>0</v>
      </c>
      <c r="BL22" s="19">
        <f>+Hoja2!BL22+Hoja1!BL22</f>
        <v>0</v>
      </c>
      <c r="BM22" s="24">
        <v>0</v>
      </c>
      <c r="BN22" s="19">
        <f>+Hoja2!BN22+Hoja1!BN22</f>
        <v>0</v>
      </c>
      <c r="BO22" s="24">
        <v>0</v>
      </c>
      <c r="BP22" s="19">
        <f>+Hoja2!BP22+Hoja1!BP22</f>
        <v>0</v>
      </c>
      <c r="BQ22" s="24">
        <v>0</v>
      </c>
      <c r="BR22" s="19">
        <f>+Hoja2!BR22+Hoja1!BR22</f>
        <v>296</v>
      </c>
      <c r="BS22" s="24">
        <v>0</v>
      </c>
      <c r="BT22" s="19">
        <f>+Hoja2!BT22+Hoja1!BT22</f>
        <v>227</v>
      </c>
      <c r="BU22" s="24">
        <v>0</v>
      </c>
      <c r="BV22" s="19">
        <f>+Hoja2!BV22+Hoja1!BV22</f>
        <v>0</v>
      </c>
      <c r="BW22" s="24">
        <v>0</v>
      </c>
      <c r="BX22" s="19">
        <f>+Hoja2!BX22+Hoja1!BX22</f>
        <v>0</v>
      </c>
      <c r="BY22" s="24">
        <v>0</v>
      </c>
      <c r="BZ22" s="19">
        <f>+Hoja2!BZ22+Hoja1!BZ22</f>
        <v>0</v>
      </c>
      <c r="CA22" s="24">
        <v>0</v>
      </c>
      <c r="CB22" s="19">
        <f>+Hoja2!CB22+Hoja1!CB22</f>
        <v>0</v>
      </c>
      <c r="CC22" s="24">
        <v>0</v>
      </c>
      <c r="CD22" s="19">
        <f>+Hoja2!CD22+Hoja1!CD22</f>
        <v>0</v>
      </c>
      <c r="CE22" s="24">
        <v>0</v>
      </c>
      <c r="CF22" s="19">
        <f>+Hoja2!CF22+Hoja1!CF22</f>
        <v>0</v>
      </c>
      <c r="CG22" s="24">
        <v>0</v>
      </c>
      <c r="CH22" s="19">
        <f>+Hoja2!CH22+Hoja1!CH22</f>
        <v>0</v>
      </c>
      <c r="CI22" s="24">
        <v>0</v>
      </c>
      <c r="CJ22" s="19">
        <f>+Hoja2!CJ22+Hoja1!CJ22</f>
        <v>0</v>
      </c>
      <c r="CK22" s="24">
        <v>0</v>
      </c>
      <c r="CL22" s="19">
        <f>+Hoja2!CL22+Hoja1!CL22</f>
        <v>0</v>
      </c>
      <c r="CM22" s="24">
        <v>0</v>
      </c>
      <c r="CN22" s="19">
        <f>+Hoja2!CN22+Hoja1!CN22</f>
        <v>0</v>
      </c>
      <c r="CO22" s="24">
        <v>0</v>
      </c>
      <c r="CP22" s="19">
        <f>+Hoja2!CP22+Hoja1!CP22</f>
        <v>0</v>
      </c>
      <c r="CQ22" s="24">
        <v>0</v>
      </c>
      <c r="CR22" s="19">
        <f>+Hoja2!CR22+Hoja1!CR22</f>
        <v>0</v>
      </c>
      <c r="CS22" s="24">
        <v>0</v>
      </c>
      <c r="CT22" s="19">
        <f>+Hoja2!CT22+Hoja1!CT22</f>
        <v>0</v>
      </c>
      <c r="CU22" s="24">
        <v>0</v>
      </c>
      <c r="CV22" s="19">
        <f>+Hoja2!CV22+Hoja1!CV22</f>
        <v>0</v>
      </c>
      <c r="CW22" s="24">
        <v>0</v>
      </c>
      <c r="CX22" s="19">
        <f>+Hoja2!CX22+Hoja1!CX22</f>
        <v>0</v>
      </c>
      <c r="CY22" s="24">
        <v>0</v>
      </c>
      <c r="CZ22" s="19">
        <f>+Hoja2!CZ22+Hoja1!CZ22</f>
        <v>0</v>
      </c>
      <c r="DA22" s="24">
        <v>0</v>
      </c>
      <c r="DB22" s="19">
        <f>+Hoja2!DB22+Hoja1!DB22</f>
        <v>0</v>
      </c>
      <c r="DC22" s="24">
        <v>0</v>
      </c>
      <c r="DD22" s="19">
        <f>+Hoja2!DD22+Hoja1!DD22</f>
        <v>0</v>
      </c>
      <c r="DE22" s="24">
        <v>0</v>
      </c>
      <c r="DF22" s="19">
        <f>+Hoja2!DF22+Hoja1!DF22</f>
        <v>0</v>
      </c>
      <c r="DG22" s="24">
        <v>0</v>
      </c>
      <c r="DH22" s="19">
        <f>+Hoja2!DH22+Hoja1!DH22</f>
        <v>0</v>
      </c>
      <c r="DI22" s="24">
        <v>0</v>
      </c>
      <c r="DJ22" s="19">
        <f>+Hoja2!DJ22+Hoja1!DJ22</f>
        <v>0</v>
      </c>
      <c r="DK22" s="24">
        <v>0</v>
      </c>
      <c r="DL22" s="19">
        <f>+Hoja2!DL22+Hoja1!DL22</f>
        <v>0</v>
      </c>
      <c r="DM22" s="24">
        <v>0</v>
      </c>
      <c r="DN22" s="19">
        <f>+Hoja2!DN22+Hoja1!DN22</f>
        <v>0</v>
      </c>
      <c r="DO22" s="24">
        <v>0</v>
      </c>
      <c r="DP22" s="19">
        <f>+Hoja2!DP22+Hoja1!DP22</f>
        <v>0</v>
      </c>
      <c r="DQ22" s="24">
        <v>0</v>
      </c>
      <c r="DR22" s="19">
        <f>+Hoja2!DR22+Hoja1!DR22</f>
        <v>0</v>
      </c>
      <c r="DS22" s="24">
        <v>0</v>
      </c>
      <c r="DT22" s="19">
        <f>+Hoja2!DT22+Hoja1!DT22</f>
        <v>0</v>
      </c>
      <c r="DU22" s="24">
        <v>0</v>
      </c>
      <c r="DV22" s="19">
        <f>+Hoja2!DV22+Hoja1!DV22</f>
        <v>0</v>
      </c>
      <c r="DW22" s="24">
        <v>0</v>
      </c>
      <c r="DX22" s="19">
        <f>+Hoja2!DX22+Hoja1!DX22</f>
        <v>0</v>
      </c>
      <c r="DY22" s="24">
        <v>0</v>
      </c>
      <c r="DZ22" s="19">
        <f>+Hoja2!DZ22+Hoja1!DZ22</f>
        <v>0</v>
      </c>
      <c r="EA22" s="24">
        <v>0</v>
      </c>
      <c r="EB22" s="19">
        <f>+Hoja2!EB22+Hoja1!EB22</f>
        <v>0</v>
      </c>
      <c r="EC22" s="24">
        <v>0</v>
      </c>
      <c r="ED22" s="19">
        <f>+Hoja2!ED22+Hoja1!ED22</f>
        <v>0</v>
      </c>
      <c r="EE22" s="24">
        <v>0</v>
      </c>
      <c r="EF22" s="19">
        <f>+Hoja2!EF22+Hoja1!EF22</f>
        <v>0</v>
      </c>
      <c r="EG22" s="24">
        <v>0</v>
      </c>
      <c r="EH22" s="19">
        <f>+Hoja2!EH22+Hoja1!EH22</f>
        <v>0</v>
      </c>
      <c r="EI22" s="24">
        <v>0</v>
      </c>
      <c r="EJ22" s="19">
        <f>+Hoja2!EJ22+Hoja1!EJ22</f>
        <v>0</v>
      </c>
      <c r="EK22" s="24">
        <v>0</v>
      </c>
      <c r="EL22" s="19">
        <f>+Hoja2!EL22+Hoja1!EL22</f>
        <v>0</v>
      </c>
      <c r="EM22" s="24">
        <v>0</v>
      </c>
      <c r="EN22" s="19">
        <f>+Hoja2!EN22+Hoja1!EN22</f>
        <v>0</v>
      </c>
      <c r="EO22" s="24">
        <v>0</v>
      </c>
      <c r="EP22" s="19">
        <f>+Hoja2!EP22+Hoja1!EP22</f>
        <v>0</v>
      </c>
      <c r="EQ22" s="24">
        <v>0</v>
      </c>
      <c r="ER22" s="19">
        <f>+Hoja2!ER22+Hoja1!ER22</f>
        <v>0</v>
      </c>
      <c r="ES22" s="24">
        <v>0</v>
      </c>
      <c r="ET22" s="19">
        <f>+Hoja2!ET22+Hoja1!ET22</f>
        <v>0</v>
      </c>
      <c r="EU22" s="24">
        <v>0</v>
      </c>
    </row>
    <row r="23" spans="1:151" x14ac:dyDescent="0.25">
      <c r="A23" s="24" t="s">
        <v>43</v>
      </c>
      <c r="B23" s="25">
        <v>5</v>
      </c>
      <c r="C23" s="24" t="s">
        <v>44</v>
      </c>
      <c r="D23" s="24">
        <v>158498</v>
      </c>
      <c r="E23" s="26">
        <v>357</v>
      </c>
      <c r="F23" s="26">
        <v>128640</v>
      </c>
      <c r="G23" s="26">
        <v>8077</v>
      </c>
      <c r="H23" s="26">
        <v>136717</v>
      </c>
      <c r="I23">
        <v>892</v>
      </c>
      <c r="J23" s="19">
        <f>+INT(([1]Hoja1!M23/[1]Hoja1!O23)*M23)</f>
        <v>11810959</v>
      </c>
      <c r="K23" s="19">
        <f>+INT(([1]Hoja1!N23/[1]Hoja1!O23)*M23)</f>
        <v>11715583</v>
      </c>
      <c r="L23" s="19">
        <f t="shared" si="1"/>
        <v>96673</v>
      </c>
      <c r="M23" s="19">
        <f t="shared" si="2"/>
        <v>95376</v>
      </c>
      <c r="N23" s="22">
        <f t="shared" si="0"/>
        <v>94621</v>
      </c>
      <c r="O23" s="26">
        <v>755</v>
      </c>
      <c r="P23" s="26">
        <v>1297</v>
      </c>
      <c r="Q23" s="22">
        <f t="shared" si="3"/>
        <v>3</v>
      </c>
      <c r="R23" s="19">
        <f>+Hoja2!R23+Hoja1!R23</f>
        <v>26308</v>
      </c>
      <c r="S23" s="24">
        <v>1</v>
      </c>
      <c r="T23" s="19">
        <f>+Hoja2!T23+Hoja1!T23</f>
        <v>38072</v>
      </c>
      <c r="U23" s="24">
        <v>1</v>
      </c>
      <c r="V23" s="19">
        <f>+Hoja2!V23+Hoja1!V23</f>
        <v>17659</v>
      </c>
      <c r="W23" s="24">
        <v>1</v>
      </c>
      <c r="X23" s="19">
        <f>+Hoja2!X23+Hoja1!X23</f>
        <v>6361</v>
      </c>
      <c r="Y23" s="24">
        <v>0</v>
      </c>
      <c r="Z23" s="19">
        <f>+Hoja2!Z23+Hoja1!Z23</f>
        <v>0</v>
      </c>
      <c r="AA23" s="24">
        <v>0</v>
      </c>
      <c r="AB23" s="19">
        <f>+Hoja2!AB23+Hoja1!AB23</f>
        <v>0</v>
      </c>
      <c r="AC23" s="24">
        <v>0</v>
      </c>
      <c r="AD23" s="19">
        <f>+Hoja2!AD23+Hoja1!AD23</f>
        <v>0</v>
      </c>
      <c r="AE23" s="24">
        <v>0</v>
      </c>
      <c r="AF23" s="19">
        <f>+Hoja2!AF23+Hoja1!AF23</f>
        <v>0</v>
      </c>
      <c r="AG23" s="24">
        <v>0</v>
      </c>
      <c r="AH23" s="19">
        <f>+Hoja2!AH23+Hoja1!AH23</f>
        <v>0</v>
      </c>
      <c r="AI23" s="24">
        <v>0</v>
      </c>
      <c r="AJ23" s="19">
        <f>+Hoja2!AJ23+Hoja1!AJ23</f>
        <v>0</v>
      </c>
      <c r="AK23" s="24">
        <v>0</v>
      </c>
      <c r="AL23" s="19">
        <f>+Hoja2!AL23+Hoja1!AL23</f>
        <v>0</v>
      </c>
      <c r="AM23" s="24">
        <v>0</v>
      </c>
      <c r="AN23" s="19">
        <f>+Hoja2!AN23+Hoja1!AN23</f>
        <v>0</v>
      </c>
      <c r="AO23" s="24">
        <v>0</v>
      </c>
      <c r="AP23" s="19">
        <f>+Hoja2!AP23+Hoja1!AP23</f>
        <v>0</v>
      </c>
      <c r="AQ23" s="24">
        <v>0</v>
      </c>
      <c r="AR23" s="19">
        <f>+Hoja2!AR23+Hoja1!AR23</f>
        <v>0</v>
      </c>
      <c r="AS23" s="24">
        <v>0</v>
      </c>
      <c r="AT23" s="19">
        <f>+Hoja2!AT23+Hoja1!AT23</f>
        <v>0</v>
      </c>
      <c r="AU23" s="24">
        <v>0</v>
      </c>
      <c r="AV23" s="19">
        <f>+Hoja2!AV23+Hoja1!AV23</f>
        <v>0</v>
      </c>
      <c r="AW23" s="24">
        <v>0</v>
      </c>
      <c r="AX23" s="19">
        <f>+Hoja2!AX23+Hoja1!AX23</f>
        <v>0</v>
      </c>
      <c r="AY23" s="24">
        <v>0</v>
      </c>
      <c r="AZ23" s="19">
        <f>+Hoja2!AZ23+Hoja1!AZ23</f>
        <v>0</v>
      </c>
      <c r="BA23" s="24">
        <v>0</v>
      </c>
      <c r="BB23" s="19">
        <f>+Hoja2!BB23+Hoja1!BB23</f>
        <v>0</v>
      </c>
      <c r="BC23" s="24">
        <v>0</v>
      </c>
      <c r="BD23" s="19">
        <f>+Hoja2!BD23+Hoja1!BD23</f>
        <v>429</v>
      </c>
      <c r="BE23" s="24">
        <v>0</v>
      </c>
      <c r="BF23" s="19">
        <f>+Hoja2!BF23+Hoja1!BF23</f>
        <v>0</v>
      </c>
      <c r="BG23" s="24">
        <v>0</v>
      </c>
      <c r="BH23" s="19">
        <f>+Hoja2!BH23+Hoja1!BH23</f>
        <v>104</v>
      </c>
      <c r="BI23" s="24">
        <v>0</v>
      </c>
      <c r="BJ23" s="19">
        <f>+Hoja2!BJ23+Hoja1!BJ23</f>
        <v>101</v>
      </c>
      <c r="BK23" s="24">
        <v>0</v>
      </c>
      <c r="BL23" s="19">
        <f>+Hoja2!BL23+Hoja1!BL23</f>
        <v>0</v>
      </c>
      <c r="BM23" s="24">
        <v>0</v>
      </c>
      <c r="BN23" s="19">
        <f>+Hoja2!BN23+Hoja1!BN23</f>
        <v>0</v>
      </c>
      <c r="BO23" s="24">
        <v>0</v>
      </c>
      <c r="BP23" s="19">
        <f>+Hoja2!BP23+Hoja1!BP23</f>
        <v>0</v>
      </c>
      <c r="BQ23" s="24">
        <v>0</v>
      </c>
      <c r="BR23" s="19">
        <f>+Hoja2!BR23+Hoja1!BR23</f>
        <v>0</v>
      </c>
      <c r="BS23" s="24">
        <v>0</v>
      </c>
      <c r="BT23" s="19">
        <f>+Hoja2!BT23+Hoja1!BT23</f>
        <v>106</v>
      </c>
      <c r="BU23" s="24">
        <v>0</v>
      </c>
      <c r="BV23" s="19">
        <f>+Hoja2!BV23+Hoja1!BV23</f>
        <v>0</v>
      </c>
      <c r="BW23" s="24">
        <v>0</v>
      </c>
      <c r="BX23" s="19">
        <f>+Hoja2!BX23+Hoja1!BX23</f>
        <v>0</v>
      </c>
      <c r="BY23" s="24">
        <v>0</v>
      </c>
      <c r="BZ23" s="19">
        <f>+Hoja2!BZ23+Hoja1!BZ23</f>
        <v>0</v>
      </c>
      <c r="CA23" s="24">
        <v>0</v>
      </c>
      <c r="CB23" s="19">
        <f>+Hoja2!CB23+Hoja1!CB23</f>
        <v>0</v>
      </c>
      <c r="CC23" s="24">
        <v>0</v>
      </c>
      <c r="CD23" s="19">
        <f>+Hoja2!CD23+Hoja1!CD23</f>
        <v>0</v>
      </c>
      <c r="CE23" s="24">
        <v>0</v>
      </c>
      <c r="CF23" s="19">
        <f>+Hoja2!CF23+Hoja1!CF23</f>
        <v>0</v>
      </c>
      <c r="CG23" s="24">
        <v>0</v>
      </c>
      <c r="CH23" s="19">
        <f>+Hoja2!CH23+Hoja1!CH23</f>
        <v>5388</v>
      </c>
      <c r="CI23" s="24">
        <v>0</v>
      </c>
      <c r="CJ23" s="19">
        <f>+Hoja2!CJ23+Hoja1!CJ23</f>
        <v>0</v>
      </c>
      <c r="CK23" s="24">
        <v>0</v>
      </c>
      <c r="CL23" s="19">
        <f>+Hoja2!CL23+Hoja1!CL23</f>
        <v>0</v>
      </c>
      <c r="CM23" s="24">
        <v>0</v>
      </c>
      <c r="CN23" s="19">
        <f>+Hoja2!CN23+Hoja1!CN23</f>
        <v>0</v>
      </c>
      <c r="CO23" s="24">
        <v>0</v>
      </c>
      <c r="CP23" s="19">
        <f>+Hoja2!CP23+Hoja1!CP23</f>
        <v>0</v>
      </c>
      <c r="CQ23" s="24">
        <v>0</v>
      </c>
      <c r="CR23" s="19">
        <f>+Hoja2!CR23+Hoja1!CR23</f>
        <v>0</v>
      </c>
      <c r="CS23" s="24">
        <v>0</v>
      </c>
      <c r="CT23" s="19">
        <f>+Hoja2!CT23+Hoja1!CT23</f>
        <v>0</v>
      </c>
      <c r="CU23" s="24">
        <v>0</v>
      </c>
      <c r="CV23" s="19">
        <f>+Hoja2!CV23+Hoja1!CV23</f>
        <v>0</v>
      </c>
      <c r="CW23" s="24">
        <v>0</v>
      </c>
      <c r="CX23" s="19">
        <f>+Hoja2!CX23+Hoja1!CX23</f>
        <v>0</v>
      </c>
      <c r="CY23" s="24">
        <v>0</v>
      </c>
      <c r="CZ23" s="19">
        <f>+Hoja2!CZ23+Hoja1!CZ23</f>
        <v>0</v>
      </c>
      <c r="DA23" s="24">
        <v>0</v>
      </c>
      <c r="DB23" s="19">
        <f>+Hoja2!DB23+Hoja1!DB23</f>
        <v>0</v>
      </c>
      <c r="DC23" s="24">
        <v>0</v>
      </c>
      <c r="DD23" s="19">
        <f>+Hoja2!DD23+Hoja1!DD23</f>
        <v>0</v>
      </c>
      <c r="DE23" s="24">
        <v>0</v>
      </c>
      <c r="DF23" s="19">
        <f>+Hoja2!DF23+Hoja1!DF23</f>
        <v>0</v>
      </c>
      <c r="DG23" s="24">
        <v>0</v>
      </c>
      <c r="DH23" s="19">
        <f>+Hoja2!DH23+Hoja1!DH23</f>
        <v>0</v>
      </c>
      <c r="DI23" s="24">
        <v>0</v>
      </c>
      <c r="DJ23" s="19">
        <f>+Hoja2!DJ23+Hoja1!DJ23</f>
        <v>31</v>
      </c>
      <c r="DK23" s="24">
        <v>0</v>
      </c>
      <c r="DL23" s="19">
        <f>+Hoja2!DL23+Hoja1!DL23</f>
        <v>0</v>
      </c>
      <c r="DM23" s="24">
        <v>0</v>
      </c>
      <c r="DN23" s="19">
        <f>+Hoja2!DN23+Hoja1!DN23</f>
        <v>0</v>
      </c>
      <c r="DO23" s="24">
        <v>0</v>
      </c>
      <c r="DP23" s="19">
        <f>+Hoja2!DP23+Hoja1!DP23</f>
        <v>0</v>
      </c>
      <c r="DQ23" s="24">
        <v>0</v>
      </c>
      <c r="DR23" s="19">
        <f>+Hoja2!DR23+Hoja1!DR23</f>
        <v>0</v>
      </c>
      <c r="DS23" s="24">
        <v>0</v>
      </c>
      <c r="DT23" s="19">
        <f>+Hoja2!DT23+Hoja1!DT23</f>
        <v>0</v>
      </c>
      <c r="DU23" s="24">
        <v>0</v>
      </c>
      <c r="DV23" s="19">
        <f>+Hoja2!DV23+Hoja1!DV23</f>
        <v>0</v>
      </c>
      <c r="DW23" s="24">
        <v>0</v>
      </c>
      <c r="DX23" s="19">
        <f>+Hoja2!DX23+Hoja1!DX23</f>
        <v>62</v>
      </c>
      <c r="DY23" s="24">
        <v>0</v>
      </c>
      <c r="DZ23" s="19">
        <f>+Hoja2!DZ23+Hoja1!DZ23</f>
        <v>0</v>
      </c>
      <c r="EA23" s="24">
        <v>0</v>
      </c>
      <c r="EB23" s="19">
        <f>+Hoja2!EB23+Hoja1!EB23</f>
        <v>0</v>
      </c>
      <c r="EC23" s="24">
        <v>0</v>
      </c>
      <c r="ED23" s="19">
        <f>+Hoja2!ED23+Hoja1!ED23</f>
        <v>0</v>
      </c>
      <c r="EE23" s="24">
        <v>0</v>
      </c>
      <c r="EF23" s="19">
        <f>+Hoja2!EF23+Hoja1!EF23</f>
        <v>0</v>
      </c>
      <c r="EG23" s="24">
        <v>0</v>
      </c>
      <c r="EH23" s="19">
        <f>+Hoja2!EH23+Hoja1!EH23</f>
        <v>0</v>
      </c>
      <c r="EI23" s="24">
        <v>0</v>
      </c>
      <c r="EJ23" s="19">
        <f>+Hoja2!EJ23+Hoja1!EJ23</f>
        <v>0</v>
      </c>
      <c r="EK23" s="24">
        <v>0</v>
      </c>
      <c r="EL23" s="19">
        <f>+Hoja2!EL23+Hoja1!EL23</f>
        <v>0</v>
      </c>
      <c r="EM23" s="24">
        <v>0</v>
      </c>
      <c r="EN23" s="19">
        <f>+Hoja2!EN23+Hoja1!EN23</f>
        <v>0</v>
      </c>
      <c r="EO23" s="24">
        <v>0</v>
      </c>
      <c r="EP23" s="19">
        <f>+Hoja2!EP23+Hoja1!EP23</f>
        <v>0</v>
      </c>
      <c r="EQ23" s="24">
        <v>0</v>
      </c>
      <c r="ER23" s="19">
        <f>+Hoja2!ER23+Hoja1!ER23</f>
        <v>0</v>
      </c>
      <c r="ES23" s="24">
        <v>0</v>
      </c>
      <c r="ET23" s="19">
        <f>+Hoja2!ET23+Hoja1!ET23</f>
        <v>0</v>
      </c>
      <c r="EU23" s="24">
        <v>0</v>
      </c>
    </row>
    <row r="24" spans="1:151" x14ac:dyDescent="0.25">
      <c r="A24" s="24" t="s">
        <v>43</v>
      </c>
      <c r="B24" s="25">
        <v>9</v>
      </c>
      <c r="C24" s="24" t="s">
        <v>45</v>
      </c>
      <c r="D24" s="24">
        <v>357070</v>
      </c>
      <c r="E24" s="26">
        <v>733</v>
      </c>
      <c r="F24" s="26">
        <v>281066</v>
      </c>
      <c r="G24" s="26">
        <v>17923</v>
      </c>
      <c r="H24" s="26">
        <v>298989</v>
      </c>
      <c r="I24" s="1">
        <v>2019</v>
      </c>
      <c r="J24" s="19">
        <f>+INT(([1]Hoja1!M24/[1]Hoja1!O24)*M24)</f>
        <v>15417524</v>
      </c>
      <c r="K24" s="19">
        <f>+INT(([1]Hoja1!N24/[1]Hoja1!O24)*M24)</f>
        <v>15214045</v>
      </c>
      <c r="L24" s="19">
        <f t="shared" si="1"/>
        <v>206172</v>
      </c>
      <c r="M24" s="19">
        <f t="shared" si="2"/>
        <v>203479</v>
      </c>
      <c r="N24" s="22">
        <f t="shared" si="0"/>
        <v>200853</v>
      </c>
      <c r="O24" s="26">
        <v>2626</v>
      </c>
      <c r="P24" s="26">
        <v>2693</v>
      </c>
      <c r="Q24" s="22">
        <f t="shared" si="3"/>
        <v>4</v>
      </c>
      <c r="R24" s="19">
        <f>+Hoja2!R24+Hoja1!R24</f>
        <v>69012</v>
      </c>
      <c r="S24" s="24">
        <v>2</v>
      </c>
      <c r="T24" s="19">
        <f>+Hoja2!T24+Hoja1!T24</f>
        <v>75423</v>
      </c>
      <c r="U24" s="24">
        <v>2</v>
      </c>
      <c r="V24" s="19">
        <f>+Hoja2!V24+Hoja1!V24</f>
        <v>30170</v>
      </c>
      <c r="W24" s="24">
        <v>0</v>
      </c>
      <c r="X24" s="19">
        <f>+Hoja2!X24+Hoja1!X24</f>
        <v>23160</v>
      </c>
      <c r="Y24" s="24">
        <v>0</v>
      </c>
      <c r="Z24" s="19">
        <f>+Hoja2!Z24+Hoja1!Z24</f>
        <v>0</v>
      </c>
      <c r="AA24" s="24">
        <v>0</v>
      </c>
      <c r="AB24" s="19">
        <f>+Hoja2!AB24+Hoja1!AB24</f>
        <v>0</v>
      </c>
      <c r="AC24" s="24">
        <v>0</v>
      </c>
      <c r="AD24" s="19">
        <f>+Hoja2!AD24+Hoja1!AD24</f>
        <v>0</v>
      </c>
      <c r="AE24" s="24">
        <v>0</v>
      </c>
      <c r="AF24" s="19">
        <f>+Hoja2!AF24+Hoja1!AF24</f>
        <v>0</v>
      </c>
      <c r="AG24" s="24">
        <v>0</v>
      </c>
      <c r="AH24" s="19">
        <f>+Hoja2!AH24+Hoja1!AH24</f>
        <v>0</v>
      </c>
      <c r="AI24" s="24">
        <v>0</v>
      </c>
      <c r="AJ24" s="19">
        <f>+Hoja2!AJ24+Hoja1!AJ24</f>
        <v>0</v>
      </c>
      <c r="AK24" s="24">
        <v>0</v>
      </c>
      <c r="AL24" s="19">
        <f>+Hoja2!AL24+Hoja1!AL24</f>
        <v>0</v>
      </c>
      <c r="AM24" s="24">
        <v>0</v>
      </c>
      <c r="AN24" s="19">
        <f>+Hoja2!AN24+Hoja1!AN24</f>
        <v>0</v>
      </c>
      <c r="AO24" s="24">
        <v>0</v>
      </c>
      <c r="AP24" s="19">
        <f>+Hoja2!AP24+Hoja1!AP24</f>
        <v>0</v>
      </c>
      <c r="AQ24" s="24">
        <v>0</v>
      </c>
      <c r="AR24" s="19">
        <f>+Hoja2!AR24+Hoja1!AR24</f>
        <v>0</v>
      </c>
      <c r="AS24" s="24">
        <v>0</v>
      </c>
      <c r="AT24" s="19">
        <f>+Hoja2!AT24+Hoja1!AT24</f>
        <v>0</v>
      </c>
      <c r="AU24" s="24">
        <v>0</v>
      </c>
      <c r="AV24" s="19">
        <f>+Hoja2!AV24+Hoja1!AV24</f>
        <v>0</v>
      </c>
      <c r="AW24" s="24">
        <v>0</v>
      </c>
      <c r="AX24" s="19">
        <f>+Hoja2!AX24+Hoja1!AX24</f>
        <v>0</v>
      </c>
      <c r="AY24" s="24">
        <v>0</v>
      </c>
      <c r="AZ24" s="19">
        <f>+Hoja2!AZ24+Hoja1!AZ24</f>
        <v>0</v>
      </c>
      <c r="BA24" s="24">
        <v>0</v>
      </c>
      <c r="BB24" s="19">
        <f>+Hoja2!BB24+Hoja1!BB24</f>
        <v>0</v>
      </c>
      <c r="BC24" s="24">
        <v>0</v>
      </c>
      <c r="BD24" s="19">
        <f>+Hoja2!BD24+Hoja1!BD24</f>
        <v>1407</v>
      </c>
      <c r="BE24" s="24">
        <v>0</v>
      </c>
      <c r="BF24" s="19">
        <f>+Hoja2!BF24+Hoja1!BF24</f>
        <v>0</v>
      </c>
      <c r="BG24" s="24">
        <v>0</v>
      </c>
      <c r="BH24" s="19">
        <f>+Hoja2!BH24+Hoja1!BH24</f>
        <v>641</v>
      </c>
      <c r="BI24" s="24">
        <v>0</v>
      </c>
      <c r="BJ24" s="19">
        <f>+Hoja2!BJ24+Hoja1!BJ24</f>
        <v>616</v>
      </c>
      <c r="BK24" s="24">
        <v>0</v>
      </c>
      <c r="BL24" s="19">
        <f>+Hoja2!BL24+Hoja1!BL24</f>
        <v>0</v>
      </c>
      <c r="BM24" s="24">
        <v>0</v>
      </c>
      <c r="BN24" s="19">
        <f>+Hoja2!BN24+Hoja1!BN24</f>
        <v>0</v>
      </c>
      <c r="BO24" s="24">
        <v>0</v>
      </c>
      <c r="BP24" s="19">
        <f>+Hoja2!BP24+Hoja1!BP24</f>
        <v>0</v>
      </c>
      <c r="BQ24" s="24">
        <v>0</v>
      </c>
      <c r="BR24" s="19">
        <f>+Hoja2!BR24+Hoja1!BR24</f>
        <v>0</v>
      </c>
      <c r="BS24" s="24">
        <v>0</v>
      </c>
      <c r="BT24" s="19">
        <f>+Hoja2!BT24+Hoja1!BT24</f>
        <v>424</v>
      </c>
      <c r="BU24" s="24">
        <v>0</v>
      </c>
      <c r="BV24" s="19">
        <f>+Hoja2!BV24+Hoja1!BV24</f>
        <v>0</v>
      </c>
      <c r="BW24" s="24">
        <v>0</v>
      </c>
      <c r="BX24" s="19">
        <f>+Hoja2!BX24+Hoja1!BX24</f>
        <v>0</v>
      </c>
      <c r="BY24" s="24">
        <v>0</v>
      </c>
      <c r="BZ24" s="19">
        <f>+Hoja2!BZ24+Hoja1!BZ24</f>
        <v>0</v>
      </c>
      <c r="CA24" s="24">
        <v>0</v>
      </c>
      <c r="CB24" s="19">
        <f>+Hoja2!CB24+Hoja1!CB24</f>
        <v>0</v>
      </c>
      <c r="CC24" s="24">
        <v>0</v>
      </c>
      <c r="CD24" s="19">
        <f>+Hoja2!CD24+Hoja1!CD24</f>
        <v>0</v>
      </c>
      <c r="CE24" s="24">
        <v>0</v>
      </c>
      <c r="CF24" s="19">
        <f>+Hoja2!CF24+Hoja1!CF24</f>
        <v>0</v>
      </c>
      <c r="CG24" s="24">
        <v>0</v>
      </c>
      <c r="CH24" s="19">
        <f>+Hoja2!CH24+Hoja1!CH24</f>
        <v>0</v>
      </c>
      <c r="CI24" s="24">
        <v>0</v>
      </c>
      <c r="CJ24" s="19">
        <f>+Hoja2!CJ24+Hoja1!CJ24</f>
        <v>0</v>
      </c>
      <c r="CK24" s="24">
        <v>0</v>
      </c>
      <c r="CL24" s="19">
        <f>+Hoja2!CL24+Hoja1!CL24</f>
        <v>0</v>
      </c>
      <c r="CM24" s="24">
        <v>0</v>
      </c>
      <c r="CN24" s="19">
        <f>+Hoja2!CN24+Hoja1!CN24</f>
        <v>0</v>
      </c>
      <c r="CO24" s="24">
        <v>0</v>
      </c>
      <c r="CP24" s="19">
        <f>+Hoja2!CP24+Hoja1!CP24</f>
        <v>0</v>
      </c>
      <c r="CQ24" s="24">
        <v>0</v>
      </c>
      <c r="CR24" s="19">
        <f>+Hoja2!CR24+Hoja1!CR24</f>
        <v>0</v>
      </c>
      <c r="CS24" s="24">
        <v>0</v>
      </c>
      <c r="CT24" s="19">
        <f>+Hoja2!CT24+Hoja1!CT24</f>
        <v>0</v>
      </c>
      <c r="CU24" s="24">
        <v>0</v>
      </c>
      <c r="CV24" s="19">
        <f>+Hoja2!CV24+Hoja1!CV24</f>
        <v>0</v>
      </c>
      <c r="CW24" s="24">
        <v>0</v>
      </c>
      <c r="CX24" s="19">
        <f>+Hoja2!CX24+Hoja1!CX24</f>
        <v>0</v>
      </c>
      <c r="CY24" s="24">
        <v>0</v>
      </c>
      <c r="CZ24" s="19">
        <f>+Hoja2!CZ24+Hoja1!CZ24</f>
        <v>0</v>
      </c>
      <c r="DA24" s="24">
        <v>0</v>
      </c>
      <c r="DB24" s="19">
        <f>+Hoja2!DB24+Hoja1!DB24</f>
        <v>0</v>
      </c>
      <c r="DC24" s="24">
        <v>0</v>
      </c>
      <c r="DD24" s="19">
        <f>+Hoja2!DD24+Hoja1!DD24</f>
        <v>0</v>
      </c>
      <c r="DE24" s="24">
        <v>0</v>
      </c>
      <c r="DF24" s="19">
        <f>+Hoja2!DF24+Hoja1!DF24</f>
        <v>0</v>
      </c>
      <c r="DG24" s="24">
        <v>0</v>
      </c>
      <c r="DH24" s="19">
        <f>+Hoja2!DH24+Hoja1!DH24</f>
        <v>0</v>
      </c>
      <c r="DI24" s="24">
        <v>0</v>
      </c>
      <c r="DJ24" s="19">
        <f>+Hoja2!DJ24+Hoja1!DJ24</f>
        <v>0</v>
      </c>
      <c r="DK24" s="24">
        <v>0</v>
      </c>
      <c r="DL24" s="19">
        <f>+Hoja2!DL24+Hoja1!DL24</f>
        <v>0</v>
      </c>
      <c r="DM24" s="24">
        <v>0</v>
      </c>
      <c r="DN24" s="19">
        <f>+Hoja2!DN24+Hoja1!DN24</f>
        <v>0</v>
      </c>
      <c r="DO24" s="24">
        <v>0</v>
      </c>
      <c r="DP24" s="19">
        <f>+Hoja2!DP24+Hoja1!DP24</f>
        <v>0</v>
      </c>
      <c r="DQ24" s="24">
        <v>0</v>
      </c>
      <c r="DR24" s="19">
        <f>+Hoja2!DR24+Hoja1!DR24</f>
        <v>0</v>
      </c>
      <c r="DS24" s="24">
        <v>0</v>
      </c>
      <c r="DT24" s="19">
        <f>+Hoja2!DT24+Hoja1!DT24</f>
        <v>0</v>
      </c>
      <c r="DU24" s="24">
        <v>0</v>
      </c>
      <c r="DV24" s="19">
        <f>+Hoja2!DV24+Hoja1!DV24</f>
        <v>0</v>
      </c>
      <c r="DW24" s="24">
        <v>0</v>
      </c>
      <c r="DX24" s="19">
        <f>+Hoja2!DX24+Hoja1!DX24</f>
        <v>0</v>
      </c>
      <c r="DY24" s="24">
        <v>0</v>
      </c>
      <c r="DZ24" s="19">
        <f>+Hoja2!DZ24+Hoja1!DZ24</f>
        <v>0</v>
      </c>
      <c r="EA24" s="24">
        <v>0</v>
      </c>
      <c r="EB24" s="19">
        <f>+Hoja2!EB24+Hoja1!EB24</f>
        <v>0</v>
      </c>
      <c r="EC24" s="24">
        <v>0</v>
      </c>
      <c r="ED24" s="19">
        <f>+Hoja2!ED24+Hoja1!ED24</f>
        <v>0</v>
      </c>
      <c r="EE24" s="24">
        <v>0</v>
      </c>
      <c r="EF24" s="19">
        <f>+Hoja2!EF24+Hoja1!EF24</f>
        <v>0</v>
      </c>
      <c r="EG24" s="24">
        <v>0</v>
      </c>
      <c r="EH24" s="19">
        <f>+Hoja2!EH24+Hoja1!EH24</f>
        <v>0</v>
      </c>
      <c r="EI24" s="24">
        <v>0</v>
      </c>
      <c r="EJ24" s="19">
        <f>+Hoja2!EJ24+Hoja1!EJ24</f>
        <v>0</v>
      </c>
      <c r="EK24" s="24">
        <v>0</v>
      </c>
      <c r="EL24" s="19">
        <f>+Hoja2!EL24+Hoja1!EL24</f>
        <v>0</v>
      </c>
      <c r="EM24" s="24">
        <v>0</v>
      </c>
      <c r="EN24" s="19">
        <f>+Hoja2!EN24+Hoja1!EN24</f>
        <v>0</v>
      </c>
      <c r="EO24" s="24">
        <v>0</v>
      </c>
      <c r="EP24" s="19">
        <f>+Hoja2!EP24+Hoja1!EP24</f>
        <v>0</v>
      </c>
      <c r="EQ24" s="24">
        <v>0</v>
      </c>
      <c r="ER24" s="19">
        <f>+Hoja2!ER24+Hoja1!ER24</f>
        <v>0</v>
      </c>
      <c r="ES24" s="24">
        <v>0</v>
      </c>
      <c r="ET24" s="19">
        <f>+Hoja2!ET24+Hoja1!ET24</f>
        <v>0</v>
      </c>
      <c r="EU24" s="24">
        <v>0</v>
      </c>
    </row>
    <row r="25" spans="1:151" x14ac:dyDescent="0.25">
      <c r="A25" s="24" t="s">
        <v>43</v>
      </c>
      <c r="B25" s="25">
        <v>24</v>
      </c>
      <c r="C25" s="24" t="s">
        <v>46</v>
      </c>
      <c r="D25" s="24">
        <v>463746</v>
      </c>
      <c r="E25" s="26">
        <v>729</v>
      </c>
      <c r="F25" s="26">
        <v>384892</v>
      </c>
      <c r="G25" s="26">
        <v>47181</v>
      </c>
      <c r="H25" s="26">
        <v>432073</v>
      </c>
      <c r="I25" s="1">
        <v>4232</v>
      </c>
      <c r="J25" s="19">
        <f>+INT(([1]Hoja1!M25/[1]Hoja1!O25)*M25)</f>
        <v>26077821</v>
      </c>
      <c r="K25" s="19">
        <f>+INT(([1]Hoja1!N25/[1]Hoja1!O25)*M25)</f>
        <v>25808782</v>
      </c>
      <c r="L25" s="19">
        <f t="shared" si="1"/>
        <v>272071</v>
      </c>
      <c r="M25" s="19">
        <f t="shared" si="2"/>
        <v>269039</v>
      </c>
      <c r="N25" s="22">
        <f t="shared" si="0"/>
        <v>266329</v>
      </c>
      <c r="O25" s="26">
        <v>2710</v>
      </c>
      <c r="P25" s="26">
        <v>3032</v>
      </c>
      <c r="Q25" s="22">
        <f t="shared" si="3"/>
        <v>4</v>
      </c>
      <c r="R25" s="19">
        <f>+Hoja2!R25+Hoja1!R25</f>
        <v>93963</v>
      </c>
      <c r="S25" s="24">
        <v>2</v>
      </c>
      <c r="T25" s="19">
        <f>+Hoja2!T25+Hoja1!T25</f>
        <v>89549</v>
      </c>
      <c r="U25" s="24">
        <v>1</v>
      </c>
      <c r="V25" s="19">
        <f>+Hoja2!V25+Hoja1!V25</f>
        <v>41701</v>
      </c>
      <c r="W25" s="24">
        <v>1</v>
      </c>
      <c r="X25" s="19">
        <f>+Hoja2!X25+Hoja1!X25</f>
        <v>28851</v>
      </c>
      <c r="Y25" s="24">
        <v>0</v>
      </c>
      <c r="Z25" s="19">
        <f>+Hoja2!Z25+Hoja1!Z25</f>
        <v>0</v>
      </c>
      <c r="AA25" s="24">
        <v>0</v>
      </c>
      <c r="AB25" s="19">
        <f>+Hoja2!AB25+Hoja1!AB25</f>
        <v>0</v>
      </c>
      <c r="AC25" s="24">
        <v>0</v>
      </c>
      <c r="AD25" s="19">
        <f>+Hoja2!AD25+Hoja1!AD25</f>
        <v>0</v>
      </c>
      <c r="AE25" s="24">
        <v>0</v>
      </c>
      <c r="AF25" s="19">
        <f>+Hoja2!AF25+Hoja1!AF25</f>
        <v>0</v>
      </c>
      <c r="AG25" s="24">
        <v>0</v>
      </c>
      <c r="AH25" s="19">
        <f>+Hoja2!AH25+Hoja1!AH25</f>
        <v>0</v>
      </c>
      <c r="AI25" s="24">
        <v>0</v>
      </c>
      <c r="AJ25" s="19">
        <f>+Hoja2!AJ25+Hoja1!AJ25</f>
        <v>0</v>
      </c>
      <c r="AK25" s="24">
        <v>0</v>
      </c>
      <c r="AL25" s="19">
        <f>+Hoja2!AL25+Hoja1!AL25</f>
        <v>0</v>
      </c>
      <c r="AM25" s="24">
        <v>0</v>
      </c>
      <c r="AN25" s="19">
        <f>+Hoja2!AN25+Hoja1!AN25</f>
        <v>0</v>
      </c>
      <c r="AO25" s="24">
        <v>0</v>
      </c>
      <c r="AP25" s="19">
        <f>+Hoja2!AP25+Hoja1!AP25</f>
        <v>0</v>
      </c>
      <c r="AQ25" s="24">
        <v>0</v>
      </c>
      <c r="AR25" s="19">
        <f>+Hoja2!AR25+Hoja1!AR25</f>
        <v>0</v>
      </c>
      <c r="AS25" s="24">
        <v>0</v>
      </c>
      <c r="AT25" s="19">
        <f>+Hoja2!AT25+Hoja1!AT25</f>
        <v>0</v>
      </c>
      <c r="AU25" s="24">
        <v>0</v>
      </c>
      <c r="AV25" s="19">
        <f>+Hoja2!AV25+Hoja1!AV25</f>
        <v>0</v>
      </c>
      <c r="AW25" s="24">
        <v>0</v>
      </c>
      <c r="AX25" s="19">
        <f>+Hoja2!AX25+Hoja1!AX25</f>
        <v>0</v>
      </c>
      <c r="AY25" s="24">
        <v>0</v>
      </c>
      <c r="AZ25" s="19">
        <f>+Hoja2!AZ25+Hoja1!AZ25</f>
        <v>0</v>
      </c>
      <c r="BA25" s="24">
        <v>0</v>
      </c>
      <c r="BB25" s="19">
        <f>+Hoja2!BB25+Hoja1!BB25</f>
        <v>0</v>
      </c>
      <c r="BC25" s="24">
        <v>0</v>
      </c>
      <c r="BD25" s="19">
        <f>+Hoja2!BD25+Hoja1!BD25</f>
        <v>1497</v>
      </c>
      <c r="BE25" s="24">
        <v>0</v>
      </c>
      <c r="BF25" s="19">
        <f>+Hoja2!BF25+Hoja1!BF25</f>
        <v>0</v>
      </c>
      <c r="BG25" s="24">
        <v>0</v>
      </c>
      <c r="BH25" s="19">
        <f>+Hoja2!BH25+Hoja1!BH25</f>
        <v>177</v>
      </c>
      <c r="BI25" s="24">
        <v>0</v>
      </c>
      <c r="BJ25" s="19">
        <f>+Hoja2!BJ25+Hoja1!BJ25</f>
        <v>315</v>
      </c>
      <c r="BK25" s="24">
        <v>0</v>
      </c>
      <c r="BL25" s="19">
        <f>+Hoja2!BL25+Hoja1!BL25</f>
        <v>0</v>
      </c>
      <c r="BM25" s="24">
        <v>0</v>
      </c>
      <c r="BN25" s="19">
        <f>+Hoja2!BN25+Hoja1!BN25</f>
        <v>0</v>
      </c>
      <c r="BO25" s="24">
        <v>0</v>
      </c>
      <c r="BP25" s="19">
        <f>+Hoja2!BP25+Hoja1!BP25</f>
        <v>0</v>
      </c>
      <c r="BQ25" s="24">
        <v>0</v>
      </c>
      <c r="BR25" s="19">
        <f>+Hoja2!BR25+Hoja1!BR25</f>
        <v>0</v>
      </c>
      <c r="BS25" s="24">
        <v>0</v>
      </c>
      <c r="BT25" s="19">
        <f>+Hoja2!BT25+Hoja1!BT25</f>
        <v>397</v>
      </c>
      <c r="BU25" s="24">
        <v>0</v>
      </c>
      <c r="BV25" s="19">
        <f>+Hoja2!BV25+Hoja1!BV25</f>
        <v>0</v>
      </c>
      <c r="BW25" s="24">
        <v>0</v>
      </c>
      <c r="BX25" s="19">
        <f>+Hoja2!BX25+Hoja1!BX25</f>
        <v>9540</v>
      </c>
      <c r="BY25" s="24">
        <v>0</v>
      </c>
      <c r="BZ25" s="19">
        <f>+Hoja2!BZ25+Hoja1!BZ25</f>
        <v>0</v>
      </c>
      <c r="CA25" s="24">
        <v>0</v>
      </c>
      <c r="CB25" s="19">
        <f>+Hoja2!CB25+Hoja1!CB25</f>
        <v>0</v>
      </c>
      <c r="CC25" s="24">
        <v>0</v>
      </c>
      <c r="CD25" s="19">
        <f>+Hoja2!CD25+Hoja1!CD25</f>
        <v>0</v>
      </c>
      <c r="CE25" s="24">
        <v>0</v>
      </c>
      <c r="CF25" s="19">
        <f>+Hoja2!CF25+Hoja1!CF25</f>
        <v>0</v>
      </c>
      <c r="CG25" s="24">
        <v>0</v>
      </c>
      <c r="CH25" s="19">
        <f>+Hoja2!CH25+Hoja1!CH25</f>
        <v>0</v>
      </c>
      <c r="CI25" s="24">
        <v>0</v>
      </c>
      <c r="CJ25" s="19">
        <f>+Hoja2!CJ25+Hoja1!CJ25</f>
        <v>0</v>
      </c>
      <c r="CK25" s="24">
        <v>0</v>
      </c>
      <c r="CL25" s="19">
        <f>+Hoja2!CL25+Hoja1!CL25</f>
        <v>0</v>
      </c>
      <c r="CM25" s="24">
        <v>0</v>
      </c>
      <c r="CN25" s="19">
        <f>+Hoja2!CN25+Hoja1!CN25</f>
        <v>0</v>
      </c>
      <c r="CO25" s="24">
        <v>0</v>
      </c>
      <c r="CP25" s="19">
        <f>+Hoja2!CP25+Hoja1!CP25</f>
        <v>0</v>
      </c>
      <c r="CQ25" s="24">
        <v>0</v>
      </c>
      <c r="CR25" s="19">
        <f>+Hoja2!CR25+Hoja1!CR25</f>
        <v>0</v>
      </c>
      <c r="CS25" s="24">
        <v>0</v>
      </c>
      <c r="CT25" s="19">
        <f>+Hoja2!CT25+Hoja1!CT25</f>
        <v>0</v>
      </c>
      <c r="CU25" s="24">
        <v>0</v>
      </c>
      <c r="CV25" s="19">
        <f>+Hoja2!CV25+Hoja1!CV25</f>
        <v>0</v>
      </c>
      <c r="CW25" s="24">
        <v>0</v>
      </c>
      <c r="CX25" s="19">
        <f>+Hoja2!CX25+Hoja1!CX25</f>
        <v>0</v>
      </c>
      <c r="CY25" s="24">
        <v>0</v>
      </c>
      <c r="CZ25" s="19">
        <f>+Hoja2!CZ25+Hoja1!CZ25</f>
        <v>0</v>
      </c>
      <c r="DA25" s="24">
        <v>0</v>
      </c>
      <c r="DB25" s="19">
        <f>+Hoja2!DB25+Hoja1!DB25</f>
        <v>0</v>
      </c>
      <c r="DC25" s="24">
        <v>0</v>
      </c>
      <c r="DD25" s="19">
        <f>+Hoja2!DD25+Hoja1!DD25</f>
        <v>0</v>
      </c>
      <c r="DE25" s="24">
        <v>0</v>
      </c>
      <c r="DF25" s="19">
        <f>+Hoja2!DF25+Hoja1!DF25</f>
        <v>0</v>
      </c>
      <c r="DG25" s="24">
        <v>0</v>
      </c>
      <c r="DH25" s="19">
        <f>+Hoja2!DH25+Hoja1!DH25</f>
        <v>0</v>
      </c>
      <c r="DI25" s="24">
        <v>0</v>
      </c>
      <c r="DJ25" s="19">
        <f>+Hoja2!DJ25+Hoja1!DJ25</f>
        <v>0</v>
      </c>
      <c r="DK25" s="24">
        <v>0</v>
      </c>
      <c r="DL25" s="19">
        <f>+Hoja2!DL25+Hoja1!DL25</f>
        <v>0</v>
      </c>
      <c r="DM25" s="24">
        <v>0</v>
      </c>
      <c r="DN25" s="19">
        <f>+Hoja2!DN25+Hoja1!DN25</f>
        <v>0</v>
      </c>
      <c r="DO25" s="24">
        <v>0</v>
      </c>
      <c r="DP25" s="19">
        <f>+Hoja2!DP25+Hoja1!DP25</f>
        <v>339</v>
      </c>
      <c r="DQ25" s="24">
        <v>0</v>
      </c>
      <c r="DR25" s="19">
        <f>+Hoja2!DR25+Hoja1!DR25</f>
        <v>0</v>
      </c>
      <c r="DS25" s="24">
        <v>0</v>
      </c>
      <c r="DT25" s="19">
        <f>+Hoja2!DT25+Hoja1!DT25</f>
        <v>0</v>
      </c>
      <c r="DU25" s="24">
        <v>0</v>
      </c>
      <c r="DV25" s="19">
        <f>+Hoja2!DV25+Hoja1!DV25</f>
        <v>0</v>
      </c>
      <c r="DW25" s="24">
        <v>0</v>
      </c>
      <c r="DX25" s="19">
        <f>+Hoja2!DX25+Hoja1!DX25</f>
        <v>0</v>
      </c>
      <c r="DY25" s="24">
        <v>0</v>
      </c>
      <c r="DZ25" s="19">
        <f>+Hoja2!DZ25+Hoja1!DZ25</f>
        <v>0</v>
      </c>
      <c r="EA25" s="24">
        <v>0</v>
      </c>
      <c r="EB25" s="19">
        <f>+Hoja2!EB25+Hoja1!EB25</f>
        <v>0</v>
      </c>
      <c r="EC25" s="24">
        <v>0</v>
      </c>
      <c r="ED25" s="19">
        <f>+Hoja2!ED25+Hoja1!ED25</f>
        <v>0</v>
      </c>
      <c r="EE25" s="24">
        <v>0</v>
      </c>
      <c r="EF25" s="19">
        <f>+Hoja2!EF25+Hoja1!EF25</f>
        <v>0</v>
      </c>
      <c r="EG25" s="24">
        <v>0</v>
      </c>
      <c r="EH25" s="19">
        <f>+Hoja2!EH25+Hoja1!EH25</f>
        <v>0</v>
      </c>
      <c r="EI25" s="24">
        <v>0</v>
      </c>
      <c r="EJ25" s="19">
        <f>+Hoja2!EJ25+Hoja1!EJ25</f>
        <v>0</v>
      </c>
      <c r="EK25" s="24">
        <v>0</v>
      </c>
      <c r="EL25" s="19">
        <f>+Hoja2!EL25+Hoja1!EL25</f>
        <v>0</v>
      </c>
      <c r="EM25" s="24">
        <v>0</v>
      </c>
      <c r="EN25" s="19">
        <f>+Hoja2!EN25+Hoja1!EN25</f>
        <v>0</v>
      </c>
      <c r="EO25" s="24">
        <v>0</v>
      </c>
      <c r="EP25" s="19">
        <f>+Hoja2!EP25+Hoja1!EP25</f>
        <v>0</v>
      </c>
      <c r="EQ25" s="24">
        <v>0</v>
      </c>
      <c r="ER25" s="19">
        <f>+Hoja2!ER25+Hoja1!ER25</f>
        <v>0</v>
      </c>
      <c r="ES25" s="24">
        <v>0</v>
      </c>
      <c r="ET25" s="19">
        <f>+Hoja2!ET25+Hoja1!ET25</f>
        <v>0</v>
      </c>
      <c r="EU25" s="24">
        <v>0</v>
      </c>
    </row>
    <row r="26" spans="1:151" x14ac:dyDescent="0.25">
      <c r="A26" s="24" t="s">
        <v>43</v>
      </c>
      <c r="B26" s="25">
        <v>34</v>
      </c>
      <c r="C26" s="24" t="s">
        <v>47</v>
      </c>
      <c r="D26" s="24">
        <v>162035</v>
      </c>
      <c r="E26" s="26">
        <v>324</v>
      </c>
      <c r="F26" s="26">
        <v>133955</v>
      </c>
      <c r="G26" s="26">
        <v>7366</v>
      </c>
      <c r="H26" s="26">
        <v>141321</v>
      </c>
      <c r="I26">
        <v>838</v>
      </c>
      <c r="J26" s="19">
        <f>+INT(([1]Hoja1!M26/[1]Hoja1!O26)*M26)</f>
        <v>9260764</v>
      </c>
      <c r="K26" s="19">
        <f>+INT(([1]Hoja1!N26/[1]Hoja1!O26)*M26)</f>
        <v>9162634</v>
      </c>
      <c r="L26" s="19">
        <f t="shared" si="1"/>
        <v>99380</v>
      </c>
      <c r="M26" s="19">
        <f t="shared" si="2"/>
        <v>98130</v>
      </c>
      <c r="N26" s="22">
        <f t="shared" si="0"/>
        <v>97115</v>
      </c>
      <c r="O26" s="26">
        <v>1015</v>
      </c>
      <c r="P26" s="26">
        <v>1250</v>
      </c>
      <c r="Q26" s="22">
        <f t="shared" si="3"/>
        <v>3</v>
      </c>
      <c r="R26" s="19">
        <f>+Hoja2!R26+Hoja1!R26</f>
        <v>34032</v>
      </c>
      <c r="S26" s="24">
        <v>1</v>
      </c>
      <c r="T26" s="19">
        <f>+Hoja2!T26+Hoja1!T26</f>
        <v>39627</v>
      </c>
      <c r="U26" s="24">
        <v>2</v>
      </c>
      <c r="V26" s="19">
        <f>+Hoja2!V26+Hoja1!V26</f>
        <v>14092</v>
      </c>
      <c r="W26" s="24">
        <v>0</v>
      </c>
      <c r="X26" s="19">
        <f>+Hoja2!X26+Hoja1!X26</f>
        <v>8133</v>
      </c>
      <c r="Y26" s="24">
        <v>0</v>
      </c>
      <c r="Z26" s="19">
        <f>+Hoja2!Z26+Hoja1!Z26</f>
        <v>0</v>
      </c>
      <c r="AA26" s="24">
        <v>0</v>
      </c>
      <c r="AB26" s="19">
        <f>+Hoja2!AB26+Hoja1!AB26</f>
        <v>0</v>
      </c>
      <c r="AC26" s="24">
        <v>0</v>
      </c>
      <c r="AD26" s="19">
        <f>+Hoja2!AD26+Hoja1!AD26</f>
        <v>0</v>
      </c>
      <c r="AE26" s="24">
        <v>0</v>
      </c>
      <c r="AF26" s="19">
        <f>+Hoja2!AF26+Hoja1!AF26</f>
        <v>0</v>
      </c>
      <c r="AG26" s="24">
        <v>0</v>
      </c>
      <c r="AH26" s="19">
        <f>+Hoja2!AH26+Hoja1!AH26</f>
        <v>0</v>
      </c>
      <c r="AI26" s="24">
        <v>0</v>
      </c>
      <c r="AJ26" s="19">
        <f>+Hoja2!AJ26+Hoja1!AJ26</f>
        <v>0</v>
      </c>
      <c r="AK26" s="24">
        <v>0</v>
      </c>
      <c r="AL26" s="19">
        <f>+Hoja2!AL26+Hoja1!AL26</f>
        <v>0</v>
      </c>
      <c r="AM26" s="24">
        <v>0</v>
      </c>
      <c r="AN26" s="19">
        <f>+Hoja2!AN26+Hoja1!AN26</f>
        <v>0</v>
      </c>
      <c r="AO26" s="24">
        <v>0</v>
      </c>
      <c r="AP26" s="19">
        <f>+Hoja2!AP26+Hoja1!AP26</f>
        <v>0</v>
      </c>
      <c r="AQ26" s="24">
        <v>0</v>
      </c>
      <c r="AR26" s="19">
        <f>+Hoja2!AR26+Hoja1!AR26</f>
        <v>0</v>
      </c>
      <c r="AS26" s="24">
        <v>0</v>
      </c>
      <c r="AT26" s="19">
        <f>+Hoja2!AT26+Hoja1!AT26</f>
        <v>0</v>
      </c>
      <c r="AU26" s="24">
        <v>0</v>
      </c>
      <c r="AV26" s="19">
        <f>+Hoja2!AV26+Hoja1!AV26</f>
        <v>0</v>
      </c>
      <c r="AW26" s="24">
        <v>0</v>
      </c>
      <c r="AX26" s="19">
        <f>+Hoja2!AX26+Hoja1!AX26</f>
        <v>0</v>
      </c>
      <c r="AY26" s="24">
        <v>0</v>
      </c>
      <c r="AZ26" s="19">
        <f>+Hoja2!AZ26+Hoja1!AZ26</f>
        <v>0</v>
      </c>
      <c r="BA26" s="24">
        <v>0</v>
      </c>
      <c r="BB26" s="19">
        <f>+Hoja2!BB26+Hoja1!BB26</f>
        <v>0</v>
      </c>
      <c r="BC26" s="24">
        <v>0</v>
      </c>
      <c r="BD26" s="19">
        <f>+Hoja2!BD26+Hoja1!BD26</f>
        <v>579</v>
      </c>
      <c r="BE26" s="24">
        <v>0</v>
      </c>
      <c r="BF26" s="19">
        <f>+Hoja2!BF26+Hoja1!BF26</f>
        <v>0</v>
      </c>
      <c r="BG26" s="24">
        <v>0</v>
      </c>
      <c r="BH26" s="19">
        <f>+Hoja2!BH26+Hoja1!BH26</f>
        <v>254</v>
      </c>
      <c r="BI26" s="24">
        <v>0</v>
      </c>
      <c r="BJ26" s="19">
        <f>+Hoja2!BJ26+Hoja1!BJ26</f>
        <v>207</v>
      </c>
      <c r="BK26" s="24">
        <v>0</v>
      </c>
      <c r="BL26" s="19">
        <f>+Hoja2!BL26+Hoja1!BL26</f>
        <v>0</v>
      </c>
      <c r="BM26" s="24">
        <v>0</v>
      </c>
      <c r="BN26" s="19">
        <f>+Hoja2!BN26+Hoja1!BN26</f>
        <v>0</v>
      </c>
      <c r="BO26" s="24">
        <v>0</v>
      </c>
      <c r="BP26" s="19">
        <f>+Hoja2!BP26+Hoja1!BP26</f>
        <v>0</v>
      </c>
      <c r="BQ26" s="24">
        <v>0</v>
      </c>
      <c r="BR26" s="19">
        <f>+Hoja2!BR26+Hoja1!BR26</f>
        <v>0</v>
      </c>
      <c r="BS26" s="24">
        <v>0</v>
      </c>
      <c r="BT26" s="19">
        <f>+Hoja2!BT26+Hoja1!BT26</f>
        <v>111</v>
      </c>
      <c r="BU26" s="24">
        <v>0</v>
      </c>
      <c r="BV26" s="19">
        <f>+Hoja2!BV26+Hoja1!BV26</f>
        <v>0</v>
      </c>
      <c r="BW26" s="24">
        <v>0</v>
      </c>
      <c r="BX26" s="19">
        <f>+Hoja2!BX26+Hoja1!BX26</f>
        <v>0</v>
      </c>
      <c r="BY26" s="24">
        <v>0</v>
      </c>
      <c r="BZ26" s="19">
        <f>+Hoja2!BZ26+Hoja1!BZ26</f>
        <v>0</v>
      </c>
      <c r="CA26" s="24">
        <v>0</v>
      </c>
      <c r="CB26" s="19">
        <f>+Hoja2!CB26+Hoja1!CB26</f>
        <v>0</v>
      </c>
      <c r="CC26" s="24">
        <v>0</v>
      </c>
      <c r="CD26" s="19">
        <f>+Hoja2!CD26+Hoja1!CD26</f>
        <v>0</v>
      </c>
      <c r="CE26" s="24">
        <v>0</v>
      </c>
      <c r="CF26" s="19">
        <f>+Hoja2!CF26+Hoja1!CF26</f>
        <v>0</v>
      </c>
      <c r="CG26" s="24">
        <v>0</v>
      </c>
      <c r="CH26" s="19">
        <f>+Hoja2!CH26+Hoja1!CH26</f>
        <v>0</v>
      </c>
      <c r="CI26" s="24">
        <v>0</v>
      </c>
      <c r="CJ26" s="19">
        <f>+Hoja2!CJ26+Hoja1!CJ26</f>
        <v>0</v>
      </c>
      <c r="CK26" s="24">
        <v>0</v>
      </c>
      <c r="CL26" s="19">
        <f>+Hoja2!CL26+Hoja1!CL26</f>
        <v>0</v>
      </c>
      <c r="CM26" s="24">
        <v>0</v>
      </c>
      <c r="CN26" s="19">
        <f>+Hoja2!CN26+Hoja1!CN26</f>
        <v>0</v>
      </c>
      <c r="CO26" s="24">
        <v>0</v>
      </c>
      <c r="CP26" s="19">
        <f>+Hoja2!CP26+Hoja1!CP26</f>
        <v>0</v>
      </c>
      <c r="CQ26" s="24">
        <v>0</v>
      </c>
      <c r="CR26" s="19">
        <f>+Hoja2!CR26+Hoja1!CR26</f>
        <v>0</v>
      </c>
      <c r="CS26" s="24">
        <v>0</v>
      </c>
      <c r="CT26" s="19">
        <f>+Hoja2!CT26+Hoja1!CT26</f>
        <v>0</v>
      </c>
      <c r="CU26" s="24">
        <v>0</v>
      </c>
      <c r="CV26" s="19">
        <f>+Hoja2!CV26+Hoja1!CV26</f>
        <v>0</v>
      </c>
      <c r="CW26" s="24">
        <v>0</v>
      </c>
      <c r="CX26" s="19">
        <f>+Hoja2!CX26+Hoja1!CX26</f>
        <v>0</v>
      </c>
      <c r="CY26" s="24">
        <v>0</v>
      </c>
      <c r="CZ26" s="19">
        <f>+Hoja2!CZ26+Hoja1!CZ26</f>
        <v>0</v>
      </c>
      <c r="DA26" s="24">
        <v>0</v>
      </c>
      <c r="DB26" s="19">
        <f>+Hoja2!DB26+Hoja1!DB26</f>
        <v>0</v>
      </c>
      <c r="DC26" s="24">
        <v>0</v>
      </c>
      <c r="DD26" s="19">
        <f>+Hoja2!DD26+Hoja1!DD26</f>
        <v>0</v>
      </c>
      <c r="DE26" s="24">
        <v>0</v>
      </c>
      <c r="DF26" s="19">
        <f>+Hoja2!DF26+Hoja1!DF26</f>
        <v>0</v>
      </c>
      <c r="DG26" s="24">
        <v>0</v>
      </c>
      <c r="DH26" s="19">
        <f>+Hoja2!DH26+Hoja1!DH26</f>
        <v>0</v>
      </c>
      <c r="DI26" s="24">
        <v>0</v>
      </c>
      <c r="DJ26" s="19">
        <f>+Hoja2!DJ26+Hoja1!DJ26</f>
        <v>0</v>
      </c>
      <c r="DK26" s="24">
        <v>0</v>
      </c>
      <c r="DL26" s="19">
        <f>+Hoja2!DL26+Hoja1!DL26</f>
        <v>0</v>
      </c>
      <c r="DM26" s="24">
        <v>0</v>
      </c>
      <c r="DN26" s="19">
        <f>+Hoja2!DN26+Hoja1!DN26</f>
        <v>0</v>
      </c>
      <c r="DO26" s="24">
        <v>0</v>
      </c>
      <c r="DP26" s="19">
        <f>+Hoja2!DP26+Hoja1!DP26</f>
        <v>0</v>
      </c>
      <c r="DQ26" s="24">
        <v>0</v>
      </c>
      <c r="DR26" s="19">
        <f>+Hoja2!DR26+Hoja1!DR26</f>
        <v>0</v>
      </c>
      <c r="DS26" s="24">
        <v>0</v>
      </c>
      <c r="DT26" s="19">
        <f>+Hoja2!DT26+Hoja1!DT26</f>
        <v>0</v>
      </c>
      <c r="DU26" s="24">
        <v>0</v>
      </c>
      <c r="DV26" s="19">
        <f>+Hoja2!DV26+Hoja1!DV26</f>
        <v>0</v>
      </c>
      <c r="DW26" s="24">
        <v>0</v>
      </c>
      <c r="DX26" s="19">
        <f>+Hoja2!DX26+Hoja1!DX26</f>
        <v>80</v>
      </c>
      <c r="DY26" s="24">
        <v>0</v>
      </c>
      <c r="DZ26" s="19">
        <f>+Hoja2!DZ26+Hoja1!DZ26</f>
        <v>0</v>
      </c>
      <c r="EA26" s="24">
        <v>0</v>
      </c>
      <c r="EB26" s="19">
        <f>+Hoja2!EB26+Hoja1!EB26</f>
        <v>0</v>
      </c>
      <c r="EC26" s="24">
        <v>0</v>
      </c>
      <c r="ED26" s="19">
        <f>+Hoja2!ED26+Hoja1!ED26</f>
        <v>0</v>
      </c>
      <c r="EE26" s="24">
        <v>0</v>
      </c>
      <c r="EF26" s="19">
        <f>+Hoja2!EF26+Hoja1!EF26</f>
        <v>0</v>
      </c>
      <c r="EG26" s="24">
        <v>0</v>
      </c>
      <c r="EH26" s="19">
        <f>+Hoja2!EH26+Hoja1!EH26</f>
        <v>0</v>
      </c>
      <c r="EI26" s="24">
        <v>0</v>
      </c>
      <c r="EJ26" s="19">
        <f>+Hoja2!EJ26+Hoja1!EJ26</f>
        <v>0</v>
      </c>
      <c r="EK26" s="24">
        <v>0</v>
      </c>
      <c r="EL26" s="19">
        <f>+Hoja2!EL26+Hoja1!EL26</f>
        <v>0</v>
      </c>
      <c r="EM26" s="24">
        <v>0</v>
      </c>
      <c r="EN26" s="19">
        <f>+Hoja2!EN26+Hoja1!EN26</f>
        <v>0</v>
      </c>
      <c r="EO26" s="24">
        <v>0</v>
      </c>
      <c r="EP26" s="19">
        <f>+Hoja2!EP26+Hoja1!EP26</f>
        <v>0</v>
      </c>
      <c r="EQ26" s="24">
        <v>0</v>
      </c>
      <c r="ER26" s="19">
        <f>+Hoja2!ER26+Hoja1!ER26</f>
        <v>0</v>
      </c>
      <c r="ES26" s="24">
        <v>0</v>
      </c>
      <c r="ET26" s="19">
        <f>+Hoja2!ET26+Hoja1!ET26</f>
        <v>0</v>
      </c>
      <c r="EU26" s="24">
        <v>0</v>
      </c>
    </row>
    <row r="27" spans="1:151" x14ac:dyDescent="0.25">
      <c r="A27" s="24" t="s">
        <v>43</v>
      </c>
      <c r="B27" s="25">
        <v>37</v>
      </c>
      <c r="C27" s="24" t="s">
        <v>48</v>
      </c>
      <c r="D27" s="24">
        <v>331473</v>
      </c>
      <c r="E27" s="26">
        <v>684</v>
      </c>
      <c r="F27" s="26">
        <v>274805</v>
      </c>
      <c r="G27" s="26">
        <v>30731</v>
      </c>
      <c r="H27" s="26">
        <v>305536</v>
      </c>
      <c r="I27" s="1">
        <v>2889</v>
      </c>
      <c r="J27" s="19">
        <f>+INT(([1]Hoja1!M27/[1]Hoja1!O27)*M27)</f>
        <v>19603851</v>
      </c>
      <c r="K27" s="19">
        <f>+INT(([1]Hoja1!N27/[1]Hoja1!O27)*M27)</f>
        <v>19404769</v>
      </c>
      <c r="L27" s="19">
        <f t="shared" si="1"/>
        <v>201585</v>
      </c>
      <c r="M27" s="19">
        <f t="shared" si="2"/>
        <v>199082</v>
      </c>
      <c r="N27" s="22">
        <f t="shared" si="0"/>
        <v>197100</v>
      </c>
      <c r="O27" s="26">
        <v>1982</v>
      </c>
      <c r="P27" s="26">
        <v>2503</v>
      </c>
      <c r="Q27" s="22">
        <f t="shared" si="3"/>
        <v>4</v>
      </c>
      <c r="R27" s="19">
        <f>+Hoja2!R27+Hoja1!R27</f>
        <v>62043</v>
      </c>
      <c r="S27" s="24">
        <v>1</v>
      </c>
      <c r="T27" s="19">
        <f>+Hoja2!T27+Hoja1!T27</f>
        <v>82577</v>
      </c>
      <c r="U27" s="24">
        <v>2</v>
      </c>
      <c r="V27" s="19">
        <f>+Hoja2!V27+Hoja1!V27</f>
        <v>35627</v>
      </c>
      <c r="W27" s="24">
        <v>1</v>
      </c>
      <c r="X27" s="19">
        <f>+Hoja2!X27+Hoja1!X27</f>
        <v>14288</v>
      </c>
      <c r="Y27" s="24">
        <v>0</v>
      </c>
      <c r="Z27" s="19">
        <f>+Hoja2!Z27+Hoja1!Z27</f>
        <v>0</v>
      </c>
      <c r="AA27" s="24">
        <v>0</v>
      </c>
      <c r="AB27" s="19">
        <f>+Hoja2!AB27+Hoja1!AB27</f>
        <v>0</v>
      </c>
      <c r="AC27" s="24">
        <v>0</v>
      </c>
      <c r="AD27" s="19">
        <f>+Hoja2!AD27+Hoja1!AD27</f>
        <v>0</v>
      </c>
      <c r="AE27" s="24">
        <v>0</v>
      </c>
      <c r="AF27" s="19">
        <f>+Hoja2!AF27+Hoja1!AF27</f>
        <v>0</v>
      </c>
      <c r="AG27" s="24">
        <v>0</v>
      </c>
      <c r="AH27" s="19">
        <f>+Hoja2!AH27+Hoja1!AH27</f>
        <v>0</v>
      </c>
      <c r="AI27" s="24">
        <v>0</v>
      </c>
      <c r="AJ27" s="19">
        <f>+Hoja2!AJ27+Hoja1!AJ27</f>
        <v>0</v>
      </c>
      <c r="AK27" s="24">
        <v>0</v>
      </c>
      <c r="AL27" s="19">
        <f>+Hoja2!AL27+Hoja1!AL27</f>
        <v>0</v>
      </c>
      <c r="AM27" s="24">
        <v>0</v>
      </c>
      <c r="AN27" s="19">
        <f>+Hoja2!AN27+Hoja1!AN27</f>
        <v>0</v>
      </c>
      <c r="AO27" s="24">
        <v>0</v>
      </c>
      <c r="AP27" s="19">
        <f>+Hoja2!AP27+Hoja1!AP27</f>
        <v>0</v>
      </c>
      <c r="AQ27" s="24">
        <v>0</v>
      </c>
      <c r="AR27" s="19">
        <f>+Hoja2!AR27+Hoja1!AR27</f>
        <v>0</v>
      </c>
      <c r="AS27" s="24">
        <v>0</v>
      </c>
      <c r="AT27" s="19">
        <f>+Hoja2!AT27+Hoja1!AT27</f>
        <v>0</v>
      </c>
      <c r="AU27" s="24">
        <v>0</v>
      </c>
      <c r="AV27" s="19">
        <f>+Hoja2!AV27+Hoja1!AV27</f>
        <v>0</v>
      </c>
      <c r="AW27" s="24">
        <v>0</v>
      </c>
      <c r="AX27" s="19">
        <f>+Hoja2!AX27+Hoja1!AX27</f>
        <v>0</v>
      </c>
      <c r="AY27" s="24">
        <v>0</v>
      </c>
      <c r="AZ27" s="19">
        <f>+Hoja2!AZ27+Hoja1!AZ27</f>
        <v>0</v>
      </c>
      <c r="BA27" s="24">
        <v>0</v>
      </c>
      <c r="BB27" s="19">
        <f>+Hoja2!BB27+Hoja1!BB27</f>
        <v>0</v>
      </c>
      <c r="BC27" s="24">
        <v>0</v>
      </c>
      <c r="BD27" s="19">
        <f>+Hoja2!BD27+Hoja1!BD27</f>
        <v>959</v>
      </c>
      <c r="BE27" s="24">
        <v>0</v>
      </c>
      <c r="BF27" s="19">
        <f>+Hoja2!BF27+Hoja1!BF27</f>
        <v>0</v>
      </c>
      <c r="BG27" s="24">
        <v>0</v>
      </c>
      <c r="BH27" s="19">
        <f>+Hoja2!BH27+Hoja1!BH27</f>
        <v>304</v>
      </c>
      <c r="BI27" s="24">
        <v>0</v>
      </c>
      <c r="BJ27" s="19">
        <f>+Hoja2!BJ27+Hoja1!BJ27</f>
        <v>264</v>
      </c>
      <c r="BK27" s="24">
        <v>0</v>
      </c>
      <c r="BL27" s="19">
        <f>+Hoja2!BL27+Hoja1!BL27</f>
        <v>0</v>
      </c>
      <c r="BM27" s="24">
        <v>0</v>
      </c>
      <c r="BN27" s="19">
        <f>+Hoja2!BN27+Hoja1!BN27</f>
        <v>0</v>
      </c>
      <c r="BO27" s="24">
        <v>0</v>
      </c>
      <c r="BP27" s="19">
        <f>+Hoja2!BP27+Hoja1!BP27</f>
        <v>0</v>
      </c>
      <c r="BQ27" s="24">
        <v>0</v>
      </c>
      <c r="BR27" s="19">
        <f>+Hoja2!BR27+Hoja1!BR27</f>
        <v>0</v>
      </c>
      <c r="BS27" s="24">
        <v>0</v>
      </c>
      <c r="BT27" s="19">
        <f>+Hoja2!BT27+Hoja1!BT27</f>
        <v>205</v>
      </c>
      <c r="BU27" s="24">
        <v>0</v>
      </c>
      <c r="BV27" s="19">
        <f>+Hoja2!BV27+Hoja1!BV27</f>
        <v>0</v>
      </c>
      <c r="BW27" s="24">
        <v>0</v>
      </c>
      <c r="BX27" s="19">
        <f>+Hoja2!BX27+Hoja1!BX27</f>
        <v>284</v>
      </c>
      <c r="BY27" s="24">
        <v>0</v>
      </c>
      <c r="BZ27" s="19">
        <f>+Hoja2!BZ27+Hoja1!BZ27</f>
        <v>0</v>
      </c>
      <c r="CA27" s="24">
        <v>0</v>
      </c>
      <c r="CB27" s="19">
        <f>+Hoja2!CB27+Hoja1!CB27</f>
        <v>0</v>
      </c>
      <c r="CC27" s="24">
        <v>0</v>
      </c>
      <c r="CD27" s="19">
        <f>+Hoja2!CD27+Hoja1!CD27</f>
        <v>0</v>
      </c>
      <c r="CE27" s="24">
        <v>0</v>
      </c>
      <c r="CF27" s="19">
        <f>+Hoja2!CF27+Hoja1!CF27</f>
        <v>0</v>
      </c>
      <c r="CG27" s="24">
        <v>0</v>
      </c>
      <c r="CH27" s="19">
        <f>+Hoja2!CH27+Hoja1!CH27</f>
        <v>0</v>
      </c>
      <c r="CI27" s="24">
        <v>0</v>
      </c>
      <c r="CJ27" s="19">
        <f>+Hoja2!CJ27+Hoja1!CJ27</f>
        <v>0</v>
      </c>
      <c r="CK27" s="24">
        <v>0</v>
      </c>
      <c r="CL27" s="19">
        <f>+Hoja2!CL27+Hoja1!CL27</f>
        <v>0</v>
      </c>
      <c r="CM27" s="24">
        <v>0</v>
      </c>
      <c r="CN27" s="19">
        <f>+Hoja2!CN27+Hoja1!CN27</f>
        <v>0</v>
      </c>
      <c r="CO27" s="24">
        <v>0</v>
      </c>
      <c r="CP27" s="19">
        <f>+Hoja2!CP27+Hoja1!CP27</f>
        <v>0</v>
      </c>
      <c r="CQ27" s="24">
        <v>0</v>
      </c>
      <c r="CR27" s="19">
        <f>+Hoja2!CR27+Hoja1!CR27</f>
        <v>0</v>
      </c>
      <c r="CS27" s="24">
        <v>0</v>
      </c>
      <c r="CT27" s="19">
        <f>+Hoja2!CT27+Hoja1!CT27</f>
        <v>0</v>
      </c>
      <c r="CU27" s="24">
        <v>0</v>
      </c>
      <c r="CV27" s="19">
        <f>+Hoja2!CV27+Hoja1!CV27</f>
        <v>0</v>
      </c>
      <c r="CW27" s="24">
        <v>0</v>
      </c>
      <c r="CX27" s="19">
        <f>+Hoja2!CX27+Hoja1!CX27</f>
        <v>0</v>
      </c>
      <c r="CY27" s="24">
        <v>0</v>
      </c>
      <c r="CZ27" s="19">
        <f>+Hoja2!CZ27+Hoja1!CZ27</f>
        <v>229</v>
      </c>
      <c r="DA27" s="24">
        <v>0</v>
      </c>
      <c r="DB27" s="19">
        <f>+Hoja2!DB27+Hoja1!DB27</f>
        <v>0</v>
      </c>
      <c r="DC27" s="24">
        <v>0</v>
      </c>
      <c r="DD27" s="19">
        <f>+Hoja2!DD27+Hoja1!DD27</f>
        <v>0</v>
      </c>
      <c r="DE27" s="24">
        <v>0</v>
      </c>
      <c r="DF27" s="19">
        <f>+Hoja2!DF27+Hoja1!DF27</f>
        <v>0</v>
      </c>
      <c r="DG27" s="24">
        <v>0</v>
      </c>
      <c r="DH27" s="19">
        <f>+Hoja2!DH27+Hoja1!DH27</f>
        <v>0</v>
      </c>
      <c r="DI27" s="24">
        <v>0</v>
      </c>
      <c r="DJ27" s="19">
        <f>+Hoja2!DJ27+Hoja1!DJ27</f>
        <v>0</v>
      </c>
      <c r="DK27" s="24">
        <v>0</v>
      </c>
      <c r="DL27" s="19">
        <f>+Hoja2!DL27+Hoja1!DL27</f>
        <v>0</v>
      </c>
      <c r="DM27" s="24">
        <v>0</v>
      </c>
      <c r="DN27" s="19">
        <f>+Hoja2!DN27+Hoja1!DN27</f>
        <v>0</v>
      </c>
      <c r="DO27" s="24">
        <v>0</v>
      </c>
      <c r="DP27" s="19">
        <f>+Hoja2!DP27+Hoja1!DP27</f>
        <v>320</v>
      </c>
      <c r="DQ27" s="24">
        <v>0</v>
      </c>
      <c r="DR27" s="19">
        <f>+Hoja2!DR27+Hoja1!DR27</f>
        <v>0</v>
      </c>
      <c r="DS27" s="24">
        <v>0</v>
      </c>
      <c r="DT27" s="19">
        <f>+Hoja2!DT27+Hoja1!DT27</f>
        <v>0</v>
      </c>
      <c r="DU27" s="24">
        <v>0</v>
      </c>
      <c r="DV27" s="19">
        <f>+Hoja2!DV27+Hoja1!DV27</f>
        <v>0</v>
      </c>
      <c r="DW27" s="24">
        <v>0</v>
      </c>
      <c r="DX27" s="19">
        <f>+Hoja2!DX27+Hoja1!DX27</f>
        <v>0</v>
      </c>
      <c r="DY27" s="24">
        <v>0</v>
      </c>
      <c r="DZ27" s="19">
        <f>+Hoja2!DZ27+Hoja1!DZ27</f>
        <v>0</v>
      </c>
      <c r="EA27" s="24">
        <v>0</v>
      </c>
      <c r="EB27" s="19">
        <f>+Hoja2!EB27+Hoja1!EB27</f>
        <v>0</v>
      </c>
      <c r="EC27" s="24">
        <v>0</v>
      </c>
      <c r="ED27" s="19">
        <f>+Hoja2!ED27+Hoja1!ED27</f>
        <v>0</v>
      </c>
      <c r="EE27" s="24">
        <v>0</v>
      </c>
      <c r="EF27" s="19">
        <f>+Hoja2!EF27+Hoja1!EF27</f>
        <v>0</v>
      </c>
      <c r="EG27" s="24">
        <v>0</v>
      </c>
      <c r="EH27" s="19">
        <f>+Hoja2!EH27+Hoja1!EH27</f>
        <v>0</v>
      </c>
      <c r="EI27" s="24">
        <v>0</v>
      </c>
      <c r="EJ27" s="19">
        <f>+Hoja2!EJ27+Hoja1!EJ27</f>
        <v>0</v>
      </c>
      <c r="EK27" s="24">
        <v>0</v>
      </c>
      <c r="EL27" s="19">
        <f>+Hoja2!EL27+Hoja1!EL27</f>
        <v>0</v>
      </c>
      <c r="EM27" s="24">
        <v>0</v>
      </c>
      <c r="EN27" s="19">
        <f>+Hoja2!EN27+Hoja1!EN27</f>
        <v>0</v>
      </c>
      <c r="EO27" s="24">
        <v>0</v>
      </c>
      <c r="EP27" s="19">
        <f>+Hoja2!EP27+Hoja1!EP27</f>
        <v>0</v>
      </c>
      <c r="EQ27" s="24">
        <v>0</v>
      </c>
      <c r="ER27" s="19">
        <f>+Hoja2!ER27+Hoja1!ER27</f>
        <v>0</v>
      </c>
      <c r="ES27" s="24">
        <v>0</v>
      </c>
      <c r="ET27" s="19">
        <f>+Hoja2!ET27+Hoja1!ET27</f>
        <v>0</v>
      </c>
      <c r="EU27" s="24">
        <v>0</v>
      </c>
    </row>
    <row r="28" spans="1:151" x14ac:dyDescent="0.25">
      <c r="A28" s="24" t="s">
        <v>43</v>
      </c>
      <c r="B28" s="25">
        <v>40</v>
      </c>
      <c r="C28" s="24" t="s">
        <v>49</v>
      </c>
      <c r="D28" s="24">
        <v>153342</v>
      </c>
      <c r="E28" s="26">
        <v>319</v>
      </c>
      <c r="F28" s="26">
        <v>116131</v>
      </c>
      <c r="G28" s="26">
        <v>3361</v>
      </c>
      <c r="H28" s="26">
        <v>119492</v>
      </c>
      <c r="I28">
        <v>516</v>
      </c>
      <c r="J28" s="19">
        <f>+INT(([1]Hoja1!M28/[1]Hoja1!O28)*M28)</f>
        <v>7350077</v>
      </c>
      <c r="K28" s="19">
        <f>+INT(([1]Hoja1!N28/[1]Hoja1!O28)*M28)</f>
        <v>7263213</v>
      </c>
      <c r="L28" s="19">
        <f t="shared" si="1"/>
        <v>88276</v>
      </c>
      <c r="M28" s="19">
        <f t="shared" si="2"/>
        <v>86864</v>
      </c>
      <c r="N28" s="22">
        <f t="shared" si="0"/>
        <v>85859</v>
      </c>
      <c r="O28" s="26">
        <v>1005</v>
      </c>
      <c r="P28" s="26">
        <v>1412</v>
      </c>
      <c r="Q28" s="22">
        <f t="shared" si="3"/>
        <v>3</v>
      </c>
      <c r="R28" s="19">
        <f>+Hoja2!R28+Hoja1!R28</f>
        <v>27180</v>
      </c>
      <c r="S28" s="24">
        <v>1</v>
      </c>
      <c r="T28" s="19">
        <f>+Hoja2!T28+Hoja1!T28</f>
        <v>34106</v>
      </c>
      <c r="U28" s="24">
        <v>1</v>
      </c>
      <c r="V28" s="19">
        <f>+Hoja2!V28+Hoja1!V28</f>
        <v>14860</v>
      </c>
      <c r="W28" s="24">
        <v>1</v>
      </c>
      <c r="X28" s="19">
        <f>+Hoja2!X28+Hoja1!X28</f>
        <v>8296</v>
      </c>
      <c r="Y28" s="24">
        <v>0</v>
      </c>
      <c r="Z28" s="19">
        <f>+Hoja2!Z28+Hoja1!Z28</f>
        <v>0</v>
      </c>
      <c r="AA28" s="24">
        <v>0</v>
      </c>
      <c r="AB28" s="19">
        <f>+Hoja2!AB28+Hoja1!AB28</f>
        <v>0</v>
      </c>
      <c r="AC28" s="24">
        <v>0</v>
      </c>
      <c r="AD28" s="19">
        <f>+Hoja2!AD28+Hoja1!AD28</f>
        <v>0</v>
      </c>
      <c r="AE28" s="24">
        <v>0</v>
      </c>
      <c r="AF28" s="19">
        <f>+Hoja2!AF28+Hoja1!AF28</f>
        <v>0</v>
      </c>
      <c r="AG28" s="24">
        <v>0</v>
      </c>
      <c r="AH28" s="19">
        <f>+Hoja2!AH28+Hoja1!AH28</f>
        <v>0</v>
      </c>
      <c r="AI28" s="24">
        <v>0</v>
      </c>
      <c r="AJ28" s="19">
        <f>+Hoja2!AJ28+Hoja1!AJ28</f>
        <v>0</v>
      </c>
      <c r="AK28" s="24">
        <v>0</v>
      </c>
      <c r="AL28" s="19">
        <f>+Hoja2!AL28+Hoja1!AL28</f>
        <v>0</v>
      </c>
      <c r="AM28" s="24">
        <v>0</v>
      </c>
      <c r="AN28" s="19">
        <f>+Hoja2!AN28+Hoja1!AN28</f>
        <v>0</v>
      </c>
      <c r="AO28" s="24">
        <v>0</v>
      </c>
      <c r="AP28" s="19">
        <f>+Hoja2!AP28+Hoja1!AP28</f>
        <v>0</v>
      </c>
      <c r="AQ28" s="24">
        <v>0</v>
      </c>
      <c r="AR28" s="19">
        <f>+Hoja2!AR28+Hoja1!AR28</f>
        <v>0</v>
      </c>
      <c r="AS28" s="24">
        <v>0</v>
      </c>
      <c r="AT28" s="19">
        <f>+Hoja2!AT28+Hoja1!AT28</f>
        <v>0</v>
      </c>
      <c r="AU28" s="24">
        <v>0</v>
      </c>
      <c r="AV28" s="19">
        <f>+Hoja2!AV28+Hoja1!AV28</f>
        <v>0</v>
      </c>
      <c r="AW28" s="24">
        <v>0</v>
      </c>
      <c r="AX28" s="19">
        <f>+Hoja2!AX28+Hoja1!AX28</f>
        <v>0</v>
      </c>
      <c r="AY28" s="24">
        <v>0</v>
      </c>
      <c r="AZ28" s="19">
        <f>+Hoja2!AZ28+Hoja1!AZ28</f>
        <v>0</v>
      </c>
      <c r="BA28" s="24">
        <v>0</v>
      </c>
      <c r="BB28" s="19">
        <f>+Hoja2!BB28+Hoja1!BB28</f>
        <v>0</v>
      </c>
      <c r="BC28" s="24">
        <v>0</v>
      </c>
      <c r="BD28" s="19">
        <f>+Hoja2!BD28+Hoja1!BD28</f>
        <v>459</v>
      </c>
      <c r="BE28" s="24">
        <v>0</v>
      </c>
      <c r="BF28" s="19">
        <f>+Hoja2!BF28+Hoja1!BF28</f>
        <v>0</v>
      </c>
      <c r="BG28" s="24">
        <v>0</v>
      </c>
      <c r="BH28" s="19">
        <f>+Hoja2!BH28+Hoja1!BH28</f>
        <v>190</v>
      </c>
      <c r="BI28" s="24">
        <v>0</v>
      </c>
      <c r="BJ28" s="19">
        <f>+Hoja2!BJ28+Hoja1!BJ28</f>
        <v>132</v>
      </c>
      <c r="BK28" s="24">
        <v>0</v>
      </c>
      <c r="BL28" s="19">
        <f>+Hoja2!BL28+Hoja1!BL28</f>
        <v>0</v>
      </c>
      <c r="BM28" s="24">
        <v>0</v>
      </c>
      <c r="BN28" s="19">
        <f>+Hoja2!BN28+Hoja1!BN28</f>
        <v>0</v>
      </c>
      <c r="BO28" s="24">
        <v>0</v>
      </c>
      <c r="BP28" s="19">
        <f>+Hoja2!BP28+Hoja1!BP28</f>
        <v>0</v>
      </c>
      <c r="BQ28" s="24">
        <v>0</v>
      </c>
      <c r="BR28" s="19">
        <f>+Hoja2!BR28+Hoja1!BR28</f>
        <v>0</v>
      </c>
      <c r="BS28" s="24">
        <v>0</v>
      </c>
      <c r="BT28" s="19">
        <f>+Hoja2!BT28+Hoja1!BT28</f>
        <v>70</v>
      </c>
      <c r="BU28" s="24">
        <v>0</v>
      </c>
      <c r="BV28" s="19">
        <f>+Hoja2!BV28+Hoja1!BV28</f>
        <v>0</v>
      </c>
      <c r="BW28" s="24">
        <v>0</v>
      </c>
      <c r="BX28" s="19">
        <f>+Hoja2!BX28+Hoja1!BX28</f>
        <v>0</v>
      </c>
      <c r="BY28" s="24">
        <v>0</v>
      </c>
      <c r="BZ28" s="19">
        <f>+Hoja2!BZ28+Hoja1!BZ28</f>
        <v>181</v>
      </c>
      <c r="CA28" s="24">
        <v>0</v>
      </c>
      <c r="CB28" s="19">
        <f>+Hoja2!CB28+Hoja1!CB28</f>
        <v>0</v>
      </c>
      <c r="CC28" s="24">
        <v>0</v>
      </c>
      <c r="CD28" s="19">
        <f>+Hoja2!CD28+Hoja1!CD28</f>
        <v>0</v>
      </c>
      <c r="CE28" s="24">
        <v>0</v>
      </c>
      <c r="CF28" s="19">
        <f>+Hoja2!CF28+Hoja1!CF28</f>
        <v>0</v>
      </c>
      <c r="CG28" s="24">
        <v>0</v>
      </c>
      <c r="CH28" s="19">
        <f>+Hoja2!CH28+Hoja1!CH28</f>
        <v>0</v>
      </c>
      <c r="CI28" s="24">
        <v>0</v>
      </c>
      <c r="CJ28" s="19">
        <f>+Hoja2!CJ28+Hoja1!CJ28</f>
        <v>0</v>
      </c>
      <c r="CK28" s="24">
        <v>0</v>
      </c>
      <c r="CL28" s="19">
        <f>+Hoja2!CL28+Hoja1!CL28</f>
        <v>0</v>
      </c>
      <c r="CM28" s="24">
        <v>0</v>
      </c>
      <c r="CN28" s="19">
        <f>+Hoja2!CN28+Hoja1!CN28</f>
        <v>0</v>
      </c>
      <c r="CO28" s="24">
        <v>0</v>
      </c>
      <c r="CP28" s="19">
        <f>+Hoja2!CP28+Hoja1!CP28</f>
        <v>0</v>
      </c>
      <c r="CQ28" s="24">
        <v>0</v>
      </c>
      <c r="CR28" s="19">
        <f>+Hoja2!CR28+Hoja1!CR28</f>
        <v>0</v>
      </c>
      <c r="CS28" s="24">
        <v>0</v>
      </c>
      <c r="CT28" s="19">
        <f>+Hoja2!CT28+Hoja1!CT28</f>
        <v>0</v>
      </c>
      <c r="CU28" s="24">
        <v>0</v>
      </c>
      <c r="CV28" s="19">
        <f>+Hoja2!CV28+Hoja1!CV28</f>
        <v>0</v>
      </c>
      <c r="CW28" s="24">
        <v>0</v>
      </c>
      <c r="CX28" s="19">
        <f>+Hoja2!CX28+Hoja1!CX28</f>
        <v>0</v>
      </c>
      <c r="CY28" s="24">
        <v>0</v>
      </c>
      <c r="CZ28" s="19">
        <f>+Hoja2!CZ28+Hoja1!CZ28</f>
        <v>0</v>
      </c>
      <c r="DA28" s="24">
        <v>0</v>
      </c>
      <c r="DB28" s="19">
        <f>+Hoja2!DB28+Hoja1!DB28</f>
        <v>0</v>
      </c>
      <c r="DC28" s="24">
        <v>0</v>
      </c>
      <c r="DD28" s="19">
        <f>+Hoja2!DD28+Hoja1!DD28</f>
        <v>0</v>
      </c>
      <c r="DE28" s="24">
        <v>0</v>
      </c>
      <c r="DF28" s="19">
        <f>+Hoja2!DF28+Hoja1!DF28</f>
        <v>0</v>
      </c>
      <c r="DG28" s="24">
        <v>0</v>
      </c>
      <c r="DH28" s="19">
        <f>+Hoja2!DH28+Hoja1!DH28</f>
        <v>114</v>
      </c>
      <c r="DI28" s="24">
        <v>0</v>
      </c>
      <c r="DJ28" s="19">
        <f>+Hoja2!DJ28+Hoja1!DJ28</f>
        <v>37</v>
      </c>
      <c r="DK28" s="24">
        <v>0</v>
      </c>
      <c r="DL28" s="19">
        <f>+Hoja2!DL28+Hoja1!DL28</f>
        <v>0</v>
      </c>
      <c r="DM28" s="24">
        <v>0</v>
      </c>
      <c r="DN28" s="19">
        <f>+Hoja2!DN28+Hoja1!DN28</f>
        <v>0</v>
      </c>
      <c r="DO28" s="24">
        <v>0</v>
      </c>
      <c r="DP28" s="19">
        <f>+Hoja2!DP28+Hoja1!DP28</f>
        <v>0</v>
      </c>
      <c r="DQ28" s="24">
        <v>0</v>
      </c>
      <c r="DR28" s="19">
        <f>+Hoja2!DR28+Hoja1!DR28</f>
        <v>0</v>
      </c>
      <c r="DS28" s="24">
        <v>0</v>
      </c>
      <c r="DT28" s="19">
        <f>+Hoja2!DT28+Hoja1!DT28</f>
        <v>0</v>
      </c>
      <c r="DU28" s="24">
        <v>0</v>
      </c>
      <c r="DV28" s="19">
        <f>+Hoja2!DV28+Hoja1!DV28</f>
        <v>0</v>
      </c>
      <c r="DW28" s="24">
        <v>0</v>
      </c>
      <c r="DX28" s="19">
        <f>+Hoja2!DX28+Hoja1!DX28</f>
        <v>0</v>
      </c>
      <c r="DY28" s="24">
        <v>0</v>
      </c>
      <c r="DZ28" s="19">
        <f>+Hoja2!DZ28+Hoja1!DZ28</f>
        <v>0</v>
      </c>
      <c r="EA28" s="24">
        <v>0</v>
      </c>
      <c r="EB28" s="19">
        <f>+Hoja2!EB28+Hoja1!EB28</f>
        <v>0</v>
      </c>
      <c r="EC28" s="24">
        <v>0</v>
      </c>
      <c r="ED28" s="19">
        <f>+Hoja2!ED28+Hoja1!ED28</f>
        <v>0</v>
      </c>
      <c r="EE28" s="24">
        <v>0</v>
      </c>
      <c r="EF28" s="19">
        <f>+Hoja2!EF28+Hoja1!EF28</f>
        <v>0</v>
      </c>
      <c r="EG28" s="24">
        <v>0</v>
      </c>
      <c r="EH28" s="19">
        <f>+Hoja2!EH28+Hoja1!EH28</f>
        <v>0</v>
      </c>
      <c r="EI28" s="24">
        <v>0</v>
      </c>
      <c r="EJ28" s="19">
        <f>+Hoja2!EJ28+Hoja1!EJ28</f>
        <v>0</v>
      </c>
      <c r="EK28" s="24">
        <v>0</v>
      </c>
      <c r="EL28" s="19">
        <f>+Hoja2!EL28+Hoja1!EL28</f>
        <v>234</v>
      </c>
      <c r="EM28" s="24">
        <v>0</v>
      </c>
      <c r="EN28" s="19">
        <f>+Hoja2!EN28+Hoja1!EN28</f>
        <v>0</v>
      </c>
      <c r="EO28" s="24">
        <v>0</v>
      </c>
      <c r="EP28" s="19">
        <f>+Hoja2!EP28+Hoja1!EP28</f>
        <v>0</v>
      </c>
      <c r="EQ28" s="24">
        <v>0</v>
      </c>
      <c r="ER28" s="19">
        <f>+Hoja2!ER28+Hoja1!ER28</f>
        <v>0</v>
      </c>
      <c r="ES28" s="24">
        <v>0</v>
      </c>
      <c r="ET28" s="19">
        <f>+Hoja2!ET28+Hoja1!ET28</f>
        <v>0</v>
      </c>
      <c r="EU28" s="24">
        <v>0</v>
      </c>
    </row>
    <row r="29" spans="1:151" x14ac:dyDescent="0.25">
      <c r="A29" s="24" t="s">
        <v>43</v>
      </c>
      <c r="B29" s="25">
        <v>42</v>
      </c>
      <c r="C29" s="24" t="s">
        <v>50</v>
      </c>
      <c r="D29" s="24">
        <v>88600</v>
      </c>
      <c r="E29" s="26">
        <v>255</v>
      </c>
      <c r="F29" s="26">
        <v>69905</v>
      </c>
      <c r="G29" s="26">
        <v>6922</v>
      </c>
      <c r="H29" s="26">
        <v>76827</v>
      </c>
      <c r="I29">
        <v>550</v>
      </c>
      <c r="J29" s="19">
        <f>+INT(([1]Hoja1!M29/[1]Hoja1!O29)*M29)</f>
        <v>3060163</v>
      </c>
      <c r="K29" s="19">
        <f>+INT(([1]Hoja1!N29/[1]Hoja1!O29)*M29)</f>
        <v>3012622</v>
      </c>
      <c r="L29" s="19">
        <f t="shared" si="1"/>
        <v>48379</v>
      </c>
      <c r="M29" s="19">
        <f t="shared" si="2"/>
        <v>47541</v>
      </c>
      <c r="N29" s="22">
        <f t="shared" si="0"/>
        <v>46820</v>
      </c>
      <c r="O29" s="26">
        <v>721</v>
      </c>
      <c r="P29" s="26">
        <v>838</v>
      </c>
      <c r="Q29" s="22">
        <f t="shared" si="3"/>
        <v>2</v>
      </c>
      <c r="R29" s="19">
        <f>+Hoja2!R29+Hoja1!R29</f>
        <v>17112</v>
      </c>
      <c r="S29" s="24">
        <v>1</v>
      </c>
      <c r="T29" s="19">
        <f>+Hoja2!T29+Hoja1!T29</f>
        <v>17687</v>
      </c>
      <c r="U29" s="24">
        <v>1</v>
      </c>
      <c r="V29" s="19">
        <f>+Hoja2!V29+Hoja1!V29</f>
        <v>6389</v>
      </c>
      <c r="W29" s="24">
        <v>0</v>
      </c>
      <c r="X29" s="19">
        <f>+Hoja2!X29+Hoja1!X29</f>
        <v>3692</v>
      </c>
      <c r="Y29" s="24">
        <v>0</v>
      </c>
      <c r="Z29" s="19">
        <f>+Hoja2!Z29+Hoja1!Z29</f>
        <v>0</v>
      </c>
      <c r="AA29" s="24">
        <v>0</v>
      </c>
      <c r="AB29" s="19">
        <f>+Hoja2!AB29+Hoja1!AB29</f>
        <v>0</v>
      </c>
      <c r="AC29" s="24">
        <v>0</v>
      </c>
      <c r="AD29" s="19">
        <f>+Hoja2!AD29+Hoja1!AD29</f>
        <v>0</v>
      </c>
      <c r="AE29" s="24">
        <v>0</v>
      </c>
      <c r="AF29" s="19">
        <f>+Hoja2!AF29+Hoja1!AF29</f>
        <v>0</v>
      </c>
      <c r="AG29" s="24">
        <v>0</v>
      </c>
      <c r="AH29" s="19">
        <f>+Hoja2!AH29+Hoja1!AH29</f>
        <v>0</v>
      </c>
      <c r="AI29" s="24">
        <v>0</v>
      </c>
      <c r="AJ29" s="19">
        <f>+Hoja2!AJ29+Hoja1!AJ29</f>
        <v>0</v>
      </c>
      <c r="AK29" s="24">
        <v>0</v>
      </c>
      <c r="AL29" s="19">
        <f>+Hoja2!AL29+Hoja1!AL29</f>
        <v>0</v>
      </c>
      <c r="AM29" s="24">
        <v>0</v>
      </c>
      <c r="AN29" s="19">
        <f>+Hoja2!AN29+Hoja1!AN29</f>
        <v>0</v>
      </c>
      <c r="AO29" s="24">
        <v>0</v>
      </c>
      <c r="AP29" s="19">
        <f>+Hoja2!AP29+Hoja1!AP29</f>
        <v>0</v>
      </c>
      <c r="AQ29" s="24">
        <v>0</v>
      </c>
      <c r="AR29" s="19">
        <f>+Hoja2!AR29+Hoja1!AR29</f>
        <v>0</v>
      </c>
      <c r="AS29" s="24">
        <v>0</v>
      </c>
      <c r="AT29" s="19">
        <f>+Hoja2!AT29+Hoja1!AT29</f>
        <v>0</v>
      </c>
      <c r="AU29" s="24">
        <v>0</v>
      </c>
      <c r="AV29" s="19">
        <f>+Hoja2!AV29+Hoja1!AV29</f>
        <v>0</v>
      </c>
      <c r="AW29" s="24">
        <v>0</v>
      </c>
      <c r="AX29" s="19">
        <f>+Hoja2!AX29+Hoja1!AX29</f>
        <v>0</v>
      </c>
      <c r="AY29" s="24">
        <v>0</v>
      </c>
      <c r="AZ29" s="19">
        <f>+Hoja2!AZ29+Hoja1!AZ29</f>
        <v>0</v>
      </c>
      <c r="BA29" s="24">
        <v>0</v>
      </c>
      <c r="BB29" s="19">
        <f>+Hoja2!BB29+Hoja1!BB29</f>
        <v>0</v>
      </c>
      <c r="BC29" s="24">
        <v>0</v>
      </c>
      <c r="BD29" s="19">
        <f>+Hoja2!BD29+Hoja1!BD29</f>
        <v>203</v>
      </c>
      <c r="BE29" s="24">
        <v>0</v>
      </c>
      <c r="BF29" s="19">
        <f>+Hoja2!BF29+Hoja1!BF29</f>
        <v>0</v>
      </c>
      <c r="BG29" s="24">
        <v>0</v>
      </c>
      <c r="BH29" s="19">
        <f>+Hoja2!BH29+Hoja1!BH29</f>
        <v>94</v>
      </c>
      <c r="BI29" s="24">
        <v>0</v>
      </c>
      <c r="BJ29" s="19">
        <f>+Hoja2!BJ29+Hoja1!BJ29</f>
        <v>94</v>
      </c>
      <c r="BK29" s="24">
        <v>0</v>
      </c>
      <c r="BL29" s="19">
        <f>+Hoja2!BL29+Hoja1!BL29</f>
        <v>0</v>
      </c>
      <c r="BM29" s="24">
        <v>0</v>
      </c>
      <c r="BN29" s="19">
        <f>+Hoja2!BN29+Hoja1!BN29</f>
        <v>0</v>
      </c>
      <c r="BO29" s="24">
        <v>0</v>
      </c>
      <c r="BP29" s="19">
        <f>+Hoja2!BP29+Hoja1!BP29</f>
        <v>0</v>
      </c>
      <c r="BQ29" s="24">
        <v>0</v>
      </c>
      <c r="BR29" s="19">
        <f>+Hoja2!BR29+Hoja1!BR29</f>
        <v>0</v>
      </c>
      <c r="BS29" s="24">
        <v>0</v>
      </c>
      <c r="BT29" s="19">
        <f>+Hoja2!BT29+Hoja1!BT29</f>
        <v>91</v>
      </c>
      <c r="BU29" s="24">
        <v>0</v>
      </c>
      <c r="BV29" s="19">
        <f>+Hoja2!BV29+Hoja1!BV29</f>
        <v>0</v>
      </c>
      <c r="BW29" s="24">
        <v>0</v>
      </c>
      <c r="BX29" s="19">
        <f>+Hoja2!BX29+Hoja1!BX29</f>
        <v>0</v>
      </c>
      <c r="BY29" s="24">
        <v>0</v>
      </c>
      <c r="BZ29" s="19">
        <f>+Hoja2!BZ29+Hoja1!BZ29</f>
        <v>0</v>
      </c>
      <c r="CA29" s="24">
        <v>0</v>
      </c>
      <c r="CB29" s="19">
        <f>+Hoja2!CB29+Hoja1!CB29</f>
        <v>0</v>
      </c>
      <c r="CC29" s="24">
        <v>0</v>
      </c>
      <c r="CD29" s="19">
        <f>+Hoja2!CD29+Hoja1!CD29</f>
        <v>0</v>
      </c>
      <c r="CE29" s="24">
        <v>0</v>
      </c>
      <c r="CF29" s="19">
        <f>+Hoja2!CF29+Hoja1!CF29</f>
        <v>0</v>
      </c>
      <c r="CG29" s="24">
        <v>0</v>
      </c>
      <c r="CH29" s="19">
        <f>+Hoja2!CH29+Hoja1!CH29</f>
        <v>0</v>
      </c>
      <c r="CI29" s="24">
        <v>0</v>
      </c>
      <c r="CJ29" s="19">
        <f>+Hoja2!CJ29+Hoja1!CJ29</f>
        <v>0</v>
      </c>
      <c r="CK29" s="24">
        <v>0</v>
      </c>
      <c r="CL29" s="19">
        <f>+Hoja2!CL29+Hoja1!CL29</f>
        <v>0</v>
      </c>
      <c r="CM29" s="24">
        <v>0</v>
      </c>
      <c r="CN29" s="19">
        <f>+Hoja2!CN29+Hoja1!CN29</f>
        <v>0</v>
      </c>
      <c r="CO29" s="24">
        <v>0</v>
      </c>
      <c r="CP29" s="19">
        <f>+Hoja2!CP29+Hoja1!CP29</f>
        <v>0</v>
      </c>
      <c r="CQ29" s="24">
        <v>0</v>
      </c>
      <c r="CR29" s="19">
        <f>+Hoja2!CR29+Hoja1!CR29</f>
        <v>0</v>
      </c>
      <c r="CS29" s="24">
        <v>0</v>
      </c>
      <c r="CT29" s="19">
        <f>+Hoja2!CT29+Hoja1!CT29</f>
        <v>0</v>
      </c>
      <c r="CU29" s="24">
        <v>0</v>
      </c>
      <c r="CV29" s="19">
        <f>+Hoja2!CV29+Hoja1!CV29</f>
        <v>0</v>
      </c>
      <c r="CW29" s="24">
        <v>0</v>
      </c>
      <c r="CX29" s="19">
        <f>+Hoja2!CX29+Hoja1!CX29</f>
        <v>0</v>
      </c>
      <c r="CY29" s="24">
        <v>0</v>
      </c>
      <c r="CZ29" s="19">
        <f>+Hoja2!CZ29+Hoja1!CZ29</f>
        <v>0</v>
      </c>
      <c r="DA29" s="24">
        <v>0</v>
      </c>
      <c r="DB29" s="19">
        <f>+Hoja2!DB29+Hoja1!DB29</f>
        <v>0</v>
      </c>
      <c r="DC29" s="24">
        <v>0</v>
      </c>
      <c r="DD29" s="19">
        <f>+Hoja2!DD29+Hoja1!DD29</f>
        <v>1458</v>
      </c>
      <c r="DE29" s="24">
        <v>0</v>
      </c>
      <c r="DF29" s="19">
        <f>+Hoja2!DF29+Hoja1!DF29</f>
        <v>0</v>
      </c>
      <c r="DG29" s="24">
        <v>0</v>
      </c>
      <c r="DH29" s="19">
        <f>+Hoja2!DH29+Hoja1!DH29</f>
        <v>0</v>
      </c>
      <c r="DI29" s="24">
        <v>0</v>
      </c>
      <c r="DJ29" s="19">
        <f>+Hoja2!DJ29+Hoja1!DJ29</f>
        <v>0</v>
      </c>
      <c r="DK29" s="24">
        <v>0</v>
      </c>
      <c r="DL29" s="19">
        <f>+Hoja2!DL29+Hoja1!DL29</f>
        <v>0</v>
      </c>
      <c r="DM29" s="24">
        <v>0</v>
      </c>
      <c r="DN29" s="19">
        <f>+Hoja2!DN29+Hoja1!DN29</f>
        <v>0</v>
      </c>
      <c r="DO29" s="24">
        <v>0</v>
      </c>
      <c r="DP29" s="19">
        <f>+Hoja2!DP29+Hoja1!DP29</f>
        <v>0</v>
      </c>
      <c r="DQ29" s="24">
        <v>0</v>
      </c>
      <c r="DR29" s="19">
        <f>+Hoja2!DR29+Hoja1!DR29</f>
        <v>0</v>
      </c>
      <c r="DS29" s="24">
        <v>0</v>
      </c>
      <c r="DT29" s="19">
        <f>+Hoja2!DT29+Hoja1!DT29</f>
        <v>0</v>
      </c>
      <c r="DU29" s="24">
        <v>0</v>
      </c>
      <c r="DV29" s="19">
        <f>+Hoja2!DV29+Hoja1!DV29</f>
        <v>0</v>
      </c>
      <c r="DW29" s="24">
        <v>0</v>
      </c>
      <c r="DX29" s="19">
        <f>+Hoja2!DX29+Hoja1!DX29</f>
        <v>0</v>
      </c>
      <c r="DY29" s="24">
        <v>0</v>
      </c>
      <c r="DZ29" s="19">
        <f>+Hoja2!DZ29+Hoja1!DZ29</f>
        <v>0</v>
      </c>
      <c r="EA29" s="24">
        <v>0</v>
      </c>
      <c r="EB29" s="19">
        <f>+Hoja2!EB29+Hoja1!EB29</f>
        <v>0</v>
      </c>
      <c r="EC29" s="24">
        <v>0</v>
      </c>
      <c r="ED29" s="19">
        <f>+Hoja2!ED29+Hoja1!ED29</f>
        <v>0</v>
      </c>
      <c r="EE29" s="24">
        <v>0</v>
      </c>
      <c r="EF29" s="19">
        <f>+Hoja2!EF29+Hoja1!EF29</f>
        <v>0</v>
      </c>
      <c r="EG29" s="24">
        <v>0</v>
      </c>
      <c r="EH29" s="19">
        <f>+Hoja2!EH29+Hoja1!EH29</f>
        <v>0</v>
      </c>
      <c r="EI29" s="24">
        <v>0</v>
      </c>
      <c r="EJ29" s="19">
        <f>+Hoja2!EJ29+Hoja1!EJ29</f>
        <v>0</v>
      </c>
      <c r="EK29" s="24">
        <v>0</v>
      </c>
      <c r="EL29" s="19">
        <f>+Hoja2!EL29+Hoja1!EL29</f>
        <v>0</v>
      </c>
      <c r="EM29" s="24">
        <v>0</v>
      </c>
      <c r="EN29" s="19">
        <f>+Hoja2!EN29+Hoja1!EN29</f>
        <v>0</v>
      </c>
      <c r="EO29" s="24">
        <v>0</v>
      </c>
      <c r="EP29" s="19">
        <f>+Hoja2!EP29+Hoja1!EP29</f>
        <v>0</v>
      </c>
      <c r="EQ29" s="24">
        <v>0</v>
      </c>
      <c r="ER29" s="19">
        <f>+Hoja2!ER29+Hoja1!ER29</f>
        <v>0</v>
      </c>
      <c r="ES29" s="24">
        <v>0</v>
      </c>
      <c r="ET29" s="19">
        <f>+Hoja2!ET29+Hoja1!ET29</f>
        <v>0</v>
      </c>
      <c r="EU29" s="24">
        <v>0</v>
      </c>
    </row>
    <row r="30" spans="1:151" x14ac:dyDescent="0.25">
      <c r="A30" s="24" t="s">
        <v>43</v>
      </c>
      <c r="B30" s="25">
        <v>47</v>
      </c>
      <c r="C30" s="24" t="s">
        <v>51</v>
      </c>
      <c r="D30" s="24">
        <v>519851</v>
      </c>
      <c r="E30" s="26">
        <v>769</v>
      </c>
      <c r="F30" s="26">
        <v>418782</v>
      </c>
      <c r="G30" s="26">
        <v>13873</v>
      </c>
      <c r="H30" s="26">
        <v>432655</v>
      </c>
      <c r="I30" s="1">
        <v>2577</v>
      </c>
      <c r="J30" s="19">
        <f>+INT(([1]Hoja1!M30/[1]Hoja1!O30)*M30)</f>
        <v>31488227</v>
      </c>
      <c r="K30" s="19">
        <f>+INT(([1]Hoja1!N30/[1]Hoja1!O30)*M30)</f>
        <v>31170063</v>
      </c>
      <c r="L30" s="19">
        <f t="shared" si="1"/>
        <v>321497</v>
      </c>
      <c r="M30" s="19">
        <f t="shared" si="2"/>
        <v>318164</v>
      </c>
      <c r="N30" s="22">
        <f t="shared" si="0"/>
        <v>315017</v>
      </c>
      <c r="O30" s="26">
        <v>3147</v>
      </c>
      <c r="P30" s="26">
        <v>3333</v>
      </c>
      <c r="Q30" s="22">
        <f t="shared" si="3"/>
        <v>5</v>
      </c>
      <c r="R30" s="19">
        <f>+Hoja2!R30+Hoja1!R30</f>
        <v>101797</v>
      </c>
      <c r="S30" s="24">
        <v>2</v>
      </c>
      <c r="T30" s="19">
        <f>+Hoja2!T30+Hoja1!T30</f>
        <v>115251</v>
      </c>
      <c r="U30" s="24">
        <v>2</v>
      </c>
      <c r="V30" s="19">
        <f>+Hoja2!V30+Hoja1!V30</f>
        <v>57480</v>
      </c>
      <c r="W30" s="24">
        <v>1</v>
      </c>
      <c r="X30" s="19">
        <f>+Hoja2!X30+Hoja1!X30</f>
        <v>36028</v>
      </c>
      <c r="Y30" s="24">
        <v>0</v>
      </c>
      <c r="Z30" s="19">
        <f>+Hoja2!Z30+Hoja1!Z30</f>
        <v>0</v>
      </c>
      <c r="AA30" s="24">
        <v>0</v>
      </c>
      <c r="AB30" s="19">
        <f>+Hoja2!AB30+Hoja1!AB30</f>
        <v>0</v>
      </c>
      <c r="AC30" s="24">
        <v>0</v>
      </c>
      <c r="AD30" s="19">
        <f>+Hoja2!AD30+Hoja1!AD30</f>
        <v>0</v>
      </c>
      <c r="AE30" s="24">
        <v>0</v>
      </c>
      <c r="AF30" s="19">
        <f>+Hoja2!AF30+Hoja1!AF30</f>
        <v>0</v>
      </c>
      <c r="AG30" s="24">
        <v>0</v>
      </c>
      <c r="AH30" s="19">
        <f>+Hoja2!AH30+Hoja1!AH30</f>
        <v>0</v>
      </c>
      <c r="AI30" s="24">
        <v>0</v>
      </c>
      <c r="AJ30" s="19">
        <f>+Hoja2!AJ30+Hoja1!AJ30</f>
        <v>0</v>
      </c>
      <c r="AK30" s="24">
        <v>0</v>
      </c>
      <c r="AL30" s="19">
        <f>+Hoja2!AL30+Hoja1!AL30</f>
        <v>0</v>
      </c>
      <c r="AM30" s="24">
        <v>0</v>
      </c>
      <c r="AN30" s="19">
        <f>+Hoja2!AN30+Hoja1!AN30</f>
        <v>0</v>
      </c>
      <c r="AO30" s="24">
        <v>0</v>
      </c>
      <c r="AP30" s="19">
        <f>+Hoja2!AP30+Hoja1!AP30</f>
        <v>0</v>
      </c>
      <c r="AQ30" s="24">
        <v>0</v>
      </c>
      <c r="AR30" s="19">
        <f>+Hoja2!AR30+Hoja1!AR30</f>
        <v>0</v>
      </c>
      <c r="AS30" s="24">
        <v>0</v>
      </c>
      <c r="AT30" s="19">
        <f>+Hoja2!AT30+Hoja1!AT30</f>
        <v>0</v>
      </c>
      <c r="AU30" s="24">
        <v>0</v>
      </c>
      <c r="AV30" s="19">
        <f>+Hoja2!AV30+Hoja1!AV30</f>
        <v>0</v>
      </c>
      <c r="AW30" s="24">
        <v>0</v>
      </c>
      <c r="AX30" s="19">
        <f>+Hoja2!AX30+Hoja1!AX30</f>
        <v>0</v>
      </c>
      <c r="AY30" s="24">
        <v>0</v>
      </c>
      <c r="AZ30" s="19">
        <f>+Hoja2!AZ30+Hoja1!AZ30</f>
        <v>0</v>
      </c>
      <c r="BA30" s="24">
        <v>0</v>
      </c>
      <c r="BB30" s="19">
        <f>+Hoja2!BB30+Hoja1!BB30</f>
        <v>0</v>
      </c>
      <c r="BC30" s="24">
        <v>0</v>
      </c>
      <c r="BD30" s="19">
        <f>+Hoja2!BD30+Hoja1!BD30</f>
        <v>2077</v>
      </c>
      <c r="BE30" s="24">
        <v>0</v>
      </c>
      <c r="BF30" s="19">
        <f>+Hoja2!BF30+Hoja1!BF30</f>
        <v>0</v>
      </c>
      <c r="BG30" s="24">
        <v>0</v>
      </c>
      <c r="BH30" s="19">
        <f>+Hoja2!BH30+Hoja1!BH30</f>
        <v>591</v>
      </c>
      <c r="BI30" s="24">
        <v>0</v>
      </c>
      <c r="BJ30" s="19">
        <f>+Hoja2!BJ30+Hoja1!BJ30</f>
        <v>583</v>
      </c>
      <c r="BK30" s="24">
        <v>0</v>
      </c>
      <c r="BL30" s="19">
        <f>+Hoja2!BL30+Hoja1!BL30</f>
        <v>0</v>
      </c>
      <c r="BM30" s="24">
        <v>0</v>
      </c>
      <c r="BN30" s="19">
        <f>+Hoja2!BN30+Hoja1!BN30</f>
        <v>0</v>
      </c>
      <c r="BO30" s="24">
        <v>0</v>
      </c>
      <c r="BP30" s="19">
        <f>+Hoja2!BP30+Hoja1!BP30</f>
        <v>0</v>
      </c>
      <c r="BQ30" s="24">
        <v>0</v>
      </c>
      <c r="BR30" s="19">
        <f>+Hoja2!BR30+Hoja1!BR30</f>
        <v>234</v>
      </c>
      <c r="BS30" s="24">
        <v>0</v>
      </c>
      <c r="BT30" s="19">
        <f>+Hoja2!BT30+Hoja1!BT30</f>
        <v>295</v>
      </c>
      <c r="BU30" s="24">
        <v>0</v>
      </c>
      <c r="BV30" s="19">
        <f>+Hoja2!BV30+Hoja1!BV30</f>
        <v>0</v>
      </c>
      <c r="BW30" s="24">
        <v>0</v>
      </c>
      <c r="BX30" s="19">
        <f>+Hoja2!BX30+Hoja1!BX30</f>
        <v>0</v>
      </c>
      <c r="BY30" s="24">
        <v>0</v>
      </c>
      <c r="BZ30" s="19">
        <f>+Hoja2!BZ30+Hoja1!BZ30</f>
        <v>0</v>
      </c>
      <c r="CA30" s="24">
        <v>0</v>
      </c>
      <c r="CB30" s="19">
        <f>+Hoja2!CB30+Hoja1!CB30</f>
        <v>0</v>
      </c>
      <c r="CC30" s="24">
        <v>0</v>
      </c>
      <c r="CD30" s="19">
        <f>+Hoja2!CD30+Hoja1!CD30</f>
        <v>0</v>
      </c>
      <c r="CE30" s="24">
        <v>0</v>
      </c>
      <c r="CF30" s="19">
        <f>+Hoja2!CF30+Hoja1!CF30</f>
        <v>0</v>
      </c>
      <c r="CG30" s="24">
        <v>0</v>
      </c>
      <c r="CH30" s="19">
        <f>+Hoja2!CH30+Hoja1!CH30</f>
        <v>0</v>
      </c>
      <c r="CI30" s="24">
        <v>0</v>
      </c>
      <c r="CJ30" s="19">
        <f>+Hoja2!CJ30+Hoja1!CJ30</f>
        <v>0</v>
      </c>
      <c r="CK30" s="24">
        <v>0</v>
      </c>
      <c r="CL30" s="19">
        <f>+Hoja2!CL30+Hoja1!CL30</f>
        <v>0</v>
      </c>
      <c r="CM30" s="24">
        <v>0</v>
      </c>
      <c r="CN30" s="19">
        <f>+Hoja2!CN30+Hoja1!CN30</f>
        <v>0</v>
      </c>
      <c r="CO30" s="24">
        <v>0</v>
      </c>
      <c r="CP30" s="19">
        <f>+Hoja2!CP30+Hoja1!CP30</f>
        <v>0</v>
      </c>
      <c r="CQ30" s="24">
        <v>0</v>
      </c>
      <c r="CR30" s="19">
        <f>+Hoja2!CR30+Hoja1!CR30</f>
        <v>0</v>
      </c>
      <c r="CS30" s="24">
        <v>0</v>
      </c>
      <c r="CT30" s="19">
        <f>+Hoja2!CT30+Hoja1!CT30</f>
        <v>0</v>
      </c>
      <c r="CU30" s="24">
        <v>0</v>
      </c>
      <c r="CV30" s="19">
        <f>+Hoja2!CV30+Hoja1!CV30</f>
        <v>0</v>
      </c>
      <c r="CW30" s="24">
        <v>0</v>
      </c>
      <c r="CX30" s="19">
        <f>+Hoja2!CX30+Hoja1!CX30</f>
        <v>0</v>
      </c>
      <c r="CY30" s="24">
        <v>0</v>
      </c>
      <c r="CZ30" s="19">
        <f>+Hoja2!CZ30+Hoja1!CZ30</f>
        <v>0</v>
      </c>
      <c r="DA30" s="24">
        <v>0</v>
      </c>
      <c r="DB30" s="19">
        <f>+Hoja2!DB30+Hoja1!DB30</f>
        <v>0</v>
      </c>
      <c r="DC30" s="24">
        <v>0</v>
      </c>
      <c r="DD30" s="19">
        <f>+Hoja2!DD30+Hoja1!DD30</f>
        <v>0</v>
      </c>
      <c r="DE30" s="24">
        <v>0</v>
      </c>
      <c r="DF30" s="19">
        <f>+Hoja2!DF30+Hoja1!DF30</f>
        <v>0</v>
      </c>
      <c r="DG30" s="24">
        <v>0</v>
      </c>
      <c r="DH30" s="19">
        <f>+Hoja2!DH30+Hoja1!DH30</f>
        <v>0</v>
      </c>
      <c r="DI30" s="24">
        <v>0</v>
      </c>
      <c r="DJ30" s="19">
        <f>+Hoja2!DJ30+Hoja1!DJ30</f>
        <v>0</v>
      </c>
      <c r="DK30" s="24">
        <v>0</v>
      </c>
      <c r="DL30" s="19">
        <f>+Hoja2!DL30+Hoja1!DL30</f>
        <v>0</v>
      </c>
      <c r="DM30" s="24">
        <v>0</v>
      </c>
      <c r="DN30" s="19">
        <f>+Hoja2!DN30+Hoja1!DN30</f>
        <v>0</v>
      </c>
      <c r="DO30" s="24">
        <v>0</v>
      </c>
      <c r="DP30" s="19">
        <f>+Hoja2!DP30+Hoja1!DP30</f>
        <v>0</v>
      </c>
      <c r="DQ30" s="24">
        <v>0</v>
      </c>
      <c r="DR30" s="19">
        <f>+Hoja2!DR30+Hoja1!DR30</f>
        <v>0</v>
      </c>
      <c r="DS30" s="24">
        <v>0</v>
      </c>
      <c r="DT30" s="19">
        <f>+Hoja2!DT30+Hoja1!DT30</f>
        <v>0</v>
      </c>
      <c r="DU30" s="24">
        <v>0</v>
      </c>
      <c r="DV30" s="19">
        <f>+Hoja2!DV30+Hoja1!DV30</f>
        <v>0</v>
      </c>
      <c r="DW30" s="24">
        <v>0</v>
      </c>
      <c r="DX30" s="19">
        <f>+Hoja2!DX30+Hoja1!DX30</f>
        <v>154</v>
      </c>
      <c r="DY30" s="24">
        <v>0</v>
      </c>
      <c r="DZ30" s="19">
        <f>+Hoja2!DZ30+Hoja1!DZ30</f>
        <v>0</v>
      </c>
      <c r="EA30" s="24">
        <v>0</v>
      </c>
      <c r="EB30" s="19">
        <f>+Hoja2!EB30+Hoja1!EB30</f>
        <v>527</v>
      </c>
      <c r="EC30" s="24">
        <v>0</v>
      </c>
      <c r="ED30" s="19">
        <f>+Hoja2!ED30+Hoja1!ED30</f>
        <v>0</v>
      </c>
      <c r="EE30" s="24">
        <v>0</v>
      </c>
      <c r="EF30" s="19">
        <f>+Hoja2!EF30+Hoja1!EF30</f>
        <v>0</v>
      </c>
      <c r="EG30" s="24">
        <v>0</v>
      </c>
      <c r="EH30" s="19">
        <f>+Hoja2!EH30+Hoja1!EH30</f>
        <v>0</v>
      </c>
      <c r="EI30" s="24">
        <v>0</v>
      </c>
      <c r="EJ30" s="19">
        <f>+Hoja2!EJ30+Hoja1!EJ30</f>
        <v>0</v>
      </c>
      <c r="EK30" s="24">
        <v>0</v>
      </c>
      <c r="EL30" s="19">
        <f>+Hoja2!EL30+Hoja1!EL30</f>
        <v>0</v>
      </c>
      <c r="EM30" s="24">
        <v>0</v>
      </c>
      <c r="EN30" s="19">
        <f>+Hoja2!EN30+Hoja1!EN30</f>
        <v>0</v>
      </c>
      <c r="EO30" s="24">
        <v>0</v>
      </c>
      <c r="EP30" s="19">
        <f>+Hoja2!EP30+Hoja1!EP30</f>
        <v>0</v>
      </c>
      <c r="EQ30" s="24">
        <v>0</v>
      </c>
      <c r="ER30" s="19">
        <f>+Hoja2!ER30+Hoja1!ER30</f>
        <v>0</v>
      </c>
      <c r="ES30" s="24">
        <v>0</v>
      </c>
      <c r="ET30" s="19">
        <f>+Hoja2!ET30+Hoja1!ET30</f>
        <v>0</v>
      </c>
      <c r="EU30" s="24">
        <v>0</v>
      </c>
    </row>
    <row r="31" spans="1:151" x14ac:dyDescent="0.25">
      <c r="A31" s="24" t="s">
        <v>43</v>
      </c>
      <c r="B31" s="25">
        <v>49</v>
      </c>
      <c r="C31" s="24" t="s">
        <v>52</v>
      </c>
      <c r="D31" s="24">
        <v>174549</v>
      </c>
      <c r="E31" s="26">
        <v>371</v>
      </c>
      <c r="F31" s="26">
        <v>147932</v>
      </c>
      <c r="G31" s="26">
        <v>20336</v>
      </c>
      <c r="H31" s="26">
        <v>168268</v>
      </c>
      <c r="I31" s="1">
        <v>1402</v>
      </c>
      <c r="J31" s="19">
        <f>+INT(([1]Hoja1!M31/[1]Hoja1!O31)*M31)</f>
        <v>8448309</v>
      </c>
      <c r="K31" s="19">
        <f>+INT(([1]Hoja1!N31/[1]Hoja1!O31)*M31)</f>
        <v>8346209</v>
      </c>
      <c r="L31" s="19">
        <f t="shared" si="1"/>
        <v>103643</v>
      </c>
      <c r="M31" s="19">
        <f t="shared" si="2"/>
        <v>102100</v>
      </c>
      <c r="N31" s="22">
        <f t="shared" si="0"/>
        <v>100894</v>
      </c>
      <c r="O31" s="26">
        <v>1206</v>
      </c>
      <c r="P31" s="26">
        <v>1543</v>
      </c>
      <c r="Q31" s="22">
        <f t="shared" si="3"/>
        <v>3</v>
      </c>
      <c r="R31" s="19">
        <f>+Hoja2!R31+Hoja1!R31</f>
        <v>35067</v>
      </c>
      <c r="S31" s="24">
        <v>1</v>
      </c>
      <c r="T31" s="19">
        <f>+Hoja2!T31+Hoja1!T31</f>
        <v>39632</v>
      </c>
      <c r="U31" s="24">
        <v>1</v>
      </c>
      <c r="V31" s="19">
        <f>+Hoja2!V31+Hoja1!V31</f>
        <v>17376</v>
      </c>
      <c r="W31" s="24">
        <v>1</v>
      </c>
      <c r="X31" s="19">
        <f>+Hoja2!X31+Hoja1!X31</f>
        <v>7351</v>
      </c>
      <c r="Y31" s="24">
        <v>0</v>
      </c>
      <c r="Z31" s="19">
        <f>+Hoja2!Z31+Hoja1!Z31</f>
        <v>0</v>
      </c>
      <c r="AA31" s="24">
        <v>0</v>
      </c>
      <c r="AB31" s="19">
        <f>+Hoja2!AB31+Hoja1!AB31</f>
        <v>0</v>
      </c>
      <c r="AC31" s="24">
        <v>0</v>
      </c>
      <c r="AD31" s="19">
        <f>+Hoja2!AD31+Hoja1!AD31</f>
        <v>0</v>
      </c>
      <c r="AE31" s="24">
        <v>0</v>
      </c>
      <c r="AF31" s="19">
        <f>+Hoja2!AF31+Hoja1!AF31</f>
        <v>0</v>
      </c>
      <c r="AG31" s="24">
        <v>0</v>
      </c>
      <c r="AH31" s="19">
        <f>+Hoja2!AH31+Hoja1!AH31</f>
        <v>0</v>
      </c>
      <c r="AI31" s="24">
        <v>0</v>
      </c>
      <c r="AJ31" s="19">
        <f>+Hoja2!AJ31+Hoja1!AJ31</f>
        <v>0</v>
      </c>
      <c r="AK31" s="24">
        <v>0</v>
      </c>
      <c r="AL31" s="19">
        <f>+Hoja2!AL31+Hoja1!AL31</f>
        <v>0</v>
      </c>
      <c r="AM31" s="24">
        <v>0</v>
      </c>
      <c r="AN31" s="19">
        <f>+Hoja2!AN31+Hoja1!AN31</f>
        <v>0</v>
      </c>
      <c r="AO31" s="24">
        <v>0</v>
      </c>
      <c r="AP31" s="19">
        <f>+Hoja2!AP31+Hoja1!AP31</f>
        <v>0</v>
      </c>
      <c r="AQ31" s="24">
        <v>0</v>
      </c>
      <c r="AR31" s="19">
        <f>+Hoja2!AR31+Hoja1!AR31</f>
        <v>0</v>
      </c>
      <c r="AS31" s="24">
        <v>0</v>
      </c>
      <c r="AT31" s="19">
        <f>+Hoja2!AT31+Hoja1!AT31</f>
        <v>0</v>
      </c>
      <c r="AU31" s="24">
        <v>0</v>
      </c>
      <c r="AV31" s="19">
        <f>+Hoja2!AV31+Hoja1!AV31</f>
        <v>0</v>
      </c>
      <c r="AW31" s="24">
        <v>0</v>
      </c>
      <c r="AX31" s="19">
        <f>+Hoja2!AX31+Hoja1!AX31</f>
        <v>0</v>
      </c>
      <c r="AY31" s="24">
        <v>0</v>
      </c>
      <c r="AZ31" s="19">
        <f>+Hoja2!AZ31+Hoja1!AZ31</f>
        <v>0</v>
      </c>
      <c r="BA31" s="24">
        <v>0</v>
      </c>
      <c r="BB31" s="19">
        <f>+Hoja2!BB31+Hoja1!BB31</f>
        <v>0</v>
      </c>
      <c r="BC31" s="24">
        <v>0</v>
      </c>
      <c r="BD31" s="19">
        <f>+Hoja2!BD31+Hoja1!BD31</f>
        <v>429</v>
      </c>
      <c r="BE31" s="24">
        <v>0</v>
      </c>
      <c r="BF31" s="19">
        <f>+Hoja2!BF31+Hoja1!BF31</f>
        <v>0</v>
      </c>
      <c r="BG31" s="24">
        <v>0</v>
      </c>
      <c r="BH31" s="19">
        <f>+Hoja2!BH31+Hoja1!BH31</f>
        <v>128</v>
      </c>
      <c r="BI31" s="24">
        <v>0</v>
      </c>
      <c r="BJ31" s="19">
        <f>+Hoja2!BJ31+Hoja1!BJ31</f>
        <v>142</v>
      </c>
      <c r="BK31" s="24">
        <v>0</v>
      </c>
      <c r="BL31" s="19">
        <f>+Hoja2!BL31+Hoja1!BL31</f>
        <v>0</v>
      </c>
      <c r="BM31" s="24">
        <v>0</v>
      </c>
      <c r="BN31" s="19">
        <f>+Hoja2!BN31+Hoja1!BN31</f>
        <v>0</v>
      </c>
      <c r="BO31" s="24">
        <v>0</v>
      </c>
      <c r="BP31" s="19">
        <f>+Hoja2!BP31+Hoja1!BP31</f>
        <v>0</v>
      </c>
      <c r="BQ31" s="24">
        <v>0</v>
      </c>
      <c r="BR31" s="19">
        <f>+Hoja2!BR31+Hoja1!BR31</f>
        <v>0</v>
      </c>
      <c r="BS31" s="24">
        <v>0</v>
      </c>
      <c r="BT31" s="19">
        <f>+Hoja2!BT31+Hoja1!BT31</f>
        <v>126</v>
      </c>
      <c r="BU31" s="24">
        <v>0</v>
      </c>
      <c r="BV31" s="19">
        <f>+Hoja2!BV31+Hoja1!BV31</f>
        <v>0</v>
      </c>
      <c r="BW31" s="24">
        <v>0</v>
      </c>
      <c r="BX31" s="19">
        <f>+Hoja2!BX31+Hoja1!BX31</f>
        <v>367</v>
      </c>
      <c r="BY31" s="24">
        <v>0</v>
      </c>
      <c r="BZ31" s="19">
        <f>+Hoja2!BZ31+Hoja1!BZ31</f>
        <v>0</v>
      </c>
      <c r="CA31" s="24">
        <v>0</v>
      </c>
      <c r="CB31" s="19">
        <f>+Hoja2!CB31+Hoja1!CB31</f>
        <v>0</v>
      </c>
      <c r="CC31" s="24">
        <v>0</v>
      </c>
      <c r="CD31" s="19">
        <f>+Hoja2!CD31+Hoja1!CD31</f>
        <v>0</v>
      </c>
      <c r="CE31" s="24">
        <v>0</v>
      </c>
      <c r="CF31" s="19">
        <f>+Hoja2!CF31+Hoja1!CF31</f>
        <v>0</v>
      </c>
      <c r="CG31" s="24">
        <v>0</v>
      </c>
      <c r="CH31" s="19">
        <f>+Hoja2!CH31+Hoja1!CH31</f>
        <v>0</v>
      </c>
      <c r="CI31" s="24">
        <v>0</v>
      </c>
      <c r="CJ31" s="19">
        <f>+Hoja2!CJ31+Hoja1!CJ31</f>
        <v>0</v>
      </c>
      <c r="CK31" s="24">
        <v>0</v>
      </c>
      <c r="CL31" s="19">
        <f>+Hoja2!CL31+Hoja1!CL31</f>
        <v>0</v>
      </c>
      <c r="CM31" s="24">
        <v>0</v>
      </c>
      <c r="CN31" s="19">
        <f>+Hoja2!CN31+Hoja1!CN31</f>
        <v>0</v>
      </c>
      <c r="CO31" s="24">
        <v>0</v>
      </c>
      <c r="CP31" s="19">
        <f>+Hoja2!CP31+Hoja1!CP31</f>
        <v>0</v>
      </c>
      <c r="CQ31" s="24">
        <v>0</v>
      </c>
      <c r="CR31" s="19">
        <f>+Hoja2!CR31+Hoja1!CR31</f>
        <v>0</v>
      </c>
      <c r="CS31" s="24">
        <v>0</v>
      </c>
      <c r="CT31" s="19">
        <f>+Hoja2!CT31+Hoja1!CT31</f>
        <v>0</v>
      </c>
      <c r="CU31" s="24">
        <v>0</v>
      </c>
      <c r="CV31" s="19">
        <f>+Hoja2!CV31+Hoja1!CV31</f>
        <v>0</v>
      </c>
      <c r="CW31" s="24">
        <v>0</v>
      </c>
      <c r="CX31" s="19">
        <f>+Hoja2!CX31+Hoja1!CX31</f>
        <v>0</v>
      </c>
      <c r="CY31" s="24">
        <v>0</v>
      </c>
      <c r="CZ31" s="19">
        <f>+Hoja2!CZ31+Hoja1!CZ31</f>
        <v>0</v>
      </c>
      <c r="DA31" s="24">
        <v>0</v>
      </c>
      <c r="DB31" s="19">
        <f>+Hoja2!DB31+Hoja1!DB31</f>
        <v>0</v>
      </c>
      <c r="DC31" s="24">
        <v>0</v>
      </c>
      <c r="DD31" s="19">
        <f>+Hoja2!DD31+Hoja1!DD31</f>
        <v>0</v>
      </c>
      <c r="DE31" s="24">
        <v>0</v>
      </c>
      <c r="DF31" s="19">
        <f>+Hoja2!DF31+Hoja1!DF31</f>
        <v>0</v>
      </c>
      <c r="DG31" s="24">
        <v>0</v>
      </c>
      <c r="DH31" s="19">
        <f>+Hoja2!DH31+Hoja1!DH31</f>
        <v>0</v>
      </c>
      <c r="DI31" s="24">
        <v>0</v>
      </c>
      <c r="DJ31" s="19">
        <f>+Hoja2!DJ31+Hoja1!DJ31</f>
        <v>0</v>
      </c>
      <c r="DK31" s="24">
        <v>0</v>
      </c>
      <c r="DL31" s="19">
        <f>+Hoja2!DL31+Hoja1!DL31</f>
        <v>0</v>
      </c>
      <c r="DM31" s="24">
        <v>0</v>
      </c>
      <c r="DN31" s="19">
        <f>+Hoja2!DN31+Hoja1!DN31</f>
        <v>0</v>
      </c>
      <c r="DO31" s="24">
        <v>0</v>
      </c>
      <c r="DP31" s="19">
        <f>+Hoja2!DP31+Hoja1!DP31</f>
        <v>276</v>
      </c>
      <c r="DQ31" s="24">
        <v>0</v>
      </c>
      <c r="DR31" s="19">
        <f>+Hoja2!DR31+Hoja1!DR31</f>
        <v>0</v>
      </c>
      <c r="DS31" s="24">
        <v>0</v>
      </c>
      <c r="DT31" s="19">
        <f>+Hoja2!DT31+Hoja1!DT31</f>
        <v>0</v>
      </c>
      <c r="DU31" s="24">
        <v>0</v>
      </c>
      <c r="DV31" s="19">
        <f>+Hoja2!DV31+Hoja1!DV31</f>
        <v>0</v>
      </c>
      <c r="DW31" s="24">
        <v>0</v>
      </c>
      <c r="DX31" s="19">
        <f>+Hoja2!DX31+Hoja1!DX31</f>
        <v>0</v>
      </c>
      <c r="DY31" s="24">
        <v>0</v>
      </c>
      <c r="DZ31" s="19">
        <f>+Hoja2!DZ31+Hoja1!DZ31</f>
        <v>0</v>
      </c>
      <c r="EA31" s="24">
        <v>0</v>
      </c>
      <c r="EB31" s="19">
        <f>+Hoja2!EB31+Hoja1!EB31</f>
        <v>0</v>
      </c>
      <c r="EC31" s="24">
        <v>0</v>
      </c>
      <c r="ED31" s="19">
        <f>+Hoja2!ED31+Hoja1!ED31</f>
        <v>0</v>
      </c>
      <c r="EE31" s="24">
        <v>0</v>
      </c>
      <c r="EF31" s="19">
        <f>+Hoja2!EF31+Hoja1!EF31</f>
        <v>0</v>
      </c>
      <c r="EG31" s="24">
        <v>0</v>
      </c>
      <c r="EH31" s="19">
        <f>+Hoja2!EH31+Hoja1!EH31</f>
        <v>0</v>
      </c>
      <c r="EI31" s="24">
        <v>0</v>
      </c>
      <c r="EJ31" s="19">
        <f>+Hoja2!EJ31+Hoja1!EJ31</f>
        <v>0</v>
      </c>
      <c r="EK31" s="24">
        <v>0</v>
      </c>
      <c r="EL31" s="19">
        <f>+Hoja2!EL31+Hoja1!EL31</f>
        <v>0</v>
      </c>
      <c r="EM31" s="24">
        <v>0</v>
      </c>
      <c r="EN31" s="19">
        <f>+Hoja2!EN31+Hoja1!EN31</f>
        <v>0</v>
      </c>
      <c r="EO31" s="24">
        <v>0</v>
      </c>
      <c r="EP31" s="19">
        <f>+Hoja2!EP31+Hoja1!EP31</f>
        <v>0</v>
      </c>
      <c r="EQ31" s="24">
        <v>0</v>
      </c>
      <c r="ER31" s="19">
        <f>+Hoja2!ER31+Hoja1!ER31</f>
        <v>0</v>
      </c>
      <c r="ES31" s="24">
        <v>0</v>
      </c>
      <c r="ET31" s="19">
        <f>+Hoja2!ET31+Hoja1!ET31</f>
        <v>0</v>
      </c>
      <c r="EU31" s="24">
        <v>0</v>
      </c>
    </row>
    <row r="32" spans="1:151" x14ac:dyDescent="0.25">
      <c r="A32" s="24" t="s">
        <v>53</v>
      </c>
      <c r="B32" s="25">
        <v>8</v>
      </c>
      <c r="C32" s="24" t="s">
        <v>54</v>
      </c>
      <c r="D32" s="24">
        <v>5609350</v>
      </c>
      <c r="E32" s="26">
        <v>5985</v>
      </c>
      <c r="F32" s="26">
        <v>4011909</v>
      </c>
      <c r="G32" s="26">
        <v>189242</v>
      </c>
      <c r="H32" s="26">
        <v>4201151</v>
      </c>
      <c r="I32" s="1">
        <v>27487</v>
      </c>
      <c r="J32" s="19">
        <f>+INT(([1]Hoja1!M32/[1]Hoja1!O32)*M32)</f>
        <v>416855666</v>
      </c>
      <c r="K32" s="19">
        <f>+INT(([1]Hoja1!N32/[1]Hoja1!O32)*M32)</f>
        <v>413942985</v>
      </c>
      <c r="L32" s="19">
        <f t="shared" si="1"/>
        <v>2927280</v>
      </c>
      <c r="M32" s="19">
        <f t="shared" si="2"/>
        <v>2912681</v>
      </c>
      <c r="N32" s="22">
        <f t="shared" si="0"/>
        <v>2892224</v>
      </c>
      <c r="O32" s="26">
        <v>20457</v>
      </c>
      <c r="P32" s="26">
        <v>14599</v>
      </c>
      <c r="Q32" s="22">
        <f t="shared" si="3"/>
        <v>32</v>
      </c>
      <c r="R32" s="19">
        <f>+Hoja2!R32+Hoja1!R32</f>
        <v>780482</v>
      </c>
      <c r="S32" s="24">
        <v>8</v>
      </c>
      <c r="T32" s="19">
        <f>+Hoja2!T32+Hoja1!T32</f>
        <v>369456</v>
      </c>
      <c r="U32" s="24">
        <v>2</v>
      </c>
      <c r="V32" s="19">
        <f>+Hoja2!V32+Hoja1!V32</f>
        <v>188409</v>
      </c>
      <c r="W32" s="24">
        <v>2</v>
      </c>
      <c r="X32" s="19">
        <f>+Hoja2!X32+Hoja1!X32</f>
        <v>0</v>
      </c>
      <c r="Y32" s="24">
        <v>0</v>
      </c>
      <c r="Z32" s="19">
        <f>+Hoja2!Z32+Hoja1!Z32</f>
        <v>510599</v>
      </c>
      <c r="AA32" s="24">
        <v>7</v>
      </c>
      <c r="AB32" s="19">
        <f>+Hoja2!AB32+Hoja1!AB32</f>
        <v>0</v>
      </c>
      <c r="AC32" s="24">
        <v>2</v>
      </c>
      <c r="AD32" s="19">
        <f>+Hoja2!AD32+Hoja1!AD32</f>
        <v>335332</v>
      </c>
      <c r="AE32" s="24">
        <v>4</v>
      </c>
      <c r="AF32" s="19">
        <f>+Hoja2!AF32+Hoja1!AF32</f>
        <v>441169</v>
      </c>
      <c r="AG32" s="24">
        <v>5</v>
      </c>
      <c r="AH32" s="19">
        <f>+Hoja2!AH32+Hoja1!AH32</f>
        <v>0</v>
      </c>
      <c r="AI32" s="24">
        <v>0</v>
      </c>
      <c r="AJ32" s="19">
        <f>+Hoja2!AJ32+Hoja1!AJ32</f>
        <v>0</v>
      </c>
      <c r="AK32" s="24">
        <v>0</v>
      </c>
      <c r="AL32" s="19">
        <f>+Hoja2!AL32+Hoja1!AL32</f>
        <v>0</v>
      </c>
      <c r="AM32" s="24">
        <v>0</v>
      </c>
      <c r="AN32" s="19">
        <f>+Hoja2!AN32+Hoja1!AN32</f>
        <v>174564</v>
      </c>
      <c r="AO32" s="24">
        <v>2</v>
      </c>
      <c r="AP32" s="19">
        <f>+Hoja2!AP32+Hoja1!AP32</f>
        <v>0</v>
      </c>
      <c r="AQ32" s="24">
        <v>0</v>
      </c>
      <c r="AR32" s="19">
        <f>+Hoja2!AR32+Hoja1!AR32</f>
        <v>0</v>
      </c>
      <c r="AS32" s="24">
        <v>0</v>
      </c>
      <c r="AT32" s="19">
        <f>+Hoja2!AT32+Hoja1!AT32</f>
        <v>0</v>
      </c>
      <c r="AU32" s="24">
        <v>0</v>
      </c>
      <c r="AV32" s="19">
        <f>+Hoja2!AV32+Hoja1!AV32</f>
        <v>0</v>
      </c>
      <c r="AW32" s="24">
        <v>0</v>
      </c>
      <c r="AX32" s="19">
        <f>+Hoja2!AX32+Hoja1!AX32</f>
        <v>0</v>
      </c>
      <c r="AY32" s="24">
        <v>0</v>
      </c>
      <c r="AZ32" s="19">
        <f>+Hoja2!AZ32+Hoja1!AZ32</f>
        <v>0</v>
      </c>
      <c r="BA32" s="24">
        <v>0</v>
      </c>
      <c r="BB32" s="19">
        <f>+Hoja2!BB32+Hoja1!BB32</f>
        <v>0</v>
      </c>
      <c r="BC32" s="24">
        <v>0</v>
      </c>
      <c r="BD32" s="19">
        <f>+Hoja2!BD32+Hoja1!BD32</f>
        <v>34578</v>
      </c>
      <c r="BE32" s="24">
        <v>0</v>
      </c>
      <c r="BF32" s="19">
        <f>+Hoja2!BF32+Hoja1!BF32</f>
        <v>43917</v>
      </c>
      <c r="BG32" s="24">
        <v>0</v>
      </c>
      <c r="BH32" s="19">
        <f>+Hoja2!BH32+Hoja1!BH32</f>
        <v>4674</v>
      </c>
      <c r="BI32" s="24">
        <v>0</v>
      </c>
      <c r="BJ32" s="19">
        <f>+Hoja2!BJ32+Hoja1!BJ32</f>
        <v>1569</v>
      </c>
      <c r="BK32" s="24">
        <v>0</v>
      </c>
      <c r="BL32" s="19">
        <f>+Hoja2!BL32+Hoja1!BL32</f>
        <v>0</v>
      </c>
      <c r="BM32" s="24">
        <v>0</v>
      </c>
      <c r="BN32" s="19">
        <f>+Hoja2!BN32+Hoja1!BN32</f>
        <v>0</v>
      </c>
      <c r="BO32" s="24">
        <v>0</v>
      </c>
      <c r="BP32" s="19">
        <f>+Hoja2!BP32+Hoja1!BP32</f>
        <v>0</v>
      </c>
      <c r="BQ32" s="24">
        <v>0</v>
      </c>
      <c r="BR32" s="19">
        <f>+Hoja2!BR32+Hoja1!BR32</f>
        <v>1584</v>
      </c>
      <c r="BS32" s="24">
        <v>0</v>
      </c>
      <c r="BT32" s="19">
        <f>+Hoja2!BT32+Hoja1!BT32</f>
        <v>1666</v>
      </c>
      <c r="BU32" s="24">
        <v>0</v>
      </c>
      <c r="BV32" s="19">
        <f>+Hoja2!BV32+Hoja1!BV32</f>
        <v>0</v>
      </c>
      <c r="BW32" s="24">
        <v>0</v>
      </c>
      <c r="BX32" s="19">
        <f>+Hoja2!BX32+Hoja1!BX32</f>
        <v>0</v>
      </c>
      <c r="BY32" s="24">
        <v>0</v>
      </c>
      <c r="BZ32" s="19">
        <f>+Hoja2!BZ32+Hoja1!BZ32</f>
        <v>0</v>
      </c>
      <c r="CA32" s="24">
        <v>0</v>
      </c>
      <c r="CB32" s="19">
        <f>+Hoja2!CB32+Hoja1!CB32</f>
        <v>0</v>
      </c>
      <c r="CC32" s="24">
        <v>0</v>
      </c>
      <c r="CD32" s="19">
        <f>+Hoja2!CD32+Hoja1!CD32</f>
        <v>0</v>
      </c>
      <c r="CE32" s="24">
        <v>0</v>
      </c>
      <c r="CF32" s="19">
        <f>+Hoja2!CF32+Hoja1!CF32</f>
        <v>0</v>
      </c>
      <c r="CG32" s="24">
        <v>0</v>
      </c>
      <c r="CH32" s="19">
        <f>+Hoja2!CH32+Hoja1!CH32</f>
        <v>0</v>
      </c>
      <c r="CI32" s="24">
        <v>0</v>
      </c>
      <c r="CJ32" s="19">
        <f>+Hoja2!CJ32+Hoja1!CJ32</f>
        <v>0</v>
      </c>
      <c r="CK32" s="24">
        <v>0</v>
      </c>
      <c r="CL32" s="19">
        <f>+Hoja2!CL32+Hoja1!CL32</f>
        <v>0</v>
      </c>
      <c r="CM32" s="24">
        <v>0</v>
      </c>
      <c r="CN32" s="19">
        <f>+Hoja2!CN32+Hoja1!CN32</f>
        <v>0</v>
      </c>
      <c r="CO32" s="24">
        <v>0</v>
      </c>
      <c r="CP32" s="19">
        <f>+Hoja2!CP32+Hoja1!CP32</f>
        <v>2989</v>
      </c>
      <c r="CQ32" s="24">
        <v>0</v>
      </c>
      <c r="CR32" s="19">
        <f>+Hoja2!CR32+Hoja1!CR32</f>
        <v>0</v>
      </c>
      <c r="CS32" s="24">
        <v>0</v>
      </c>
      <c r="CT32" s="19">
        <f>+Hoja2!CT32+Hoja1!CT32</f>
        <v>0</v>
      </c>
      <c r="CU32" s="24">
        <v>0</v>
      </c>
      <c r="CV32" s="19">
        <f>+Hoja2!CV32+Hoja1!CV32</f>
        <v>1236</v>
      </c>
      <c r="CW32" s="24">
        <v>0</v>
      </c>
      <c r="CX32" s="19">
        <f>+Hoja2!CX32+Hoja1!CX32</f>
        <v>0</v>
      </c>
      <c r="CY32" s="24">
        <v>0</v>
      </c>
      <c r="CZ32" s="19">
        <f>+Hoja2!CZ32+Hoja1!CZ32</f>
        <v>0</v>
      </c>
      <c r="DA32" s="24">
        <v>0</v>
      </c>
      <c r="DB32" s="19">
        <f>+Hoja2!DB32+Hoja1!DB32</f>
        <v>0</v>
      </c>
      <c r="DC32" s="24">
        <v>0</v>
      </c>
      <c r="DD32" s="19">
        <f>+Hoja2!DD32+Hoja1!DD32</f>
        <v>0</v>
      </c>
      <c r="DE32" s="24">
        <v>0</v>
      </c>
      <c r="DF32" s="19">
        <f>+Hoja2!DF32+Hoja1!DF32</f>
        <v>0</v>
      </c>
      <c r="DG32" s="24">
        <v>0</v>
      </c>
      <c r="DH32" s="19">
        <f>+Hoja2!DH32+Hoja1!DH32</f>
        <v>0</v>
      </c>
      <c r="DI32" s="24">
        <v>0</v>
      </c>
      <c r="DJ32" s="19">
        <f>+Hoja2!DJ32+Hoja1!DJ32</f>
        <v>0</v>
      </c>
      <c r="DK32" s="24">
        <v>0</v>
      </c>
      <c r="DL32" s="19">
        <f>+Hoja2!DL32+Hoja1!DL32</f>
        <v>0</v>
      </c>
      <c r="DM32" s="24">
        <v>0</v>
      </c>
      <c r="DN32" s="19">
        <f>+Hoja2!DN32+Hoja1!DN32</f>
        <v>0</v>
      </c>
      <c r="DO32" s="24">
        <v>0</v>
      </c>
      <c r="DP32" s="19">
        <f>+Hoja2!DP32+Hoja1!DP32</f>
        <v>0</v>
      </c>
      <c r="DQ32" s="24">
        <v>0</v>
      </c>
      <c r="DR32" s="19">
        <f>+Hoja2!DR32+Hoja1!DR32</f>
        <v>0</v>
      </c>
      <c r="DS32" s="24">
        <v>0</v>
      </c>
      <c r="DT32" s="19">
        <f>+Hoja2!DT32+Hoja1!DT32</f>
        <v>0</v>
      </c>
      <c r="DU32" s="24">
        <v>0</v>
      </c>
      <c r="DV32" s="19">
        <f>+Hoja2!DV32+Hoja1!DV32</f>
        <v>0</v>
      </c>
      <c r="DW32" s="24">
        <v>0</v>
      </c>
      <c r="DX32" s="19">
        <f>+Hoja2!DX32+Hoja1!DX32</f>
        <v>0</v>
      </c>
      <c r="DY32" s="24">
        <v>0</v>
      </c>
      <c r="DZ32" s="19">
        <f>+Hoja2!DZ32+Hoja1!DZ32</f>
        <v>0</v>
      </c>
      <c r="EA32" s="24">
        <v>0</v>
      </c>
      <c r="EB32" s="19">
        <f>+Hoja2!EB32+Hoja1!EB32</f>
        <v>0</v>
      </c>
      <c r="EC32" s="24">
        <v>0</v>
      </c>
      <c r="ED32" s="19">
        <f>+Hoja2!ED32+Hoja1!ED32</f>
        <v>0</v>
      </c>
      <c r="EE32" s="24">
        <v>0</v>
      </c>
      <c r="EF32" s="19">
        <f>+Hoja2!EF32+Hoja1!EF32</f>
        <v>0</v>
      </c>
      <c r="EG32" s="24">
        <v>0</v>
      </c>
      <c r="EH32" s="19">
        <f>+Hoja2!EH32+Hoja1!EH32</f>
        <v>0</v>
      </c>
      <c r="EI32" s="24">
        <v>0</v>
      </c>
      <c r="EJ32" s="19">
        <f>+Hoja2!EJ32+Hoja1!EJ32</f>
        <v>0</v>
      </c>
      <c r="EK32" s="24">
        <v>0</v>
      </c>
      <c r="EL32" s="19">
        <f>+Hoja2!EL32+Hoja1!EL32</f>
        <v>0</v>
      </c>
      <c r="EM32" s="24">
        <v>0</v>
      </c>
      <c r="EN32" s="19">
        <f>+Hoja2!EN32+Hoja1!EN32</f>
        <v>0</v>
      </c>
      <c r="EO32" s="24">
        <v>0</v>
      </c>
      <c r="EP32" s="19">
        <f>+Hoja2!EP32+Hoja1!EP32</f>
        <v>0</v>
      </c>
      <c r="EQ32" s="24">
        <v>0</v>
      </c>
      <c r="ER32" s="19">
        <f>+Hoja2!ER32+Hoja1!ER32</f>
        <v>0</v>
      </c>
      <c r="ES32" s="24">
        <v>0</v>
      </c>
      <c r="ET32" s="19">
        <f>+Hoja2!ET32+Hoja1!ET32</f>
        <v>0</v>
      </c>
      <c r="EU32" s="24">
        <v>0</v>
      </c>
    </row>
    <row r="33" spans="1:151" x14ac:dyDescent="0.25">
      <c r="A33" s="24" t="s">
        <v>53</v>
      </c>
      <c r="B33" s="25">
        <v>17</v>
      </c>
      <c r="C33" s="24" t="s">
        <v>55</v>
      </c>
      <c r="D33" s="24">
        <v>761947</v>
      </c>
      <c r="E33" s="26">
        <v>834</v>
      </c>
      <c r="F33" s="26">
        <v>504631</v>
      </c>
      <c r="G33" s="26">
        <v>20347</v>
      </c>
      <c r="H33" s="26">
        <v>524978</v>
      </c>
      <c r="I33" s="1">
        <v>3062</v>
      </c>
      <c r="J33" s="19">
        <f>+INT(([1]Hoja1!M33/[1]Hoja1!O33)*M33)</f>
        <v>54203002</v>
      </c>
      <c r="K33" s="19">
        <f>+INT(([1]Hoja1!N33/[1]Hoja1!O33)*M33)</f>
        <v>53851454</v>
      </c>
      <c r="L33" s="19">
        <f t="shared" si="1"/>
        <v>353647</v>
      </c>
      <c r="M33" s="19">
        <f t="shared" si="2"/>
        <v>351548</v>
      </c>
      <c r="N33" s="22">
        <f t="shared" si="0"/>
        <v>349241</v>
      </c>
      <c r="O33" s="26">
        <v>2307</v>
      </c>
      <c r="P33" s="26">
        <v>2099</v>
      </c>
      <c r="Q33" s="22">
        <f t="shared" si="3"/>
        <v>6</v>
      </c>
      <c r="R33" s="19">
        <f>+Hoja2!R33+Hoja1!R33</f>
        <v>70534</v>
      </c>
      <c r="S33" s="24">
        <v>1</v>
      </c>
      <c r="T33" s="19">
        <f>+Hoja2!T33+Hoja1!T33</f>
        <v>28892</v>
      </c>
      <c r="U33" s="24">
        <v>0</v>
      </c>
      <c r="V33" s="19">
        <f>+Hoja2!V33+Hoja1!V33</f>
        <v>18858</v>
      </c>
      <c r="W33" s="24">
        <v>0</v>
      </c>
      <c r="X33" s="19">
        <f>+Hoja2!X33+Hoja1!X33</f>
        <v>0</v>
      </c>
      <c r="Y33" s="24">
        <v>0</v>
      </c>
      <c r="Z33" s="19">
        <f>+Hoja2!Z33+Hoja1!Z33</f>
        <v>75843</v>
      </c>
      <c r="AA33" s="24">
        <v>2</v>
      </c>
      <c r="AB33" s="19">
        <f>+Hoja2!AB33+Hoja1!AB33</f>
        <v>0</v>
      </c>
      <c r="AC33" s="24">
        <v>0</v>
      </c>
      <c r="AD33" s="19">
        <f>+Hoja2!AD33+Hoja1!AD33</f>
        <v>85858</v>
      </c>
      <c r="AE33" s="24">
        <v>2</v>
      </c>
      <c r="AF33" s="19">
        <f>+Hoja2!AF33+Hoja1!AF33</f>
        <v>32867</v>
      </c>
      <c r="AG33" s="24">
        <v>1</v>
      </c>
      <c r="AH33" s="19">
        <f>+Hoja2!AH33+Hoja1!AH33</f>
        <v>0</v>
      </c>
      <c r="AI33" s="24">
        <v>0</v>
      </c>
      <c r="AJ33" s="19">
        <f>+Hoja2!AJ33+Hoja1!AJ33</f>
        <v>0</v>
      </c>
      <c r="AK33" s="24">
        <v>0</v>
      </c>
      <c r="AL33" s="19">
        <f>+Hoja2!AL33+Hoja1!AL33</f>
        <v>0</v>
      </c>
      <c r="AM33" s="24">
        <v>0</v>
      </c>
      <c r="AN33" s="19">
        <f>+Hoja2!AN33+Hoja1!AN33</f>
        <v>30910</v>
      </c>
      <c r="AO33" s="24">
        <v>0</v>
      </c>
      <c r="AP33" s="19">
        <f>+Hoja2!AP33+Hoja1!AP33</f>
        <v>0</v>
      </c>
      <c r="AQ33" s="24">
        <v>0</v>
      </c>
      <c r="AR33" s="19">
        <f>+Hoja2!AR33+Hoja1!AR33</f>
        <v>0</v>
      </c>
      <c r="AS33" s="24">
        <v>0</v>
      </c>
      <c r="AT33" s="19">
        <f>+Hoja2!AT33+Hoja1!AT33</f>
        <v>0</v>
      </c>
      <c r="AU33" s="24">
        <v>0</v>
      </c>
      <c r="AV33" s="19">
        <f>+Hoja2!AV33+Hoja1!AV33</f>
        <v>0</v>
      </c>
      <c r="AW33" s="24">
        <v>0</v>
      </c>
      <c r="AX33" s="19">
        <f>+Hoja2!AX33+Hoja1!AX33</f>
        <v>0</v>
      </c>
      <c r="AY33" s="24">
        <v>0</v>
      </c>
      <c r="AZ33" s="19">
        <f>+Hoja2!AZ33+Hoja1!AZ33</f>
        <v>0</v>
      </c>
      <c r="BA33" s="24">
        <v>0</v>
      </c>
      <c r="BB33" s="19">
        <f>+Hoja2!BB33+Hoja1!BB33</f>
        <v>0</v>
      </c>
      <c r="BC33" s="24">
        <v>0</v>
      </c>
      <c r="BD33" s="19">
        <f>+Hoja2!BD33+Hoja1!BD33</f>
        <v>3705</v>
      </c>
      <c r="BE33" s="24">
        <v>0</v>
      </c>
      <c r="BF33" s="19">
        <f>+Hoja2!BF33+Hoja1!BF33</f>
        <v>0</v>
      </c>
      <c r="BG33" s="24">
        <v>0</v>
      </c>
      <c r="BH33" s="19">
        <f>+Hoja2!BH33+Hoja1!BH33</f>
        <v>505</v>
      </c>
      <c r="BI33" s="24">
        <v>0</v>
      </c>
      <c r="BJ33" s="19">
        <f>+Hoja2!BJ33+Hoja1!BJ33</f>
        <v>337</v>
      </c>
      <c r="BK33" s="24">
        <v>0</v>
      </c>
      <c r="BL33" s="19">
        <f>+Hoja2!BL33+Hoja1!BL33</f>
        <v>0</v>
      </c>
      <c r="BM33" s="24">
        <v>0</v>
      </c>
      <c r="BN33" s="19">
        <f>+Hoja2!BN33+Hoja1!BN33</f>
        <v>0</v>
      </c>
      <c r="BO33" s="24">
        <v>0</v>
      </c>
      <c r="BP33" s="19">
        <f>+Hoja2!BP33+Hoja1!BP33</f>
        <v>0</v>
      </c>
      <c r="BQ33" s="24">
        <v>0</v>
      </c>
      <c r="BR33" s="19">
        <f>+Hoja2!BR33+Hoja1!BR33</f>
        <v>343</v>
      </c>
      <c r="BS33" s="24">
        <v>0</v>
      </c>
      <c r="BT33" s="19">
        <f>+Hoja2!BT33+Hoja1!BT33</f>
        <v>331</v>
      </c>
      <c r="BU33" s="24">
        <v>0</v>
      </c>
      <c r="BV33" s="19">
        <f>+Hoja2!BV33+Hoja1!BV33</f>
        <v>0</v>
      </c>
      <c r="BW33" s="24">
        <v>0</v>
      </c>
      <c r="BX33" s="19">
        <f>+Hoja2!BX33+Hoja1!BX33</f>
        <v>0</v>
      </c>
      <c r="BY33" s="24">
        <v>0</v>
      </c>
      <c r="BZ33" s="19">
        <f>+Hoja2!BZ33+Hoja1!BZ33</f>
        <v>0</v>
      </c>
      <c r="CA33" s="24">
        <v>0</v>
      </c>
      <c r="CB33" s="19">
        <f>+Hoja2!CB33+Hoja1!CB33</f>
        <v>0</v>
      </c>
      <c r="CC33" s="24">
        <v>0</v>
      </c>
      <c r="CD33" s="19">
        <f>+Hoja2!CD33+Hoja1!CD33</f>
        <v>0</v>
      </c>
      <c r="CE33" s="24">
        <v>0</v>
      </c>
      <c r="CF33" s="19">
        <f>+Hoja2!CF33+Hoja1!CF33</f>
        <v>0</v>
      </c>
      <c r="CG33" s="24">
        <v>0</v>
      </c>
      <c r="CH33" s="19">
        <f>+Hoja2!CH33+Hoja1!CH33</f>
        <v>0</v>
      </c>
      <c r="CI33" s="24">
        <v>0</v>
      </c>
      <c r="CJ33" s="19">
        <f>+Hoja2!CJ33+Hoja1!CJ33</f>
        <v>0</v>
      </c>
      <c r="CK33" s="24">
        <v>0</v>
      </c>
      <c r="CL33" s="19">
        <f>+Hoja2!CL33+Hoja1!CL33</f>
        <v>0</v>
      </c>
      <c r="CM33" s="24">
        <v>0</v>
      </c>
      <c r="CN33" s="19">
        <f>+Hoja2!CN33+Hoja1!CN33</f>
        <v>0</v>
      </c>
      <c r="CO33" s="24">
        <v>0</v>
      </c>
      <c r="CP33" s="19">
        <f>+Hoja2!CP33+Hoja1!CP33</f>
        <v>0</v>
      </c>
      <c r="CQ33" s="24">
        <v>0</v>
      </c>
      <c r="CR33" s="19">
        <f>+Hoja2!CR33+Hoja1!CR33</f>
        <v>0</v>
      </c>
      <c r="CS33" s="24">
        <v>0</v>
      </c>
      <c r="CT33" s="19">
        <f>+Hoja2!CT33+Hoja1!CT33</f>
        <v>0</v>
      </c>
      <c r="CU33" s="24">
        <v>0</v>
      </c>
      <c r="CV33" s="19">
        <f>+Hoja2!CV33+Hoja1!CV33</f>
        <v>258</v>
      </c>
      <c r="CW33" s="24">
        <v>0</v>
      </c>
      <c r="CX33" s="19">
        <f>+Hoja2!CX33+Hoja1!CX33</f>
        <v>0</v>
      </c>
      <c r="CY33" s="24">
        <v>0</v>
      </c>
      <c r="CZ33" s="19">
        <f>+Hoja2!CZ33+Hoja1!CZ33</f>
        <v>0</v>
      </c>
      <c r="DA33" s="24">
        <v>0</v>
      </c>
      <c r="DB33" s="19">
        <f>+Hoja2!DB33+Hoja1!DB33</f>
        <v>0</v>
      </c>
      <c r="DC33" s="24">
        <v>0</v>
      </c>
      <c r="DD33" s="19">
        <f>+Hoja2!DD33+Hoja1!DD33</f>
        <v>0</v>
      </c>
      <c r="DE33" s="24">
        <v>0</v>
      </c>
      <c r="DF33" s="19">
        <f>+Hoja2!DF33+Hoja1!DF33</f>
        <v>0</v>
      </c>
      <c r="DG33" s="24">
        <v>0</v>
      </c>
      <c r="DH33" s="19">
        <f>+Hoja2!DH33+Hoja1!DH33</f>
        <v>0</v>
      </c>
      <c r="DI33" s="24">
        <v>0</v>
      </c>
      <c r="DJ33" s="19">
        <f>+Hoja2!DJ33+Hoja1!DJ33</f>
        <v>0</v>
      </c>
      <c r="DK33" s="24">
        <v>0</v>
      </c>
      <c r="DL33" s="19">
        <f>+Hoja2!DL33+Hoja1!DL33</f>
        <v>0</v>
      </c>
      <c r="DM33" s="24">
        <v>0</v>
      </c>
      <c r="DN33" s="19">
        <f>+Hoja2!DN33+Hoja1!DN33</f>
        <v>0</v>
      </c>
      <c r="DO33" s="24">
        <v>0</v>
      </c>
      <c r="DP33" s="19">
        <f>+Hoja2!DP33+Hoja1!DP33</f>
        <v>0</v>
      </c>
      <c r="DQ33" s="24">
        <v>0</v>
      </c>
      <c r="DR33" s="19">
        <f>+Hoja2!DR33+Hoja1!DR33</f>
        <v>0</v>
      </c>
      <c r="DS33" s="24">
        <v>0</v>
      </c>
      <c r="DT33" s="19">
        <f>+Hoja2!DT33+Hoja1!DT33</f>
        <v>0</v>
      </c>
      <c r="DU33" s="24">
        <v>0</v>
      </c>
      <c r="DV33" s="19">
        <f>+Hoja2!DV33+Hoja1!DV33</f>
        <v>0</v>
      </c>
      <c r="DW33" s="24">
        <v>0</v>
      </c>
      <c r="DX33" s="19">
        <f>+Hoja2!DX33+Hoja1!DX33</f>
        <v>0</v>
      </c>
      <c r="DY33" s="24">
        <v>0</v>
      </c>
      <c r="DZ33" s="19">
        <f>+Hoja2!DZ33+Hoja1!DZ33</f>
        <v>0</v>
      </c>
      <c r="EA33" s="24">
        <v>0</v>
      </c>
      <c r="EB33" s="19">
        <f>+Hoja2!EB33+Hoja1!EB33</f>
        <v>0</v>
      </c>
      <c r="EC33" s="24">
        <v>0</v>
      </c>
      <c r="ED33" s="19">
        <f>+Hoja2!ED33+Hoja1!ED33</f>
        <v>0</v>
      </c>
      <c r="EE33" s="24">
        <v>0</v>
      </c>
      <c r="EF33" s="19">
        <f>+Hoja2!EF33+Hoja1!EF33</f>
        <v>0</v>
      </c>
      <c r="EG33" s="24">
        <v>0</v>
      </c>
      <c r="EH33" s="19">
        <f>+Hoja2!EH33+Hoja1!EH33</f>
        <v>0</v>
      </c>
      <c r="EI33" s="24">
        <v>0</v>
      </c>
      <c r="EJ33" s="19">
        <f>+Hoja2!EJ33+Hoja1!EJ33</f>
        <v>0</v>
      </c>
      <c r="EK33" s="24">
        <v>0</v>
      </c>
      <c r="EL33" s="19">
        <f>+Hoja2!EL33+Hoja1!EL33</f>
        <v>0</v>
      </c>
      <c r="EM33" s="24">
        <v>0</v>
      </c>
      <c r="EN33" s="19">
        <f>+Hoja2!EN33+Hoja1!EN33</f>
        <v>0</v>
      </c>
      <c r="EO33" s="24">
        <v>0</v>
      </c>
      <c r="EP33" s="19">
        <f>+Hoja2!EP33+Hoja1!EP33</f>
        <v>0</v>
      </c>
      <c r="EQ33" s="24">
        <v>0</v>
      </c>
      <c r="ER33" s="19">
        <f>+Hoja2!ER33+Hoja1!ER33</f>
        <v>0</v>
      </c>
      <c r="ES33" s="24">
        <v>0</v>
      </c>
      <c r="ET33" s="19">
        <f>+Hoja2!ET33+Hoja1!ET33</f>
        <v>0</v>
      </c>
      <c r="EU33" s="24">
        <v>0</v>
      </c>
    </row>
    <row r="34" spans="1:151" x14ac:dyDescent="0.25">
      <c r="A34" s="24" t="s">
        <v>53</v>
      </c>
      <c r="B34" s="25">
        <v>25</v>
      </c>
      <c r="C34" s="24" t="s">
        <v>56</v>
      </c>
      <c r="D34" s="24">
        <v>432866</v>
      </c>
      <c r="E34" s="26">
        <v>535</v>
      </c>
      <c r="F34" s="26">
        <v>297482</v>
      </c>
      <c r="G34" s="26">
        <v>16943</v>
      </c>
      <c r="H34" s="26">
        <v>314425</v>
      </c>
      <c r="I34" s="1">
        <v>2385</v>
      </c>
      <c r="J34" s="19">
        <f>+INT(([1]Hoja1!M34/[1]Hoja1!O34)*M34)</f>
        <v>27611201</v>
      </c>
      <c r="K34" s="19">
        <f>+INT(([1]Hoja1!N34/[1]Hoja1!O34)*M34)</f>
        <v>27406137</v>
      </c>
      <c r="L34" s="19">
        <f t="shared" si="1"/>
        <v>206439</v>
      </c>
      <c r="M34" s="19">
        <f t="shared" si="2"/>
        <v>205064</v>
      </c>
      <c r="N34" s="22">
        <f t="shared" si="0"/>
        <v>203524</v>
      </c>
      <c r="O34" s="26">
        <v>1540</v>
      </c>
      <c r="P34" s="26">
        <v>1375</v>
      </c>
      <c r="Q34" s="22">
        <f t="shared" si="3"/>
        <v>4</v>
      </c>
      <c r="R34" s="19">
        <f>+Hoja2!R34+Hoja1!R34</f>
        <v>41979</v>
      </c>
      <c r="S34" s="24">
        <v>1</v>
      </c>
      <c r="T34" s="19">
        <f>+Hoja2!T34+Hoja1!T34</f>
        <v>20692</v>
      </c>
      <c r="U34" s="24">
        <v>0</v>
      </c>
      <c r="V34" s="19">
        <f>+Hoja2!V34+Hoja1!V34</f>
        <v>9498</v>
      </c>
      <c r="W34" s="24">
        <v>0</v>
      </c>
      <c r="X34" s="19">
        <f>+Hoja2!X34+Hoja1!X34</f>
        <v>0</v>
      </c>
      <c r="Y34" s="24">
        <v>0</v>
      </c>
      <c r="Z34" s="19">
        <f>+Hoja2!Z34+Hoja1!Z34</f>
        <v>53819</v>
      </c>
      <c r="AA34" s="24">
        <v>2</v>
      </c>
      <c r="AB34" s="19">
        <f>+Hoja2!AB34+Hoja1!AB34</f>
        <v>0</v>
      </c>
      <c r="AC34" s="24">
        <v>0</v>
      </c>
      <c r="AD34" s="19">
        <f>+Hoja2!AD34+Hoja1!AD34</f>
        <v>45603</v>
      </c>
      <c r="AE34" s="24">
        <v>1</v>
      </c>
      <c r="AF34" s="19">
        <f>+Hoja2!AF34+Hoja1!AF34</f>
        <v>15928</v>
      </c>
      <c r="AG34" s="24">
        <v>0</v>
      </c>
      <c r="AH34" s="19">
        <f>+Hoja2!AH34+Hoja1!AH34</f>
        <v>0</v>
      </c>
      <c r="AI34" s="24">
        <v>0</v>
      </c>
      <c r="AJ34" s="19">
        <f>+Hoja2!AJ34+Hoja1!AJ34</f>
        <v>0</v>
      </c>
      <c r="AK34" s="24">
        <v>0</v>
      </c>
      <c r="AL34" s="19">
        <f>+Hoja2!AL34+Hoja1!AL34</f>
        <v>0</v>
      </c>
      <c r="AM34" s="24">
        <v>0</v>
      </c>
      <c r="AN34" s="19">
        <f>+Hoja2!AN34+Hoja1!AN34</f>
        <v>13745</v>
      </c>
      <c r="AO34" s="24">
        <v>0</v>
      </c>
      <c r="AP34" s="19">
        <f>+Hoja2!AP34+Hoja1!AP34</f>
        <v>0</v>
      </c>
      <c r="AQ34" s="24">
        <v>0</v>
      </c>
      <c r="AR34" s="19">
        <f>+Hoja2!AR34+Hoja1!AR34</f>
        <v>0</v>
      </c>
      <c r="AS34" s="24">
        <v>0</v>
      </c>
      <c r="AT34" s="19">
        <f>+Hoja2!AT34+Hoja1!AT34</f>
        <v>0</v>
      </c>
      <c r="AU34" s="24">
        <v>0</v>
      </c>
      <c r="AV34" s="19">
        <f>+Hoja2!AV34+Hoja1!AV34</f>
        <v>0</v>
      </c>
      <c r="AW34" s="24">
        <v>0</v>
      </c>
      <c r="AX34" s="19">
        <f>+Hoja2!AX34+Hoja1!AX34</f>
        <v>0</v>
      </c>
      <c r="AY34" s="24">
        <v>0</v>
      </c>
      <c r="AZ34" s="19">
        <f>+Hoja2!AZ34+Hoja1!AZ34</f>
        <v>0</v>
      </c>
      <c r="BA34" s="24">
        <v>0</v>
      </c>
      <c r="BB34" s="19">
        <f>+Hoja2!BB34+Hoja1!BB34</f>
        <v>0</v>
      </c>
      <c r="BC34" s="24">
        <v>0</v>
      </c>
      <c r="BD34" s="19">
        <f>+Hoja2!BD34+Hoja1!BD34</f>
        <v>1513</v>
      </c>
      <c r="BE34" s="24">
        <v>0</v>
      </c>
      <c r="BF34" s="19">
        <f>+Hoja2!BF34+Hoja1!BF34</f>
        <v>0</v>
      </c>
      <c r="BG34" s="24">
        <v>0</v>
      </c>
      <c r="BH34" s="19">
        <f>+Hoja2!BH34+Hoja1!BH34</f>
        <v>182</v>
      </c>
      <c r="BI34" s="24">
        <v>0</v>
      </c>
      <c r="BJ34" s="19">
        <f>+Hoja2!BJ34+Hoja1!BJ34</f>
        <v>168</v>
      </c>
      <c r="BK34" s="24">
        <v>0</v>
      </c>
      <c r="BL34" s="19">
        <f>+Hoja2!BL34+Hoja1!BL34</f>
        <v>0</v>
      </c>
      <c r="BM34" s="24">
        <v>0</v>
      </c>
      <c r="BN34" s="19">
        <f>+Hoja2!BN34+Hoja1!BN34</f>
        <v>0</v>
      </c>
      <c r="BO34" s="24">
        <v>0</v>
      </c>
      <c r="BP34" s="19">
        <f>+Hoja2!BP34+Hoja1!BP34</f>
        <v>0</v>
      </c>
      <c r="BQ34" s="24">
        <v>0</v>
      </c>
      <c r="BR34" s="19">
        <f>+Hoja2!BR34+Hoja1!BR34</f>
        <v>135</v>
      </c>
      <c r="BS34" s="24">
        <v>0</v>
      </c>
      <c r="BT34" s="19">
        <f>+Hoja2!BT34+Hoja1!BT34</f>
        <v>132</v>
      </c>
      <c r="BU34" s="24">
        <v>0</v>
      </c>
      <c r="BV34" s="19">
        <f>+Hoja2!BV34+Hoja1!BV34</f>
        <v>0</v>
      </c>
      <c r="BW34" s="24">
        <v>0</v>
      </c>
      <c r="BX34" s="19">
        <f>+Hoja2!BX34+Hoja1!BX34</f>
        <v>0</v>
      </c>
      <c r="BY34" s="24">
        <v>0</v>
      </c>
      <c r="BZ34" s="19">
        <f>+Hoja2!BZ34+Hoja1!BZ34</f>
        <v>0</v>
      </c>
      <c r="CA34" s="24">
        <v>0</v>
      </c>
      <c r="CB34" s="19">
        <f>+Hoja2!CB34+Hoja1!CB34</f>
        <v>0</v>
      </c>
      <c r="CC34" s="24">
        <v>0</v>
      </c>
      <c r="CD34" s="19">
        <f>+Hoja2!CD34+Hoja1!CD34</f>
        <v>0</v>
      </c>
      <c r="CE34" s="24">
        <v>0</v>
      </c>
      <c r="CF34" s="19">
        <f>+Hoja2!CF34+Hoja1!CF34</f>
        <v>0</v>
      </c>
      <c r="CG34" s="24">
        <v>0</v>
      </c>
      <c r="CH34" s="19">
        <f>+Hoja2!CH34+Hoja1!CH34</f>
        <v>0</v>
      </c>
      <c r="CI34" s="24">
        <v>0</v>
      </c>
      <c r="CJ34" s="19">
        <f>+Hoja2!CJ34+Hoja1!CJ34</f>
        <v>0</v>
      </c>
      <c r="CK34" s="24">
        <v>0</v>
      </c>
      <c r="CL34" s="19">
        <f>+Hoja2!CL34+Hoja1!CL34</f>
        <v>0</v>
      </c>
      <c r="CM34" s="24">
        <v>0</v>
      </c>
      <c r="CN34" s="19">
        <f>+Hoja2!CN34+Hoja1!CN34</f>
        <v>0</v>
      </c>
      <c r="CO34" s="24">
        <v>0</v>
      </c>
      <c r="CP34" s="19">
        <f>+Hoja2!CP34+Hoja1!CP34</f>
        <v>0</v>
      </c>
      <c r="CQ34" s="24">
        <v>0</v>
      </c>
      <c r="CR34" s="19">
        <f>+Hoja2!CR34+Hoja1!CR34</f>
        <v>0</v>
      </c>
      <c r="CS34" s="24">
        <v>0</v>
      </c>
      <c r="CT34" s="19">
        <f>+Hoja2!CT34+Hoja1!CT34</f>
        <v>0</v>
      </c>
      <c r="CU34" s="24">
        <v>0</v>
      </c>
      <c r="CV34" s="19">
        <f>+Hoja2!CV34+Hoja1!CV34</f>
        <v>130</v>
      </c>
      <c r="CW34" s="24">
        <v>0</v>
      </c>
      <c r="CX34" s="19">
        <f>+Hoja2!CX34+Hoja1!CX34</f>
        <v>0</v>
      </c>
      <c r="CY34" s="24">
        <v>0</v>
      </c>
      <c r="CZ34" s="19">
        <f>+Hoja2!CZ34+Hoja1!CZ34</f>
        <v>0</v>
      </c>
      <c r="DA34" s="24">
        <v>0</v>
      </c>
      <c r="DB34" s="19">
        <f>+Hoja2!DB34+Hoja1!DB34</f>
        <v>0</v>
      </c>
      <c r="DC34" s="24">
        <v>0</v>
      </c>
      <c r="DD34" s="19">
        <f>+Hoja2!DD34+Hoja1!DD34</f>
        <v>0</v>
      </c>
      <c r="DE34" s="24">
        <v>0</v>
      </c>
      <c r="DF34" s="19">
        <f>+Hoja2!DF34+Hoja1!DF34</f>
        <v>0</v>
      </c>
      <c r="DG34" s="24">
        <v>0</v>
      </c>
      <c r="DH34" s="19">
        <f>+Hoja2!DH34+Hoja1!DH34</f>
        <v>0</v>
      </c>
      <c r="DI34" s="24">
        <v>0</v>
      </c>
      <c r="DJ34" s="19">
        <f>+Hoja2!DJ34+Hoja1!DJ34</f>
        <v>0</v>
      </c>
      <c r="DK34" s="24">
        <v>0</v>
      </c>
      <c r="DL34" s="19">
        <f>+Hoja2!DL34+Hoja1!DL34</f>
        <v>0</v>
      </c>
      <c r="DM34" s="24">
        <v>0</v>
      </c>
      <c r="DN34" s="19">
        <f>+Hoja2!DN34+Hoja1!DN34</f>
        <v>0</v>
      </c>
      <c r="DO34" s="24">
        <v>0</v>
      </c>
      <c r="DP34" s="19">
        <f>+Hoja2!DP34+Hoja1!DP34</f>
        <v>0</v>
      </c>
      <c r="DQ34" s="24">
        <v>0</v>
      </c>
      <c r="DR34" s="19">
        <f>+Hoja2!DR34+Hoja1!DR34</f>
        <v>0</v>
      </c>
      <c r="DS34" s="24">
        <v>0</v>
      </c>
      <c r="DT34" s="19">
        <f>+Hoja2!DT34+Hoja1!DT34</f>
        <v>0</v>
      </c>
      <c r="DU34" s="24">
        <v>0</v>
      </c>
      <c r="DV34" s="19">
        <f>+Hoja2!DV34+Hoja1!DV34</f>
        <v>0</v>
      </c>
      <c r="DW34" s="24">
        <v>0</v>
      </c>
      <c r="DX34" s="19">
        <f>+Hoja2!DX34+Hoja1!DX34</f>
        <v>0</v>
      </c>
      <c r="DY34" s="24">
        <v>0</v>
      </c>
      <c r="DZ34" s="19">
        <f>+Hoja2!DZ34+Hoja1!DZ34</f>
        <v>0</v>
      </c>
      <c r="EA34" s="24">
        <v>0</v>
      </c>
      <c r="EB34" s="19">
        <f>+Hoja2!EB34+Hoja1!EB34</f>
        <v>0</v>
      </c>
      <c r="EC34" s="24">
        <v>0</v>
      </c>
      <c r="ED34" s="19">
        <f>+Hoja2!ED34+Hoja1!ED34</f>
        <v>0</v>
      </c>
      <c r="EE34" s="24">
        <v>0</v>
      </c>
      <c r="EF34" s="19">
        <f>+Hoja2!EF34+Hoja1!EF34</f>
        <v>0</v>
      </c>
      <c r="EG34" s="24">
        <v>0</v>
      </c>
      <c r="EH34" s="19">
        <f>+Hoja2!EH34+Hoja1!EH34</f>
        <v>0</v>
      </c>
      <c r="EI34" s="24">
        <v>0</v>
      </c>
      <c r="EJ34" s="19">
        <f>+Hoja2!EJ34+Hoja1!EJ34</f>
        <v>0</v>
      </c>
      <c r="EK34" s="24">
        <v>0</v>
      </c>
      <c r="EL34" s="19">
        <f>+Hoja2!EL34+Hoja1!EL34</f>
        <v>0</v>
      </c>
      <c r="EM34" s="24">
        <v>0</v>
      </c>
      <c r="EN34" s="19">
        <f>+Hoja2!EN34+Hoja1!EN34</f>
        <v>0</v>
      </c>
      <c r="EO34" s="24">
        <v>0</v>
      </c>
      <c r="EP34" s="19">
        <f>+Hoja2!EP34+Hoja1!EP34</f>
        <v>0</v>
      </c>
      <c r="EQ34" s="24">
        <v>0</v>
      </c>
      <c r="ER34" s="19">
        <f>+Hoja2!ER34+Hoja1!ER34</f>
        <v>0</v>
      </c>
      <c r="ES34" s="24">
        <v>0</v>
      </c>
      <c r="ET34" s="19">
        <f>+Hoja2!ET34+Hoja1!ET34</f>
        <v>0</v>
      </c>
      <c r="EU34" s="24">
        <v>0</v>
      </c>
    </row>
    <row r="35" spans="1:151" x14ac:dyDescent="0.25">
      <c r="A35" s="24" t="s">
        <v>53</v>
      </c>
      <c r="B35" s="25">
        <v>43</v>
      </c>
      <c r="C35" s="24" t="s">
        <v>57</v>
      </c>
      <c r="D35" s="24">
        <v>795902</v>
      </c>
      <c r="E35" s="26">
        <v>1011</v>
      </c>
      <c r="F35" s="26">
        <v>556270</v>
      </c>
      <c r="G35" s="26">
        <v>18596</v>
      </c>
      <c r="H35" s="26">
        <v>574866</v>
      </c>
      <c r="I35" s="1">
        <v>2969</v>
      </c>
      <c r="J35" s="19">
        <f>+INT(([1]Hoja1!M35/[1]Hoja1!O35)*M35)</f>
        <v>54308873</v>
      </c>
      <c r="K35" s="19">
        <f>+INT(([1]Hoja1!N35/[1]Hoja1!O35)*M35)</f>
        <v>53926306</v>
      </c>
      <c r="L35" s="19">
        <f t="shared" si="1"/>
        <v>385236</v>
      </c>
      <c r="M35" s="19">
        <f t="shared" si="2"/>
        <v>382567</v>
      </c>
      <c r="N35" s="22">
        <f t="shared" si="0"/>
        <v>379852</v>
      </c>
      <c r="O35" s="26">
        <v>2715</v>
      </c>
      <c r="P35" s="26">
        <v>2669</v>
      </c>
      <c r="Q35" s="22">
        <f t="shared" si="3"/>
        <v>6</v>
      </c>
      <c r="R35" s="19">
        <f>+Hoja2!R35+Hoja1!R35</f>
        <v>94421</v>
      </c>
      <c r="S35" s="24">
        <v>2</v>
      </c>
      <c r="T35" s="19">
        <f>+Hoja2!T35+Hoja1!T35</f>
        <v>48772</v>
      </c>
      <c r="U35" s="24">
        <v>0</v>
      </c>
      <c r="V35" s="19">
        <f>+Hoja2!V35+Hoja1!V35</f>
        <v>31746</v>
      </c>
      <c r="W35" s="24">
        <v>0</v>
      </c>
      <c r="X35" s="19">
        <f>+Hoja2!X35+Hoja1!X35</f>
        <v>0</v>
      </c>
      <c r="Y35" s="24">
        <v>0</v>
      </c>
      <c r="Z35" s="19">
        <f>+Hoja2!Z35+Hoja1!Z35</f>
        <v>81494</v>
      </c>
      <c r="AA35" s="24">
        <v>2</v>
      </c>
      <c r="AB35" s="19">
        <f>+Hoja2!AB35+Hoja1!AB35</f>
        <v>0</v>
      </c>
      <c r="AC35" s="24">
        <v>0</v>
      </c>
      <c r="AD35" s="19">
        <f>+Hoja2!AD35+Hoja1!AD35</f>
        <v>50174</v>
      </c>
      <c r="AE35" s="24">
        <v>1</v>
      </c>
      <c r="AF35" s="19">
        <f>+Hoja2!AF35+Hoja1!AF35</f>
        <v>45477</v>
      </c>
      <c r="AG35" s="24">
        <v>1</v>
      </c>
      <c r="AH35" s="19">
        <f>+Hoja2!AH35+Hoja1!AH35</f>
        <v>0</v>
      </c>
      <c r="AI35" s="24">
        <v>0</v>
      </c>
      <c r="AJ35" s="19">
        <f>+Hoja2!AJ35+Hoja1!AJ35</f>
        <v>0</v>
      </c>
      <c r="AK35" s="24">
        <v>0</v>
      </c>
      <c r="AL35" s="19">
        <f>+Hoja2!AL35+Hoja1!AL35</f>
        <v>0</v>
      </c>
      <c r="AM35" s="24">
        <v>0</v>
      </c>
      <c r="AN35" s="19">
        <f>+Hoja2!AN35+Hoja1!AN35</f>
        <v>21575</v>
      </c>
      <c r="AO35" s="24">
        <v>0</v>
      </c>
      <c r="AP35" s="19">
        <f>+Hoja2!AP35+Hoja1!AP35</f>
        <v>0</v>
      </c>
      <c r="AQ35" s="24">
        <v>0</v>
      </c>
      <c r="AR35" s="19">
        <f>+Hoja2!AR35+Hoja1!AR35</f>
        <v>0</v>
      </c>
      <c r="AS35" s="24">
        <v>0</v>
      </c>
      <c r="AT35" s="19">
        <f>+Hoja2!AT35+Hoja1!AT35</f>
        <v>0</v>
      </c>
      <c r="AU35" s="24">
        <v>0</v>
      </c>
      <c r="AV35" s="19">
        <f>+Hoja2!AV35+Hoja1!AV35</f>
        <v>0</v>
      </c>
      <c r="AW35" s="24">
        <v>0</v>
      </c>
      <c r="AX35" s="19">
        <f>+Hoja2!AX35+Hoja1!AX35</f>
        <v>0</v>
      </c>
      <c r="AY35" s="24">
        <v>0</v>
      </c>
      <c r="AZ35" s="19">
        <f>+Hoja2!AZ35+Hoja1!AZ35</f>
        <v>0</v>
      </c>
      <c r="BA35" s="24">
        <v>0</v>
      </c>
      <c r="BB35" s="19">
        <f>+Hoja2!BB35+Hoja1!BB35</f>
        <v>0</v>
      </c>
      <c r="BC35" s="24">
        <v>0</v>
      </c>
      <c r="BD35" s="19">
        <f>+Hoja2!BD35+Hoja1!BD35</f>
        <v>4565</v>
      </c>
      <c r="BE35" s="24">
        <v>0</v>
      </c>
      <c r="BF35" s="19">
        <f>+Hoja2!BF35+Hoja1!BF35</f>
        <v>0</v>
      </c>
      <c r="BG35" s="24">
        <v>0</v>
      </c>
      <c r="BH35" s="19">
        <f>+Hoja2!BH35+Hoja1!BH35</f>
        <v>530</v>
      </c>
      <c r="BI35" s="24">
        <v>0</v>
      </c>
      <c r="BJ35" s="19">
        <f>+Hoja2!BJ35+Hoja1!BJ35</f>
        <v>349</v>
      </c>
      <c r="BK35" s="24">
        <v>0</v>
      </c>
      <c r="BL35" s="19">
        <f>+Hoja2!BL35+Hoja1!BL35</f>
        <v>0</v>
      </c>
      <c r="BM35" s="24">
        <v>0</v>
      </c>
      <c r="BN35" s="19">
        <f>+Hoja2!BN35+Hoja1!BN35</f>
        <v>0</v>
      </c>
      <c r="BO35" s="24">
        <v>0</v>
      </c>
      <c r="BP35" s="19">
        <f>+Hoja2!BP35+Hoja1!BP35</f>
        <v>0</v>
      </c>
      <c r="BQ35" s="24">
        <v>0</v>
      </c>
      <c r="BR35" s="19">
        <f>+Hoja2!BR35+Hoja1!BR35</f>
        <v>189</v>
      </c>
      <c r="BS35" s="24">
        <v>0</v>
      </c>
      <c r="BT35" s="19">
        <f>+Hoja2!BT35+Hoja1!BT35</f>
        <v>200</v>
      </c>
      <c r="BU35" s="24">
        <v>0</v>
      </c>
      <c r="BV35" s="19">
        <f>+Hoja2!BV35+Hoja1!BV35</f>
        <v>0</v>
      </c>
      <c r="BW35" s="24">
        <v>0</v>
      </c>
      <c r="BX35" s="19">
        <f>+Hoja2!BX35+Hoja1!BX35</f>
        <v>0</v>
      </c>
      <c r="BY35" s="24">
        <v>0</v>
      </c>
      <c r="BZ35" s="19">
        <f>+Hoja2!BZ35+Hoja1!BZ35</f>
        <v>0</v>
      </c>
      <c r="CA35" s="24">
        <v>0</v>
      </c>
      <c r="CB35" s="19">
        <f>+Hoja2!CB35+Hoja1!CB35</f>
        <v>0</v>
      </c>
      <c r="CC35" s="24">
        <v>0</v>
      </c>
      <c r="CD35" s="19">
        <f>+Hoja2!CD35+Hoja1!CD35</f>
        <v>0</v>
      </c>
      <c r="CE35" s="24">
        <v>0</v>
      </c>
      <c r="CF35" s="19">
        <f>+Hoja2!CF35+Hoja1!CF35</f>
        <v>0</v>
      </c>
      <c r="CG35" s="24">
        <v>0</v>
      </c>
      <c r="CH35" s="19">
        <f>+Hoja2!CH35+Hoja1!CH35</f>
        <v>0</v>
      </c>
      <c r="CI35" s="24">
        <v>0</v>
      </c>
      <c r="CJ35" s="19">
        <f>+Hoja2!CJ35+Hoja1!CJ35</f>
        <v>0</v>
      </c>
      <c r="CK35" s="24">
        <v>0</v>
      </c>
      <c r="CL35" s="19">
        <f>+Hoja2!CL35+Hoja1!CL35</f>
        <v>0</v>
      </c>
      <c r="CM35" s="24">
        <v>0</v>
      </c>
      <c r="CN35" s="19">
        <f>+Hoja2!CN35+Hoja1!CN35</f>
        <v>0</v>
      </c>
      <c r="CO35" s="24">
        <v>0</v>
      </c>
      <c r="CP35" s="19">
        <f>+Hoja2!CP35+Hoja1!CP35</f>
        <v>0</v>
      </c>
      <c r="CQ35" s="24">
        <v>0</v>
      </c>
      <c r="CR35" s="19">
        <f>+Hoja2!CR35+Hoja1!CR35</f>
        <v>0</v>
      </c>
      <c r="CS35" s="24">
        <v>0</v>
      </c>
      <c r="CT35" s="19">
        <f>+Hoja2!CT35+Hoja1!CT35</f>
        <v>0</v>
      </c>
      <c r="CU35" s="24">
        <v>0</v>
      </c>
      <c r="CV35" s="19">
        <f>+Hoja2!CV35+Hoja1!CV35</f>
        <v>360</v>
      </c>
      <c r="CW35" s="24">
        <v>0</v>
      </c>
      <c r="CX35" s="19">
        <f>+Hoja2!CX35+Hoja1!CX35</f>
        <v>0</v>
      </c>
      <c r="CY35" s="24">
        <v>0</v>
      </c>
      <c r="CZ35" s="19">
        <f>+Hoja2!CZ35+Hoja1!CZ35</f>
        <v>0</v>
      </c>
      <c r="DA35" s="24">
        <v>0</v>
      </c>
      <c r="DB35" s="19">
        <f>+Hoja2!DB35+Hoja1!DB35</f>
        <v>0</v>
      </c>
      <c r="DC35" s="24">
        <v>0</v>
      </c>
      <c r="DD35" s="19">
        <f>+Hoja2!DD35+Hoja1!DD35</f>
        <v>0</v>
      </c>
      <c r="DE35" s="24">
        <v>0</v>
      </c>
      <c r="DF35" s="19">
        <f>+Hoja2!DF35+Hoja1!DF35</f>
        <v>0</v>
      </c>
      <c r="DG35" s="24">
        <v>0</v>
      </c>
      <c r="DH35" s="19">
        <f>+Hoja2!DH35+Hoja1!DH35</f>
        <v>0</v>
      </c>
      <c r="DI35" s="24">
        <v>0</v>
      </c>
      <c r="DJ35" s="19">
        <f>+Hoja2!DJ35+Hoja1!DJ35</f>
        <v>0</v>
      </c>
      <c r="DK35" s="24">
        <v>0</v>
      </c>
      <c r="DL35" s="19">
        <f>+Hoja2!DL35+Hoja1!DL35</f>
        <v>0</v>
      </c>
      <c r="DM35" s="24">
        <v>0</v>
      </c>
      <c r="DN35" s="19">
        <f>+Hoja2!DN35+Hoja1!DN35</f>
        <v>0</v>
      </c>
      <c r="DO35" s="24">
        <v>0</v>
      </c>
      <c r="DP35" s="19">
        <f>+Hoja2!DP35+Hoja1!DP35</f>
        <v>0</v>
      </c>
      <c r="DQ35" s="24">
        <v>0</v>
      </c>
      <c r="DR35" s="19">
        <f>+Hoja2!DR35+Hoja1!DR35</f>
        <v>0</v>
      </c>
      <c r="DS35" s="24">
        <v>0</v>
      </c>
      <c r="DT35" s="19">
        <f>+Hoja2!DT35+Hoja1!DT35</f>
        <v>0</v>
      </c>
      <c r="DU35" s="24">
        <v>0</v>
      </c>
      <c r="DV35" s="19">
        <f>+Hoja2!DV35+Hoja1!DV35</f>
        <v>0</v>
      </c>
      <c r="DW35" s="24">
        <v>0</v>
      </c>
      <c r="DX35" s="19">
        <f>+Hoja2!DX35+Hoja1!DX35</f>
        <v>0</v>
      </c>
      <c r="DY35" s="24">
        <v>0</v>
      </c>
      <c r="DZ35" s="19">
        <f>+Hoja2!DZ35+Hoja1!DZ35</f>
        <v>0</v>
      </c>
      <c r="EA35" s="24">
        <v>0</v>
      </c>
      <c r="EB35" s="19">
        <f>+Hoja2!EB35+Hoja1!EB35</f>
        <v>0</v>
      </c>
      <c r="EC35" s="24">
        <v>0</v>
      </c>
      <c r="ED35" s="19">
        <f>+Hoja2!ED35+Hoja1!ED35</f>
        <v>0</v>
      </c>
      <c r="EE35" s="24">
        <v>0</v>
      </c>
      <c r="EF35" s="19">
        <f>+Hoja2!EF35+Hoja1!EF35</f>
        <v>0</v>
      </c>
      <c r="EG35" s="24">
        <v>0</v>
      </c>
      <c r="EH35" s="19">
        <f>+Hoja2!EH35+Hoja1!EH35</f>
        <v>0</v>
      </c>
      <c r="EI35" s="24">
        <v>0</v>
      </c>
      <c r="EJ35" s="19">
        <f>+Hoja2!EJ35+Hoja1!EJ35</f>
        <v>0</v>
      </c>
      <c r="EK35" s="24">
        <v>0</v>
      </c>
      <c r="EL35" s="19">
        <f>+Hoja2!EL35+Hoja1!EL35</f>
        <v>0</v>
      </c>
      <c r="EM35" s="24">
        <v>0</v>
      </c>
      <c r="EN35" s="19">
        <f>+Hoja2!EN35+Hoja1!EN35</f>
        <v>0</v>
      </c>
      <c r="EO35" s="24">
        <v>0</v>
      </c>
      <c r="EP35" s="19">
        <f>+Hoja2!EP35+Hoja1!EP35</f>
        <v>0</v>
      </c>
      <c r="EQ35" s="24">
        <v>0</v>
      </c>
      <c r="ER35" s="19">
        <f>+Hoja2!ER35+Hoja1!ER35</f>
        <v>0</v>
      </c>
      <c r="ES35" s="24">
        <v>0</v>
      </c>
      <c r="ET35" s="19">
        <f>+Hoja2!ET35+Hoja1!ET35</f>
        <v>0</v>
      </c>
      <c r="EU35" s="24">
        <v>0</v>
      </c>
    </row>
    <row r="36" spans="1:151" x14ac:dyDescent="0.25">
      <c r="A36" s="24" t="s">
        <v>58</v>
      </c>
      <c r="B36" s="25">
        <v>6</v>
      </c>
      <c r="C36" s="24" t="s">
        <v>59</v>
      </c>
      <c r="D36" s="24">
        <v>676376</v>
      </c>
      <c r="E36" s="26">
        <v>898</v>
      </c>
      <c r="F36" s="26">
        <v>543391</v>
      </c>
      <c r="G36" s="26">
        <v>11603</v>
      </c>
      <c r="H36" s="26">
        <v>554994</v>
      </c>
      <c r="I36" s="1">
        <v>1499</v>
      </c>
      <c r="J36" s="19">
        <f>+INT(([1]Hoja1!M36/[1]Hoja1!O36)*M36)</f>
        <v>38994023</v>
      </c>
      <c r="K36" s="19">
        <f>+INT(([1]Hoja1!N36/[1]Hoja1!O36)*M36)</f>
        <v>38614890</v>
      </c>
      <c r="L36" s="19">
        <f t="shared" si="1"/>
        <v>385914</v>
      </c>
      <c r="M36" s="19">
        <f t="shared" si="2"/>
        <v>379133</v>
      </c>
      <c r="N36" s="22">
        <f t="shared" si="0"/>
        <v>375534</v>
      </c>
      <c r="O36" s="26">
        <v>3599</v>
      </c>
      <c r="P36" s="26">
        <v>6781</v>
      </c>
      <c r="Q36" s="22">
        <f t="shared" si="3"/>
        <v>6</v>
      </c>
      <c r="R36" s="19">
        <f>+Hoja2!R36+Hoja1!R36</f>
        <v>152379</v>
      </c>
      <c r="S36" s="24">
        <v>3</v>
      </c>
      <c r="T36" s="19">
        <f>+Hoja2!T36+Hoja1!T36</f>
        <v>118212</v>
      </c>
      <c r="U36" s="24">
        <v>2</v>
      </c>
      <c r="V36" s="19">
        <f>+Hoja2!V36+Hoja1!V36</f>
        <v>65296</v>
      </c>
      <c r="W36" s="24">
        <v>1</v>
      </c>
      <c r="X36" s="19">
        <f>+Hoja2!X36+Hoja1!X36</f>
        <v>35669</v>
      </c>
      <c r="Y36" s="24">
        <v>0</v>
      </c>
      <c r="Z36" s="19">
        <f>+Hoja2!Z36+Hoja1!Z36</f>
        <v>0</v>
      </c>
      <c r="AA36" s="24">
        <v>0</v>
      </c>
      <c r="AB36" s="19">
        <f>+Hoja2!AB36+Hoja1!AB36</f>
        <v>0</v>
      </c>
      <c r="AC36" s="24">
        <v>0</v>
      </c>
      <c r="AD36" s="19">
        <f>+Hoja2!AD36+Hoja1!AD36</f>
        <v>0</v>
      </c>
      <c r="AE36" s="24">
        <v>0</v>
      </c>
      <c r="AF36" s="19">
        <f>+Hoja2!AF36+Hoja1!AF36</f>
        <v>0</v>
      </c>
      <c r="AG36" s="24">
        <v>0</v>
      </c>
      <c r="AH36" s="19">
        <f>+Hoja2!AH36+Hoja1!AH36</f>
        <v>0</v>
      </c>
      <c r="AI36" s="24">
        <v>0</v>
      </c>
      <c r="AJ36" s="19">
        <f>+Hoja2!AJ36+Hoja1!AJ36</f>
        <v>0</v>
      </c>
      <c r="AK36" s="24">
        <v>0</v>
      </c>
      <c r="AL36" s="19">
        <f>+Hoja2!AL36+Hoja1!AL36</f>
        <v>0</v>
      </c>
      <c r="AM36" s="24">
        <v>0</v>
      </c>
      <c r="AN36" s="19">
        <f>+Hoja2!AN36+Hoja1!AN36</f>
        <v>0</v>
      </c>
      <c r="AO36" s="24">
        <v>0</v>
      </c>
      <c r="AP36" s="19">
        <f>+Hoja2!AP36+Hoja1!AP36</f>
        <v>0</v>
      </c>
      <c r="AQ36" s="24">
        <v>0</v>
      </c>
      <c r="AR36" s="19">
        <f>+Hoja2!AR36+Hoja1!AR36</f>
        <v>0</v>
      </c>
      <c r="AS36" s="24">
        <v>0</v>
      </c>
      <c r="AT36" s="19">
        <f>+Hoja2!AT36+Hoja1!AT36</f>
        <v>0</v>
      </c>
      <c r="AU36" s="24">
        <v>0</v>
      </c>
      <c r="AV36" s="19">
        <f>+Hoja2!AV36+Hoja1!AV36</f>
        <v>0</v>
      </c>
      <c r="AW36" s="24">
        <v>0</v>
      </c>
      <c r="AX36" s="19">
        <f>+Hoja2!AX36+Hoja1!AX36</f>
        <v>0</v>
      </c>
      <c r="AY36" s="24">
        <v>0</v>
      </c>
      <c r="AZ36" s="19">
        <f>+Hoja2!AZ36+Hoja1!AZ36</f>
        <v>0</v>
      </c>
      <c r="BA36" s="24">
        <v>0</v>
      </c>
      <c r="BB36" s="19">
        <f>+Hoja2!BB36+Hoja1!BB36</f>
        <v>0</v>
      </c>
      <c r="BC36" s="24">
        <v>0</v>
      </c>
      <c r="BD36" s="19">
        <f>+Hoja2!BD36+Hoja1!BD36</f>
        <v>2388</v>
      </c>
      <c r="BE36" s="24">
        <v>0</v>
      </c>
      <c r="BF36" s="19">
        <f>+Hoja2!BF36+Hoja1!BF36</f>
        <v>0</v>
      </c>
      <c r="BG36" s="24">
        <v>0</v>
      </c>
      <c r="BH36" s="19">
        <f>+Hoja2!BH36+Hoja1!BH36</f>
        <v>670</v>
      </c>
      <c r="BI36" s="24">
        <v>0</v>
      </c>
      <c r="BJ36" s="19">
        <f>+Hoja2!BJ36+Hoja1!BJ36</f>
        <v>920</v>
      </c>
      <c r="BK36" s="24">
        <v>0</v>
      </c>
      <c r="BL36" s="19">
        <f>+Hoja2!BL36+Hoja1!BL36</f>
        <v>0</v>
      </c>
      <c r="BM36" s="24">
        <v>0</v>
      </c>
      <c r="BN36" s="19">
        <f>+Hoja2!BN36+Hoja1!BN36</f>
        <v>0</v>
      </c>
      <c r="BO36" s="24">
        <v>0</v>
      </c>
      <c r="BP36" s="19">
        <f>+Hoja2!BP36+Hoja1!BP36</f>
        <v>0</v>
      </c>
      <c r="BQ36" s="24">
        <v>0</v>
      </c>
      <c r="BR36" s="19">
        <f>+Hoja2!BR36+Hoja1!BR36</f>
        <v>0</v>
      </c>
      <c r="BS36" s="24">
        <v>0</v>
      </c>
      <c r="BT36" s="19">
        <f>+Hoja2!BT36+Hoja1!BT36</f>
        <v>0</v>
      </c>
      <c r="BU36" s="24">
        <v>0</v>
      </c>
      <c r="BV36" s="19">
        <f>+Hoja2!BV36+Hoja1!BV36</f>
        <v>0</v>
      </c>
      <c r="BW36" s="24">
        <v>0</v>
      </c>
      <c r="BX36" s="19">
        <f>+Hoja2!BX36+Hoja1!BX36</f>
        <v>0</v>
      </c>
      <c r="BY36" s="24">
        <v>0</v>
      </c>
      <c r="BZ36" s="19">
        <f>+Hoja2!BZ36+Hoja1!BZ36</f>
        <v>0</v>
      </c>
      <c r="CA36" s="24">
        <v>0</v>
      </c>
      <c r="CB36" s="19">
        <f>+Hoja2!CB36+Hoja1!CB36</f>
        <v>0</v>
      </c>
      <c r="CC36" s="24">
        <v>0</v>
      </c>
      <c r="CD36" s="19">
        <f>+Hoja2!CD36+Hoja1!CD36</f>
        <v>0</v>
      </c>
      <c r="CE36" s="24">
        <v>0</v>
      </c>
      <c r="CF36" s="19">
        <f>+Hoja2!CF36+Hoja1!CF36</f>
        <v>0</v>
      </c>
      <c r="CG36" s="24">
        <v>0</v>
      </c>
      <c r="CH36" s="19">
        <f>+Hoja2!CH36+Hoja1!CH36</f>
        <v>0</v>
      </c>
      <c r="CI36" s="24">
        <v>0</v>
      </c>
      <c r="CJ36" s="19">
        <f>+Hoja2!CJ36+Hoja1!CJ36</f>
        <v>0</v>
      </c>
      <c r="CK36" s="24">
        <v>0</v>
      </c>
      <c r="CL36" s="19">
        <f>+Hoja2!CL36+Hoja1!CL36</f>
        <v>0</v>
      </c>
      <c r="CM36" s="24">
        <v>0</v>
      </c>
      <c r="CN36" s="19">
        <f>+Hoja2!CN36+Hoja1!CN36</f>
        <v>0</v>
      </c>
      <c r="CO36" s="24">
        <v>0</v>
      </c>
      <c r="CP36" s="19">
        <f>+Hoja2!CP36+Hoja1!CP36</f>
        <v>0</v>
      </c>
      <c r="CQ36" s="24">
        <v>0</v>
      </c>
      <c r="CR36" s="19">
        <f>+Hoja2!CR36+Hoja1!CR36</f>
        <v>0</v>
      </c>
      <c r="CS36" s="24">
        <v>0</v>
      </c>
      <c r="CT36" s="19">
        <f>+Hoja2!CT36+Hoja1!CT36</f>
        <v>0</v>
      </c>
      <c r="CU36" s="24">
        <v>0</v>
      </c>
      <c r="CV36" s="19">
        <f>+Hoja2!CV36+Hoja1!CV36</f>
        <v>0</v>
      </c>
      <c r="CW36" s="24">
        <v>0</v>
      </c>
      <c r="CX36" s="19">
        <f>+Hoja2!CX36+Hoja1!CX36</f>
        <v>0</v>
      </c>
      <c r="CY36" s="24">
        <v>0</v>
      </c>
      <c r="CZ36" s="19">
        <f>+Hoja2!CZ36+Hoja1!CZ36</f>
        <v>0</v>
      </c>
      <c r="DA36" s="24">
        <v>0</v>
      </c>
      <c r="DB36" s="19">
        <f>+Hoja2!DB36+Hoja1!DB36</f>
        <v>0</v>
      </c>
      <c r="DC36" s="24">
        <v>0</v>
      </c>
      <c r="DD36" s="19">
        <f>+Hoja2!DD36+Hoja1!DD36</f>
        <v>0</v>
      </c>
      <c r="DE36" s="24">
        <v>0</v>
      </c>
      <c r="DF36" s="19">
        <f>+Hoja2!DF36+Hoja1!DF36</f>
        <v>0</v>
      </c>
      <c r="DG36" s="24">
        <v>0</v>
      </c>
      <c r="DH36" s="19">
        <f>+Hoja2!DH36+Hoja1!DH36</f>
        <v>0</v>
      </c>
      <c r="DI36" s="24">
        <v>0</v>
      </c>
      <c r="DJ36" s="19">
        <f>+Hoja2!DJ36+Hoja1!DJ36</f>
        <v>0</v>
      </c>
      <c r="DK36" s="24">
        <v>0</v>
      </c>
      <c r="DL36" s="19">
        <f>+Hoja2!DL36+Hoja1!DL36</f>
        <v>0</v>
      </c>
      <c r="DM36" s="24">
        <v>0</v>
      </c>
      <c r="DN36" s="19">
        <f>+Hoja2!DN36+Hoja1!DN36</f>
        <v>0</v>
      </c>
      <c r="DO36" s="24">
        <v>0</v>
      </c>
      <c r="DP36" s="19">
        <f>+Hoja2!DP36+Hoja1!DP36</f>
        <v>0</v>
      </c>
      <c r="DQ36" s="24">
        <v>0</v>
      </c>
      <c r="DR36" s="19">
        <f>+Hoja2!DR36+Hoja1!DR36</f>
        <v>0</v>
      </c>
      <c r="DS36" s="24">
        <v>0</v>
      </c>
      <c r="DT36" s="19">
        <f>+Hoja2!DT36+Hoja1!DT36</f>
        <v>0</v>
      </c>
      <c r="DU36" s="24">
        <v>0</v>
      </c>
      <c r="DV36" s="19">
        <f>+Hoja2!DV36+Hoja1!DV36</f>
        <v>0</v>
      </c>
      <c r="DW36" s="24">
        <v>0</v>
      </c>
      <c r="DX36" s="19">
        <f>+Hoja2!DX36+Hoja1!DX36</f>
        <v>0</v>
      </c>
      <c r="DY36" s="24">
        <v>0</v>
      </c>
      <c r="DZ36" s="19">
        <f>+Hoja2!DZ36+Hoja1!DZ36</f>
        <v>0</v>
      </c>
      <c r="EA36" s="24">
        <v>0</v>
      </c>
      <c r="EB36" s="19">
        <f>+Hoja2!EB36+Hoja1!EB36</f>
        <v>0</v>
      </c>
      <c r="EC36" s="24">
        <v>0</v>
      </c>
      <c r="ED36" s="19">
        <f>+Hoja2!ED36+Hoja1!ED36</f>
        <v>0</v>
      </c>
      <c r="EE36" s="24">
        <v>0</v>
      </c>
      <c r="EF36" s="19">
        <f>+Hoja2!EF36+Hoja1!EF36</f>
        <v>0</v>
      </c>
      <c r="EG36" s="24">
        <v>0</v>
      </c>
      <c r="EH36" s="19">
        <f>+Hoja2!EH36+Hoja1!EH36</f>
        <v>0</v>
      </c>
      <c r="EI36" s="24">
        <v>0</v>
      </c>
      <c r="EJ36" s="19">
        <f>+Hoja2!EJ36+Hoja1!EJ36</f>
        <v>0</v>
      </c>
      <c r="EK36" s="24">
        <v>0</v>
      </c>
      <c r="EL36" s="19">
        <f>+Hoja2!EL36+Hoja1!EL36</f>
        <v>0</v>
      </c>
      <c r="EM36" s="24">
        <v>0</v>
      </c>
      <c r="EN36" s="19">
        <f>+Hoja2!EN36+Hoja1!EN36</f>
        <v>0</v>
      </c>
      <c r="EO36" s="24">
        <v>0</v>
      </c>
      <c r="EP36" s="19">
        <f>+Hoja2!EP36+Hoja1!EP36</f>
        <v>0</v>
      </c>
      <c r="EQ36" s="24">
        <v>0</v>
      </c>
      <c r="ER36" s="19">
        <f>+Hoja2!ER36+Hoja1!ER36</f>
        <v>0</v>
      </c>
      <c r="ES36" s="24">
        <v>0</v>
      </c>
      <c r="ET36" s="19">
        <f>+Hoja2!ET36+Hoja1!ET36</f>
        <v>0</v>
      </c>
      <c r="EU36" s="24">
        <v>0</v>
      </c>
    </row>
    <row r="37" spans="1:151" x14ac:dyDescent="0.25">
      <c r="A37" s="24" t="s">
        <v>58</v>
      </c>
      <c r="B37" s="25">
        <v>10</v>
      </c>
      <c r="C37" s="24" t="s">
        <v>60</v>
      </c>
      <c r="D37" s="24">
        <v>396487</v>
      </c>
      <c r="E37" s="26">
        <v>513</v>
      </c>
      <c r="F37" s="26">
        <v>328213</v>
      </c>
      <c r="G37" s="26">
        <v>16232</v>
      </c>
      <c r="H37" s="26">
        <v>344445</v>
      </c>
      <c r="I37" s="1">
        <v>1642</v>
      </c>
      <c r="J37" s="19">
        <f>+INT(([1]Hoja1!M37/[1]Hoja1!O37)*M37)</f>
        <v>26980855</v>
      </c>
      <c r="K37" s="19">
        <f>+INT(([1]Hoja1!N37/[1]Hoja1!O37)*M37)</f>
        <v>26751963</v>
      </c>
      <c r="L37" s="19">
        <f t="shared" si="1"/>
        <v>233256</v>
      </c>
      <c r="M37" s="19">
        <f t="shared" si="2"/>
        <v>228892</v>
      </c>
      <c r="N37" s="22">
        <f t="shared" si="0"/>
        <v>226998</v>
      </c>
      <c r="O37" s="26">
        <v>1894</v>
      </c>
      <c r="P37" s="26">
        <v>4364</v>
      </c>
      <c r="Q37" s="22">
        <f t="shared" si="3"/>
        <v>4</v>
      </c>
      <c r="R37" s="19">
        <f>+Hoja2!R37+Hoja1!R37</f>
        <v>90944</v>
      </c>
      <c r="S37" s="24">
        <v>2</v>
      </c>
      <c r="T37" s="19">
        <f>+Hoja2!T37+Hoja1!T37</f>
        <v>75183</v>
      </c>
      <c r="U37" s="24">
        <v>1</v>
      </c>
      <c r="V37" s="19">
        <f>+Hoja2!V37+Hoja1!V37</f>
        <v>36523</v>
      </c>
      <c r="W37" s="24">
        <v>1</v>
      </c>
      <c r="X37" s="19">
        <f>+Hoja2!X37+Hoja1!X37</f>
        <v>21106</v>
      </c>
      <c r="Y37" s="24">
        <v>0</v>
      </c>
      <c r="Z37" s="19">
        <f>+Hoja2!Z37+Hoja1!Z37</f>
        <v>0</v>
      </c>
      <c r="AA37" s="24">
        <v>0</v>
      </c>
      <c r="AB37" s="19">
        <f>+Hoja2!AB37+Hoja1!AB37</f>
        <v>0</v>
      </c>
      <c r="AC37" s="24">
        <v>0</v>
      </c>
      <c r="AD37" s="19">
        <f>+Hoja2!AD37+Hoja1!AD37</f>
        <v>0</v>
      </c>
      <c r="AE37" s="24">
        <v>0</v>
      </c>
      <c r="AF37" s="19">
        <f>+Hoja2!AF37+Hoja1!AF37</f>
        <v>0</v>
      </c>
      <c r="AG37" s="24">
        <v>0</v>
      </c>
      <c r="AH37" s="19">
        <f>+Hoja2!AH37+Hoja1!AH37</f>
        <v>0</v>
      </c>
      <c r="AI37" s="24">
        <v>0</v>
      </c>
      <c r="AJ37" s="19">
        <f>+Hoja2!AJ37+Hoja1!AJ37</f>
        <v>0</v>
      </c>
      <c r="AK37" s="24">
        <v>0</v>
      </c>
      <c r="AL37" s="19">
        <f>+Hoja2!AL37+Hoja1!AL37</f>
        <v>0</v>
      </c>
      <c r="AM37" s="24">
        <v>0</v>
      </c>
      <c r="AN37" s="19">
        <f>+Hoja2!AN37+Hoja1!AN37</f>
        <v>0</v>
      </c>
      <c r="AO37" s="24">
        <v>0</v>
      </c>
      <c r="AP37" s="19">
        <f>+Hoja2!AP37+Hoja1!AP37</f>
        <v>0</v>
      </c>
      <c r="AQ37" s="24">
        <v>0</v>
      </c>
      <c r="AR37" s="19">
        <f>+Hoja2!AR37+Hoja1!AR37</f>
        <v>0</v>
      </c>
      <c r="AS37" s="24">
        <v>0</v>
      </c>
      <c r="AT37" s="19">
        <f>+Hoja2!AT37+Hoja1!AT37</f>
        <v>0</v>
      </c>
      <c r="AU37" s="24">
        <v>0</v>
      </c>
      <c r="AV37" s="19">
        <f>+Hoja2!AV37+Hoja1!AV37</f>
        <v>0</v>
      </c>
      <c r="AW37" s="24">
        <v>0</v>
      </c>
      <c r="AX37" s="19">
        <f>+Hoja2!AX37+Hoja1!AX37</f>
        <v>0</v>
      </c>
      <c r="AY37" s="24">
        <v>0</v>
      </c>
      <c r="AZ37" s="19">
        <f>+Hoja2!AZ37+Hoja1!AZ37</f>
        <v>0</v>
      </c>
      <c r="BA37" s="24">
        <v>0</v>
      </c>
      <c r="BB37" s="19">
        <f>+Hoja2!BB37+Hoja1!BB37</f>
        <v>0</v>
      </c>
      <c r="BC37" s="24">
        <v>0</v>
      </c>
      <c r="BD37" s="19">
        <f>+Hoja2!BD37+Hoja1!BD37</f>
        <v>1269</v>
      </c>
      <c r="BE37" s="24">
        <v>0</v>
      </c>
      <c r="BF37" s="19">
        <f>+Hoja2!BF37+Hoja1!BF37</f>
        <v>0</v>
      </c>
      <c r="BG37" s="24">
        <v>0</v>
      </c>
      <c r="BH37" s="19">
        <f>+Hoja2!BH37+Hoja1!BH37</f>
        <v>340</v>
      </c>
      <c r="BI37" s="24">
        <v>0</v>
      </c>
      <c r="BJ37" s="19">
        <f>+Hoja2!BJ37+Hoja1!BJ37</f>
        <v>293</v>
      </c>
      <c r="BK37" s="24">
        <v>0</v>
      </c>
      <c r="BL37" s="19">
        <f>+Hoja2!BL37+Hoja1!BL37</f>
        <v>0</v>
      </c>
      <c r="BM37" s="24">
        <v>0</v>
      </c>
      <c r="BN37" s="19">
        <f>+Hoja2!BN37+Hoja1!BN37</f>
        <v>0</v>
      </c>
      <c r="BO37" s="24">
        <v>0</v>
      </c>
      <c r="BP37" s="19">
        <f>+Hoja2!BP37+Hoja1!BP37</f>
        <v>0</v>
      </c>
      <c r="BQ37" s="24">
        <v>0</v>
      </c>
      <c r="BR37" s="19">
        <f>+Hoja2!BR37+Hoja1!BR37</f>
        <v>0</v>
      </c>
      <c r="BS37" s="24">
        <v>0</v>
      </c>
      <c r="BT37" s="19">
        <f>+Hoja2!BT37+Hoja1!BT37</f>
        <v>0</v>
      </c>
      <c r="BU37" s="24">
        <v>0</v>
      </c>
      <c r="BV37" s="19">
        <f>+Hoja2!BV37+Hoja1!BV37</f>
        <v>0</v>
      </c>
      <c r="BW37" s="24">
        <v>0</v>
      </c>
      <c r="BX37" s="19">
        <f>+Hoja2!BX37+Hoja1!BX37</f>
        <v>0</v>
      </c>
      <c r="BY37" s="24">
        <v>0</v>
      </c>
      <c r="BZ37" s="19">
        <f>+Hoja2!BZ37+Hoja1!BZ37</f>
        <v>0</v>
      </c>
      <c r="CA37" s="24">
        <v>0</v>
      </c>
      <c r="CB37" s="19">
        <f>+Hoja2!CB37+Hoja1!CB37</f>
        <v>0</v>
      </c>
      <c r="CC37" s="24">
        <v>0</v>
      </c>
      <c r="CD37" s="19">
        <f>+Hoja2!CD37+Hoja1!CD37</f>
        <v>0</v>
      </c>
      <c r="CE37" s="24">
        <v>0</v>
      </c>
      <c r="CF37" s="19">
        <f>+Hoja2!CF37+Hoja1!CF37</f>
        <v>0</v>
      </c>
      <c r="CG37" s="24">
        <v>0</v>
      </c>
      <c r="CH37" s="19">
        <f>+Hoja2!CH37+Hoja1!CH37</f>
        <v>0</v>
      </c>
      <c r="CI37" s="24">
        <v>0</v>
      </c>
      <c r="CJ37" s="19">
        <f>+Hoja2!CJ37+Hoja1!CJ37</f>
        <v>0</v>
      </c>
      <c r="CK37" s="24">
        <v>0</v>
      </c>
      <c r="CL37" s="19">
        <f>+Hoja2!CL37+Hoja1!CL37</f>
        <v>0</v>
      </c>
      <c r="CM37" s="24">
        <v>0</v>
      </c>
      <c r="CN37" s="19">
        <f>+Hoja2!CN37+Hoja1!CN37</f>
        <v>0</v>
      </c>
      <c r="CO37" s="24">
        <v>0</v>
      </c>
      <c r="CP37" s="19">
        <f>+Hoja2!CP37+Hoja1!CP37</f>
        <v>0</v>
      </c>
      <c r="CQ37" s="24">
        <v>0</v>
      </c>
      <c r="CR37" s="19">
        <f>+Hoja2!CR37+Hoja1!CR37</f>
        <v>0</v>
      </c>
      <c r="CS37" s="24">
        <v>0</v>
      </c>
      <c r="CT37" s="19">
        <f>+Hoja2!CT37+Hoja1!CT37</f>
        <v>0</v>
      </c>
      <c r="CU37" s="24">
        <v>0</v>
      </c>
      <c r="CV37" s="19">
        <f>+Hoja2!CV37+Hoja1!CV37</f>
        <v>0</v>
      </c>
      <c r="CW37" s="24">
        <v>0</v>
      </c>
      <c r="CX37" s="19">
        <f>+Hoja2!CX37+Hoja1!CX37</f>
        <v>0</v>
      </c>
      <c r="CY37" s="24">
        <v>0</v>
      </c>
      <c r="CZ37" s="19">
        <f>+Hoja2!CZ37+Hoja1!CZ37</f>
        <v>0</v>
      </c>
      <c r="DA37" s="24">
        <v>0</v>
      </c>
      <c r="DB37" s="19">
        <f>+Hoja2!DB37+Hoja1!DB37</f>
        <v>0</v>
      </c>
      <c r="DC37" s="24">
        <v>0</v>
      </c>
      <c r="DD37" s="19">
        <f>+Hoja2!DD37+Hoja1!DD37</f>
        <v>0</v>
      </c>
      <c r="DE37" s="24">
        <v>0</v>
      </c>
      <c r="DF37" s="19">
        <f>+Hoja2!DF37+Hoja1!DF37</f>
        <v>1340</v>
      </c>
      <c r="DG37" s="24">
        <v>0</v>
      </c>
      <c r="DH37" s="19">
        <f>+Hoja2!DH37+Hoja1!DH37</f>
        <v>0</v>
      </c>
      <c r="DI37" s="24">
        <v>0</v>
      </c>
      <c r="DJ37" s="19">
        <f>+Hoja2!DJ37+Hoja1!DJ37</f>
        <v>0</v>
      </c>
      <c r="DK37" s="24">
        <v>0</v>
      </c>
      <c r="DL37" s="19">
        <f>+Hoja2!DL37+Hoja1!DL37</f>
        <v>0</v>
      </c>
      <c r="DM37" s="24">
        <v>0</v>
      </c>
      <c r="DN37" s="19">
        <f>+Hoja2!DN37+Hoja1!DN37</f>
        <v>0</v>
      </c>
      <c r="DO37" s="24">
        <v>0</v>
      </c>
      <c r="DP37" s="19">
        <f>+Hoja2!DP37+Hoja1!DP37</f>
        <v>0</v>
      </c>
      <c r="DQ37" s="24">
        <v>0</v>
      </c>
      <c r="DR37" s="19">
        <f>+Hoja2!DR37+Hoja1!DR37</f>
        <v>0</v>
      </c>
      <c r="DS37" s="24">
        <v>0</v>
      </c>
      <c r="DT37" s="19">
        <f>+Hoja2!DT37+Hoja1!DT37</f>
        <v>0</v>
      </c>
      <c r="DU37" s="24">
        <v>0</v>
      </c>
      <c r="DV37" s="19">
        <f>+Hoja2!DV37+Hoja1!DV37</f>
        <v>0</v>
      </c>
      <c r="DW37" s="24">
        <v>0</v>
      </c>
      <c r="DX37" s="19">
        <f>+Hoja2!DX37+Hoja1!DX37</f>
        <v>0</v>
      </c>
      <c r="DY37" s="24">
        <v>0</v>
      </c>
      <c r="DZ37" s="19">
        <f>+Hoja2!DZ37+Hoja1!DZ37</f>
        <v>0</v>
      </c>
      <c r="EA37" s="24">
        <v>0</v>
      </c>
      <c r="EB37" s="19">
        <f>+Hoja2!EB37+Hoja1!EB37</f>
        <v>0</v>
      </c>
      <c r="EC37" s="24">
        <v>0</v>
      </c>
      <c r="ED37" s="19">
        <f>+Hoja2!ED37+Hoja1!ED37</f>
        <v>0</v>
      </c>
      <c r="EE37" s="24">
        <v>0</v>
      </c>
      <c r="EF37" s="19">
        <f>+Hoja2!EF37+Hoja1!EF37</f>
        <v>0</v>
      </c>
      <c r="EG37" s="24">
        <v>0</v>
      </c>
      <c r="EH37" s="19">
        <f>+Hoja2!EH37+Hoja1!EH37</f>
        <v>0</v>
      </c>
      <c r="EI37" s="24">
        <v>0</v>
      </c>
      <c r="EJ37" s="19">
        <f>+Hoja2!EJ37+Hoja1!EJ37</f>
        <v>0</v>
      </c>
      <c r="EK37" s="24">
        <v>0</v>
      </c>
      <c r="EL37" s="19">
        <f>+Hoja2!EL37+Hoja1!EL37</f>
        <v>0</v>
      </c>
      <c r="EM37" s="24">
        <v>0</v>
      </c>
      <c r="EN37" s="19">
        <f>+Hoja2!EN37+Hoja1!EN37</f>
        <v>0</v>
      </c>
      <c r="EO37" s="24">
        <v>0</v>
      </c>
      <c r="EP37" s="19">
        <f>+Hoja2!EP37+Hoja1!EP37</f>
        <v>0</v>
      </c>
      <c r="EQ37" s="24">
        <v>0</v>
      </c>
      <c r="ER37" s="19">
        <f>+Hoja2!ER37+Hoja1!ER37</f>
        <v>0</v>
      </c>
      <c r="ES37" s="24">
        <v>0</v>
      </c>
      <c r="ET37" s="19">
        <f>+Hoja2!ET37+Hoja1!ET37</f>
        <v>0</v>
      </c>
      <c r="EU37" s="24">
        <v>0</v>
      </c>
    </row>
    <row r="38" spans="1:151" x14ac:dyDescent="0.25">
      <c r="A38" s="24" t="s">
        <v>61</v>
      </c>
      <c r="B38" s="25">
        <v>15</v>
      </c>
      <c r="C38" s="24" t="s">
        <v>62</v>
      </c>
      <c r="D38" s="24">
        <v>1119351</v>
      </c>
      <c r="E38" s="26">
        <v>1541</v>
      </c>
      <c r="F38" s="26">
        <v>928240</v>
      </c>
      <c r="G38" s="26">
        <v>159599</v>
      </c>
      <c r="H38" s="26">
        <v>1087839</v>
      </c>
      <c r="I38" s="1">
        <v>10408</v>
      </c>
      <c r="J38" s="19">
        <f>+INT(([1]Hoja1!M38/[1]Hoja1!O38)*M38)</f>
        <v>52216760</v>
      </c>
      <c r="K38" s="19">
        <f>+INT(([1]Hoja1!N38/[1]Hoja1!O38)*M38)</f>
        <v>51594834</v>
      </c>
      <c r="L38" s="19">
        <f t="shared" si="1"/>
        <v>628982</v>
      </c>
      <c r="M38" s="19">
        <f t="shared" si="2"/>
        <v>621926</v>
      </c>
      <c r="N38" s="22">
        <f t="shared" si="0"/>
        <v>614619</v>
      </c>
      <c r="O38" s="26">
        <v>7307</v>
      </c>
      <c r="P38" s="26">
        <v>7056</v>
      </c>
      <c r="Q38" s="22">
        <f t="shared" si="3"/>
        <v>8</v>
      </c>
      <c r="R38" s="19">
        <f>+Hoja2!R38+Hoja1!R38</f>
        <v>196232</v>
      </c>
      <c r="S38" s="24">
        <v>3</v>
      </c>
      <c r="T38" s="19">
        <f>+Hoja2!T38+Hoja1!T38</f>
        <v>213644</v>
      </c>
      <c r="U38" s="24">
        <v>3</v>
      </c>
      <c r="V38" s="19">
        <f>+Hoja2!V38+Hoja1!V38</f>
        <v>51331</v>
      </c>
      <c r="W38" s="24">
        <v>0</v>
      </c>
      <c r="X38" s="19">
        <f>+Hoja2!X38+Hoja1!X38</f>
        <v>0</v>
      </c>
      <c r="Y38" s="24">
        <v>0</v>
      </c>
      <c r="Z38" s="19">
        <f>+Hoja2!Z38+Hoja1!Z38</f>
        <v>0</v>
      </c>
      <c r="AA38" s="24">
        <v>0</v>
      </c>
      <c r="AB38" s="19">
        <f>+Hoja2!AB38+Hoja1!AB38</f>
        <v>0</v>
      </c>
      <c r="AC38" s="24">
        <v>0</v>
      </c>
      <c r="AD38" s="19">
        <f>+Hoja2!AD38+Hoja1!AD38</f>
        <v>0</v>
      </c>
      <c r="AE38" s="24">
        <v>0</v>
      </c>
      <c r="AF38" s="19">
        <f>+Hoja2!AF38+Hoja1!AF38</f>
        <v>0</v>
      </c>
      <c r="AG38" s="24">
        <v>0</v>
      </c>
      <c r="AH38" s="19">
        <f>+Hoja2!AH38+Hoja1!AH38</f>
        <v>0</v>
      </c>
      <c r="AI38" s="24">
        <v>0</v>
      </c>
      <c r="AJ38" s="19">
        <f>+Hoja2!AJ38+Hoja1!AJ38</f>
        <v>0</v>
      </c>
      <c r="AK38" s="24">
        <v>0</v>
      </c>
      <c r="AL38" s="19">
        <f>+Hoja2!AL38+Hoja1!AL38</f>
        <v>13249</v>
      </c>
      <c r="AM38" s="24">
        <v>0</v>
      </c>
      <c r="AN38" s="19">
        <f>+Hoja2!AN38+Hoja1!AN38</f>
        <v>0</v>
      </c>
      <c r="AO38" s="24">
        <v>0</v>
      </c>
      <c r="AP38" s="19">
        <f>+Hoja2!AP38+Hoja1!AP38</f>
        <v>75142</v>
      </c>
      <c r="AQ38" s="24">
        <v>1</v>
      </c>
      <c r="AR38" s="19">
        <f>+Hoja2!AR38+Hoja1!AR38</f>
        <v>0</v>
      </c>
      <c r="AS38" s="24">
        <v>0</v>
      </c>
      <c r="AT38" s="19">
        <f>+Hoja2!AT38+Hoja1!AT38</f>
        <v>0</v>
      </c>
      <c r="AU38" s="24">
        <v>0</v>
      </c>
      <c r="AV38" s="19">
        <f>+Hoja2!AV38+Hoja1!AV38</f>
        <v>0</v>
      </c>
      <c r="AW38" s="24">
        <v>0</v>
      </c>
      <c r="AX38" s="19">
        <f>+Hoja2!AX38+Hoja1!AX38</f>
        <v>56681</v>
      </c>
      <c r="AY38" s="24">
        <v>1</v>
      </c>
      <c r="AZ38" s="19">
        <f>+Hoja2!AZ38+Hoja1!AZ38</f>
        <v>0</v>
      </c>
      <c r="BA38" s="24">
        <v>0</v>
      </c>
      <c r="BB38" s="19">
        <f>+Hoja2!BB38+Hoja1!BB38</f>
        <v>0</v>
      </c>
      <c r="BC38" s="24">
        <v>0</v>
      </c>
      <c r="BD38" s="19">
        <f>+Hoja2!BD38+Hoja1!BD38</f>
        <v>4549</v>
      </c>
      <c r="BE38" s="24">
        <v>0</v>
      </c>
      <c r="BF38" s="19">
        <f>+Hoja2!BF38+Hoja1!BF38</f>
        <v>0</v>
      </c>
      <c r="BG38" s="24">
        <v>0</v>
      </c>
      <c r="BH38" s="19">
        <f>+Hoja2!BH38+Hoja1!BH38</f>
        <v>920</v>
      </c>
      <c r="BI38" s="24">
        <v>0</v>
      </c>
      <c r="BJ38" s="19">
        <f>+Hoja2!BJ38+Hoja1!BJ38</f>
        <v>603</v>
      </c>
      <c r="BK38" s="24">
        <v>0</v>
      </c>
      <c r="BL38" s="19">
        <f>+Hoja2!BL38+Hoja1!BL38</f>
        <v>0</v>
      </c>
      <c r="BM38" s="24">
        <v>0</v>
      </c>
      <c r="BN38" s="19">
        <f>+Hoja2!BN38+Hoja1!BN38</f>
        <v>0</v>
      </c>
      <c r="BO38" s="24">
        <v>0</v>
      </c>
      <c r="BP38" s="19">
        <f>+Hoja2!BP38+Hoja1!BP38</f>
        <v>0</v>
      </c>
      <c r="BQ38" s="24">
        <v>0</v>
      </c>
      <c r="BR38" s="19">
        <f>+Hoja2!BR38+Hoja1!BR38</f>
        <v>0</v>
      </c>
      <c r="BS38" s="24">
        <v>0</v>
      </c>
      <c r="BT38" s="19">
        <f>+Hoja2!BT38+Hoja1!BT38</f>
        <v>495</v>
      </c>
      <c r="BU38" s="24">
        <v>0</v>
      </c>
      <c r="BV38" s="19">
        <f>+Hoja2!BV38+Hoja1!BV38</f>
        <v>0</v>
      </c>
      <c r="BW38" s="24">
        <v>0</v>
      </c>
      <c r="BX38" s="19">
        <f>+Hoja2!BX38+Hoja1!BX38</f>
        <v>0</v>
      </c>
      <c r="BY38" s="24">
        <v>0</v>
      </c>
      <c r="BZ38" s="19">
        <f>+Hoja2!BZ38+Hoja1!BZ38</f>
        <v>1773</v>
      </c>
      <c r="CA38" s="24">
        <v>0</v>
      </c>
      <c r="CB38" s="19">
        <f>+Hoja2!CB38+Hoja1!CB38</f>
        <v>0</v>
      </c>
      <c r="CC38" s="24">
        <v>0</v>
      </c>
      <c r="CD38" s="19">
        <f>+Hoja2!CD38+Hoja1!CD38</f>
        <v>0</v>
      </c>
      <c r="CE38" s="24">
        <v>0</v>
      </c>
      <c r="CF38" s="19">
        <f>+Hoja2!CF38+Hoja1!CF38</f>
        <v>0</v>
      </c>
      <c r="CG38" s="24">
        <v>0</v>
      </c>
      <c r="CH38" s="19">
        <f>+Hoja2!CH38+Hoja1!CH38</f>
        <v>0</v>
      </c>
      <c r="CI38" s="24">
        <v>0</v>
      </c>
      <c r="CJ38" s="19">
        <f>+Hoja2!CJ38+Hoja1!CJ38</f>
        <v>0</v>
      </c>
      <c r="CK38" s="24">
        <v>0</v>
      </c>
      <c r="CL38" s="19">
        <f>+Hoja2!CL38+Hoja1!CL38</f>
        <v>0</v>
      </c>
      <c r="CM38" s="24">
        <v>0</v>
      </c>
      <c r="CN38" s="19">
        <f>+Hoja2!CN38+Hoja1!CN38</f>
        <v>0</v>
      </c>
      <c r="CO38" s="24">
        <v>0</v>
      </c>
      <c r="CP38" s="19">
        <f>+Hoja2!CP38+Hoja1!CP38</f>
        <v>0</v>
      </c>
      <c r="CQ38" s="24">
        <v>0</v>
      </c>
      <c r="CR38" s="19">
        <f>+Hoja2!CR38+Hoja1!CR38</f>
        <v>0</v>
      </c>
      <c r="CS38" s="24">
        <v>0</v>
      </c>
      <c r="CT38" s="19">
        <f>+Hoja2!CT38+Hoja1!CT38</f>
        <v>0</v>
      </c>
      <c r="CU38" s="24">
        <v>0</v>
      </c>
      <c r="CV38" s="19">
        <f>+Hoja2!CV38+Hoja1!CV38</f>
        <v>0</v>
      </c>
      <c r="CW38" s="24">
        <v>0</v>
      </c>
      <c r="CX38" s="19">
        <f>+Hoja2!CX38+Hoja1!CX38</f>
        <v>0</v>
      </c>
      <c r="CY38" s="24">
        <v>0</v>
      </c>
      <c r="CZ38" s="19">
        <f>+Hoja2!CZ38+Hoja1!CZ38</f>
        <v>0</v>
      </c>
      <c r="DA38" s="24">
        <v>0</v>
      </c>
      <c r="DB38" s="19">
        <f>+Hoja2!DB38+Hoja1!DB38</f>
        <v>0</v>
      </c>
      <c r="DC38" s="24">
        <v>0</v>
      </c>
      <c r="DD38" s="19">
        <f>+Hoja2!DD38+Hoja1!DD38</f>
        <v>0</v>
      </c>
      <c r="DE38" s="24">
        <v>0</v>
      </c>
      <c r="DF38" s="19">
        <f>+Hoja2!DF38+Hoja1!DF38</f>
        <v>0</v>
      </c>
      <c r="DG38" s="24">
        <v>0</v>
      </c>
      <c r="DH38" s="19">
        <f>+Hoja2!DH38+Hoja1!DH38</f>
        <v>0</v>
      </c>
      <c r="DI38" s="24">
        <v>0</v>
      </c>
      <c r="DJ38" s="19">
        <f>+Hoja2!DJ38+Hoja1!DJ38</f>
        <v>0</v>
      </c>
      <c r="DK38" s="24">
        <v>0</v>
      </c>
      <c r="DL38" s="19">
        <f>+Hoja2!DL38+Hoja1!DL38</f>
        <v>0</v>
      </c>
      <c r="DM38" s="24">
        <v>0</v>
      </c>
      <c r="DN38" s="19">
        <f>+Hoja2!DN38+Hoja1!DN38</f>
        <v>0</v>
      </c>
      <c r="DO38" s="24">
        <v>0</v>
      </c>
      <c r="DP38" s="19">
        <f>+Hoja2!DP38+Hoja1!DP38</f>
        <v>0</v>
      </c>
      <c r="DQ38" s="24">
        <v>0</v>
      </c>
      <c r="DR38" s="19">
        <f>+Hoja2!DR38+Hoja1!DR38</f>
        <v>0</v>
      </c>
      <c r="DS38" s="24">
        <v>0</v>
      </c>
      <c r="DT38" s="19">
        <f>+Hoja2!DT38+Hoja1!DT38</f>
        <v>0</v>
      </c>
      <c r="DU38" s="24">
        <v>0</v>
      </c>
      <c r="DV38" s="19">
        <f>+Hoja2!DV38+Hoja1!DV38</f>
        <v>0</v>
      </c>
      <c r="DW38" s="24">
        <v>0</v>
      </c>
      <c r="DX38" s="19">
        <f>+Hoja2!DX38+Hoja1!DX38</f>
        <v>0</v>
      </c>
      <c r="DY38" s="24">
        <v>0</v>
      </c>
      <c r="DZ38" s="19">
        <f>+Hoja2!DZ38+Hoja1!DZ38</f>
        <v>0</v>
      </c>
      <c r="EA38" s="24">
        <v>0</v>
      </c>
      <c r="EB38" s="19">
        <f>+Hoja2!EB38+Hoja1!EB38</f>
        <v>0</v>
      </c>
      <c r="EC38" s="24">
        <v>0</v>
      </c>
      <c r="ED38" s="19">
        <f>+Hoja2!ED38+Hoja1!ED38</f>
        <v>0</v>
      </c>
      <c r="EE38" s="24">
        <v>0</v>
      </c>
      <c r="EF38" s="19">
        <f>+Hoja2!EF38+Hoja1!EF38</f>
        <v>0</v>
      </c>
      <c r="EG38" s="24">
        <v>0</v>
      </c>
      <c r="EH38" s="19">
        <f>+Hoja2!EH38+Hoja1!EH38</f>
        <v>0</v>
      </c>
      <c r="EI38" s="24">
        <v>0</v>
      </c>
      <c r="EJ38" s="19">
        <f>+Hoja2!EJ38+Hoja1!EJ38</f>
        <v>0</v>
      </c>
      <c r="EK38" s="24">
        <v>0</v>
      </c>
      <c r="EL38" s="19">
        <f>+Hoja2!EL38+Hoja1!EL38</f>
        <v>0</v>
      </c>
      <c r="EM38" s="24">
        <v>0</v>
      </c>
      <c r="EN38" s="19">
        <f>+Hoja2!EN38+Hoja1!EN38</f>
        <v>0</v>
      </c>
      <c r="EO38" s="24">
        <v>0</v>
      </c>
      <c r="EP38" s="19">
        <f>+Hoja2!EP38+Hoja1!EP38</f>
        <v>0</v>
      </c>
      <c r="EQ38" s="24">
        <v>0</v>
      </c>
      <c r="ER38" s="19">
        <f>+Hoja2!ER38+Hoja1!ER38</f>
        <v>0</v>
      </c>
      <c r="ES38" s="24">
        <v>0</v>
      </c>
      <c r="ET38" s="19">
        <f>+Hoja2!ET38+Hoja1!ET38</f>
        <v>0</v>
      </c>
      <c r="EU38" s="24">
        <v>0</v>
      </c>
    </row>
    <row r="39" spans="1:151" x14ac:dyDescent="0.25">
      <c r="A39" s="24" t="s">
        <v>61</v>
      </c>
      <c r="B39" s="25">
        <v>27</v>
      </c>
      <c r="C39" s="24" t="s">
        <v>63</v>
      </c>
      <c r="D39" s="24">
        <v>331327</v>
      </c>
      <c r="E39" s="26">
        <v>538</v>
      </c>
      <c r="F39" s="26">
        <v>277220</v>
      </c>
      <c r="G39" s="26">
        <v>67226</v>
      </c>
      <c r="H39" s="26">
        <v>344446</v>
      </c>
      <c r="I39" s="1">
        <v>3673</v>
      </c>
      <c r="J39" s="19">
        <f>+INT(([1]Hoja1!M39/[1]Hoja1!O39)*M39)</f>
        <v>15774989</v>
      </c>
      <c r="K39" s="19">
        <f>+INT(([1]Hoja1!N39/[1]Hoja1!O39)*M39)</f>
        <v>15591621</v>
      </c>
      <c r="L39" s="19">
        <f t="shared" si="1"/>
        <v>186364</v>
      </c>
      <c r="M39" s="19">
        <f t="shared" si="2"/>
        <v>183368</v>
      </c>
      <c r="N39" s="22">
        <f t="shared" si="0"/>
        <v>181274</v>
      </c>
      <c r="O39" s="26">
        <v>2094</v>
      </c>
      <c r="P39" s="26">
        <v>2996</v>
      </c>
      <c r="Q39" s="22">
        <f t="shared" si="3"/>
        <v>4</v>
      </c>
      <c r="R39" s="19">
        <f>+Hoja2!R39+Hoja1!R39</f>
        <v>60994</v>
      </c>
      <c r="S39" s="24">
        <v>2</v>
      </c>
      <c r="T39" s="19">
        <f>+Hoja2!T39+Hoja1!T39</f>
        <v>74548</v>
      </c>
      <c r="U39" s="24">
        <v>2</v>
      </c>
      <c r="V39" s="19">
        <f>+Hoja2!V39+Hoja1!V39</f>
        <v>14945</v>
      </c>
      <c r="W39" s="24">
        <v>0</v>
      </c>
      <c r="X39" s="19">
        <f>+Hoja2!X39+Hoja1!X39</f>
        <v>0</v>
      </c>
      <c r="Y39" s="24">
        <v>0</v>
      </c>
      <c r="Z39" s="19">
        <f>+Hoja2!Z39+Hoja1!Z39</f>
        <v>0</v>
      </c>
      <c r="AA39" s="24">
        <v>0</v>
      </c>
      <c r="AB39" s="19">
        <f>+Hoja2!AB39+Hoja1!AB39</f>
        <v>0</v>
      </c>
      <c r="AC39" s="24">
        <v>0</v>
      </c>
      <c r="AD39" s="19">
        <f>+Hoja2!AD39+Hoja1!AD39</f>
        <v>0</v>
      </c>
      <c r="AE39" s="24">
        <v>0</v>
      </c>
      <c r="AF39" s="19">
        <f>+Hoja2!AF39+Hoja1!AF39</f>
        <v>0</v>
      </c>
      <c r="AG39" s="24">
        <v>0</v>
      </c>
      <c r="AH39" s="19">
        <f>+Hoja2!AH39+Hoja1!AH39</f>
        <v>0</v>
      </c>
      <c r="AI39" s="24">
        <v>0</v>
      </c>
      <c r="AJ39" s="19">
        <f>+Hoja2!AJ39+Hoja1!AJ39</f>
        <v>0</v>
      </c>
      <c r="AK39" s="24">
        <v>0</v>
      </c>
      <c r="AL39" s="19">
        <f>+Hoja2!AL39+Hoja1!AL39</f>
        <v>0</v>
      </c>
      <c r="AM39" s="24">
        <v>0</v>
      </c>
      <c r="AN39" s="19">
        <f>+Hoja2!AN39+Hoja1!AN39</f>
        <v>0</v>
      </c>
      <c r="AO39" s="24">
        <v>0</v>
      </c>
      <c r="AP39" s="19">
        <f>+Hoja2!AP39+Hoja1!AP39</f>
        <v>16134</v>
      </c>
      <c r="AQ39" s="24">
        <v>0</v>
      </c>
      <c r="AR39" s="19">
        <f>+Hoja2!AR39+Hoja1!AR39</f>
        <v>0</v>
      </c>
      <c r="AS39" s="24">
        <v>0</v>
      </c>
      <c r="AT39" s="19">
        <f>+Hoja2!AT39+Hoja1!AT39</f>
        <v>0</v>
      </c>
      <c r="AU39" s="24">
        <v>0</v>
      </c>
      <c r="AV39" s="19">
        <f>+Hoja2!AV39+Hoja1!AV39</f>
        <v>0</v>
      </c>
      <c r="AW39" s="24">
        <v>0</v>
      </c>
      <c r="AX39" s="19">
        <f>+Hoja2!AX39+Hoja1!AX39</f>
        <v>12616</v>
      </c>
      <c r="AY39" s="24">
        <v>0</v>
      </c>
      <c r="AZ39" s="19">
        <f>+Hoja2!AZ39+Hoja1!AZ39</f>
        <v>0</v>
      </c>
      <c r="BA39" s="24">
        <v>0</v>
      </c>
      <c r="BB39" s="19">
        <f>+Hoja2!BB39+Hoja1!BB39</f>
        <v>0</v>
      </c>
      <c r="BC39" s="24">
        <v>0</v>
      </c>
      <c r="BD39" s="19">
        <f>+Hoja2!BD39+Hoja1!BD39</f>
        <v>1184</v>
      </c>
      <c r="BE39" s="24">
        <v>0</v>
      </c>
      <c r="BF39" s="19">
        <f>+Hoja2!BF39+Hoja1!BF39</f>
        <v>0</v>
      </c>
      <c r="BG39" s="24">
        <v>0</v>
      </c>
      <c r="BH39" s="19">
        <f>+Hoja2!BH39+Hoja1!BH39</f>
        <v>235</v>
      </c>
      <c r="BI39" s="24">
        <v>0</v>
      </c>
      <c r="BJ39" s="19">
        <f>+Hoja2!BJ39+Hoja1!BJ39</f>
        <v>219</v>
      </c>
      <c r="BK39" s="24">
        <v>0</v>
      </c>
      <c r="BL39" s="19">
        <f>+Hoja2!BL39+Hoja1!BL39</f>
        <v>0</v>
      </c>
      <c r="BM39" s="24">
        <v>0</v>
      </c>
      <c r="BN39" s="19">
        <f>+Hoja2!BN39+Hoja1!BN39</f>
        <v>0</v>
      </c>
      <c r="BO39" s="24">
        <v>0</v>
      </c>
      <c r="BP39" s="19">
        <f>+Hoja2!BP39+Hoja1!BP39</f>
        <v>0</v>
      </c>
      <c r="BQ39" s="24">
        <v>0</v>
      </c>
      <c r="BR39" s="19">
        <f>+Hoja2!BR39+Hoja1!BR39</f>
        <v>0</v>
      </c>
      <c r="BS39" s="24">
        <v>0</v>
      </c>
      <c r="BT39" s="19">
        <f>+Hoja2!BT39+Hoja1!BT39</f>
        <v>141</v>
      </c>
      <c r="BU39" s="24">
        <v>0</v>
      </c>
      <c r="BV39" s="19">
        <f>+Hoja2!BV39+Hoja1!BV39</f>
        <v>0</v>
      </c>
      <c r="BW39" s="24">
        <v>0</v>
      </c>
      <c r="BX39" s="19">
        <f>+Hoja2!BX39+Hoja1!BX39</f>
        <v>0</v>
      </c>
      <c r="BY39" s="24">
        <v>0</v>
      </c>
      <c r="BZ39" s="19">
        <f>+Hoja2!BZ39+Hoja1!BZ39</f>
        <v>186</v>
      </c>
      <c r="CA39" s="24">
        <v>0</v>
      </c>
      <c r="CB39" s="19">
        <f>+Hoja2!CB39+Hoja1!CB39</f>
        <v>0</v>
      </c>
      <c r="CC39" s="24">
        <v>0</v>
      </c>
      <c r="CD39" s="19">
        <f>+Hoja2!CD39+Hoja1!CD39</f>
        <v>0</v>
      </c>
      <c r="CE39" s="24">
        <v>0</v>
      </c>
      <c r="CF39" s="19">
        <f>+Hoja2!CF39+Hoja1!CF39</f>
        <v>0</v>
      </c>
      <c r="CG39" s="24">
        <v>0</v>
      </c>
      <c r="CH39" s="19">
        <f>+Hoja2!CH39+Hoja1!CH39</f>
        <v>0</v>
      </c>
      <c r="CI39" s="24">
        <v>0</v>
      </c>
      <c r="CJ39" s="19">
        <f>+Hoja2!CJ39+Hoja1!CJ39</f>
        <v>0</v>
      </c>
      <c r="CK39" s="24">
        <v>0</v>
      </c>
      <c r="CL39" s="19">
        <f>+Hoja2!CL39+Hoja1!CL39</f>
        <v>0</v>
      </c>
      <c r="CM39" s="24">
        <v>0</v>
      </c>
      <c r="CN39" s="19">
        <f>+Hoja2!CN39+Hoja1!CN39</f>
        <v>0</v>
      </c>
      <c r="CO39" s="24">
        <v>0</v>
      </c>
      <c r="CP39" s="19">
        <f>+Hoja2!CP39+Hoja1!CP39</f>
        <v>0</v>
      </c>
      <c r="CQ39" s="24">
        <v>0</v>
      </c>
      <c r="CR39" s="19">
        <f>+Hoja2!CR39+Hoja1!CR39</f>
        <v>0</v>
      </c>
      <c r="CS39" s="24">
        <v>0</v>
      </c>
      <c r="CT39" s="19">
        <f>+Hoja2!CT39+Hoja1!CT39</f>
        <v>0</v>
      </c>
      <c r="CU39" s="24">
        <v>0</v>
      </c>
      <c r="CV39" s="19">
        <f>+Hoja2!CV39+Hoja1!CV39</f>
        <v>0</v>
      </c>
      <c r="CW39" s="24">
        <v>0</v>
      </c>
      <c r="CX39" s="19">
        <f>+Hoja2!CX39+Hoja1!CX39</f>
        <v>0</v>
      </c>
      <c r="CY39" s="24">
        <v>0</v>
      </c>
      <c r="CZ39" s="19">
        <f>+Hoja2!CZ39+Hoja1!CZ39</f>
        <v>0</v>
      </c>
      <c r="DA39" s="24">
        <v>0</v>
      </c>
      <c r="DB39" s="19">
        <f>+Hoja2!DB39+Hoja1!DB39</f>
        <v>0</v>
      </c>
      <c r="DC39" s="24">
        <v>0</v>
      </c>
      <c r="DD39" s="19">
        <f>+Hoja2!DD39+Hoja1!DD39</f>
        <v>0</v>
      </c>
      <c r="DE39" s="24">
        <v>0</v>
      </c>
      <c r="DF39" s="19">
        <f>+Hoja2!DF39+Hoja1!DF39</f>
        <v>0</v>
      </c>
      <c r="DG39" s="24">
        <v>0</v>
      </c>
      <c r="DH39" s="19">
        <f>+Hoja2!DH39+Hoja1!DH39</f>
        <v>0</v>
      </c>
      <c r="DI39" s="24">
        <v>0</v>
      </c>
      <c r="DJ39" s="19">
        <f>+Hoja2!DJ39+Hoja1!DJ39</f>
        <v>0</v>
      </c>
      <c r="DK39" s="24">
        <v>0</v>
      </c>
      <c r="DL39" s="19">
        <f>+Hoja2!DL39+Hoja1!DL39</f>
        <v>0</v>
      </c>
      <c r="DM39" s="24">
        <v>0</v>
      </c>
      <c r="DN39" s="19">
        <f>+Hoja2!DN39+Hoja1!DN39</f>
        <v>0</v>
      </c>
      <c r="DO39" s="24">
        <v>0</v>
      </c>
      <c r="DP39" s="19">
        <f>+Hoja2!DP39+Hoja1!DP39</f>
        <v>0</v>
      </c>
      <c r="DQ39" s="24">
        <v>0</v>
      </c>
      <c r="DR39" s="19">
        <f>+Hoja2!DR39+Hoja1!DR39</f>
        <v>0</v>
      </c>
      <c r="DS39" s="24">
        <v>0</v>
      </c>
      <c r="DT39" s="19">
        <f>+Hoja2!DT39+Hoja1!DT39</f>
        <v>0</v>
      </c>
      <c r="DU39" s="24">
        <v>0</v>
      </c>
      <c r="DV39" s="19">
        <f>+Hoja2!DV39+Hoja1!DV39</f>
        <v>0</v>
      </c>
      <c r="DW39" s="24">
        <v>0</v>
      </c>
      <c r="DX39" s="19">
        <f>+Hoja2!DX39+Hoja1!DX39</f>
        <v>0</v>
      </c>
      <c r="DY39" s="24">
        <v>0</v>
      </c>
      <c r="DZ39" s="19">
        <f>+Hoja2!DZ39+Hoja1!DZ39</f>
        <v>0</v>
      </c>
      <c r="EA39" s="24">
        <v>0</v>
      </c>
      <c r="EB39" s="19">
        <f>+Hoja2!EB39+Hoja1!EB39</f>
        <v>0</v>
      </c>
      <c r="EC39" s="24">
        <v>0</v>
      </c>
      <c r="ED39" s="19">
        <f>+Hoja2!ED39+Hoja1!ED39</f>
        <v>0</v>
      </c>
      <c r="EE39" s="24">
        <v>0</v>
      </c>
      <c r="EF39" s="19">
        <f>+Hoja2!EF39+Hoja1!EF39</f>
        <v>0</v>
      </c>
      <c r="EG39" s="24">
        <v>0</v>
      </c>
      <c r="EH39" s="19">
        <f>+Hoja2!EH39+Hoja1!EH39</f>
        <v>0</v>
      </c>
      <c r="EI39" s="24">
        <v>0</v>
      </c>
      <c r="EJ39" s="19">
        <f>+Hoja2!EJ39+Hoja1!EJ39</f>
        <v>0</v>
      </c>
      <c r="EK39" s="24">
        <v>0</v>
      </c>
      <c r="EL39" s="19">
        <f>+Hoja2!EL39+Hoja1!EL39</f>
        <v>0</v>
      </c>
      <c r="EM39" s="24">
        <v>0</v>
      </c>
      <c r="EN39" s="19">
        <f>+Hoja2!EN39+Hoja1!EN39</f>
        <v>0</v>
      </c>
      <c r="EO39" s="24">
        <v>0</v>
      </c>
      <c r="EP39" s="19">
        <f>+Hoja2!EP39+Hoja1!EP39</f>
        <v>0</v>
      </c>
      <c r="EQ39" s="24">
        <v>0</v>
      </c>
      <c r="ER39" s="19">
        <f>+Hoja2!ER39+Hoja1!ER39</f>
        <v>72</v>
      </c>
      <c r="ES39" s="24">
        <v>0</v>
      </c>
      <c r="ET39" s="19">
        <f>+Hoja2!ET39+Hoja1!ET39</f>
        <v>0</v>
      </c>
      <c r="EU39" s="24">
        <v>0</v>
      </c>
    </row>
    <row r="40" spans="1:151" x14ac:dyDescent="0.25">
      <c r="A40" s="24" t="s">
        <v>61</v>
      </c>
      <c r="B40" s="25">
        <v>32</v>
      </c>
      <c r="C40" s="24" t="s">
        <v>64</v>
      </c>
      <c r="D40" s="24">
        <v>309293</v>
      </c>
      <c r="E40" s="26">
        <v>542</v>
      </c>
      <c r="F40" s="26">
        <v>259175</v>
      </c>
      <c r="G40" s="26">
        <v>101127</v>
      </c>
      <c r="H40" s="26">
        <v>360302</v>
      </c>
      <c r="I40" s="1">
        <v>5645</v>
      </c>
      <c r="J40" s="19">
        <f>+INT(([1]Hoja1!M40/[1]Hoja1!O40)*M40)</f>
        <v>17979959</v>
      </c>
      <c r="K40" s="19">
        <f>+INT(([1]Hoja1!N40/[1]Hoja1!O40)*M40)</f>
        <v>17805267</v>
      </c>
      <c r="L40" s="19">
        <f t="shared" si="1"/>
        <v>176819</v>
      </c>
      <c r="M40" s="19">
        <f t="shared" si="2"/>
        <v>174692</v>
      </c>
      <c r="N40" s="22">
        <f t="shared" si="0"/>
        <v>173026</v>
      </c>
      <c r="O40" s="26">
        <v>1666</v>
      </c>
      <c r="P40" s="26">
        <v>2127</v>
      </c>
      <c r="Q40" s="22">
        <f t="shared" si="3"/>
        <v>4</v>
      </c>
      <c r="R40" s="19">
        <f>+Hoja2!R40+Hoja1!R40</f>
        <v>60419</v>
      </c>
      <c r="S40" s="24">
        <v>2</v>
      </c>
      <c r="T40" s="19">
        <f>+Hoja2!T40+Hoja1!T40</f>
        <v>74048</v>
      </c>
      <c r="U40" s="24">
        <v>2</v>
      </c>
      <c r="V40" s="19">
        <f>+Hoja2!V40+Hoja1!V40</f>
        <v>13550</v>
      </c>
      <c r="W40" s="24">
        <v>0</v>
      </c>
      <c r="X40" s="19">
        <f>+Hoja2!X40+Hoja1!X40</f>
        <v>0</v>
      </c>
      <c r="Y40" s="24">
        <v>0</v>
      </c>
      <c r="Z40" s="19">
        <f>+Hoja2!Z40+Hoja1!Z40</f>
        <v>0</v>
      </c>
      <c r="AA40" s="24">
        <v>0</v>
      </c>
      <c r="AB40" s="19">
        <f>+Hoja2!AB40+Hoja1!AB40</f>
        <v>0</v>
      </c>
      <c r="AC40" s="24">
        <v>0</v>
      </c>
      <c r="AD40" s="19">
        <f>+Hoja2!AD40+Hoja1!AD40</f>
        <v>0</v>
      </c>
      <c r="AE40" s="24">
        <v>0</v>
      </c>
      <c r="AF40" s="19">
        <f>+Hoja2!AF40+Hoja1!AF40</f>
        <v>0</v>
      </c>
      <c r="AG40" s="24">
        <v>0</v>
      </c>
      <c r="AH40" s="19">
        <f>+Hoja2!AH40+Hoja1!AH40</f>
        <v>0</v>
      </c>
      <c r="AI40" s="24">
        <v>0</v>
      </c>
      <c r="AJ40" s="19">
        <f>+Hoja2!AJ40+Hoja1!AJ40</f>
        <v>0</v>
      </c>
      <c r="AK40" s="24">
        <v>0</v>
      </c>
      <c r="AL40" s="19">
        <f>+Hoja2!AL40+Hoja1!AL40</f>
        <v>0</v>
      </c>
      <c r="AM40" s="24">
        <v>0</v>
      </c>
      <c r="AN40" s="19">
        <f>+Hoja2!AN40+Hoja1!AN40</f>
        <v>0</v>
      </c>
      <c r="AO40" s="24">
        <v>0</v>
      </c>
      <c r="AP40" s="19">
        <f>+Hoja2!AP40+Hoja1!AP40</f>
        <v>13233</v>
      </c>
      <c r="AQ40" s="24">
        <v>0</v>
      </c>
      <c r="AR40" s="19">
        <f>+Hoja2!AR40+Hoja1!AR40</f>
        <v>0</v>
      </c>
      <c r="AS40" s="24">
        <v>0</v>
      </c>
      <c r="AT40" s="19">
        <f>+Hoja2!AT40+Hoja1!AT40</f>
        <v>0</v>
      </c>
      <c r="AU40" s="24">
        <v>0</v>
      </c>
      <c r="AV40" s="19">
        <f>+Hoja2!AV40+Hoja1!AV40</f>
        <v>0</v>
      </c>
      <c r="AW40" s="24">
        <v>0</v>
      </c>
      <c r="AX40" s="19">
        <f>+Hoja2!AX40+Hoja1!AX40</f>
        <v>9999</v>
      </c>
      <c r="AY40" s="24">
        <v>0</v>
      </c>
      <c r="AZ40" s="19">
        <f>+Hoja2!AZ40+Hoja1!AZ40</f>
        <v>0</v>
      </c>
      <c r="BA40" s="24">
        <v>0</v>
      </c>
      <c r="BB40" s="19">
        <f>+Hoja2!BB40+Hoja1!BB40</f>
        <v>0</v>
      </c>
      <c r="BC40" s="24">
        <v>0</v>
      </c>
      <c r="BD40" s="19">
        <f>+Hoja2!BD40+Hoja1!BD40</f>
        <v>1088</v>
      </c>
      <c r="BE40" s="24">
        <v>0</v>
      </c>
      <c r="BF40" s="19">
        <f>+Hoja2!BF40+Hoja1!BF40</f>
        <v>0</v>
      </c>
      <c r="BG40" s="24">
        <v>0</v>
      </c>
      <c r="BH40" s="19">
        <f>+Hoja2!BH40+Hoja1!BH40</f>
        <v>219</v>
      </c>
      <c r="BI40" s="24">
        <v>0</v>
      </c>
      <c r="BJ40" s="19">
        <f>+Hoja2!BJ40+Hoja1!BJ40</f>
        <v>305</v>
      </c>
      <c r="BK40" s="24">
        <v>0</v>
      </c>
      <c r="BL40" s="19">
        <f>+Hoja2!BL40+Hoja1!BL40</f>
        <v>0</v>
      </c>
      <c r="BM40" s="24">
        <v>0</v>
      </c>
      <c r="BN40" s="19">
        <f>+Hoja2!BN40+Hoja1!BN40</f>
        <v>0</v>
      </c>
      <c r="BO40" s="24">
        <v>0</v>
      </c>
      <c r="BP40" s="19">
        <f>+Hoja2!BP40+Hoja1!BP40</f>
        <v>0</v>
      </c>
      <c r="BQ40" s="24">
        <v>0</v>
      </c>
      <c r="BR40" s="19">
        <f>+Hoja2!BR40+Hoja1!BR40</f>
        <v>0</v>
      </c>
      <c r="BS40" s="24">
        <v>0</v>
      </c>
      <c r="BT40" s="19">
        <f>+Hoja2!BT40+Hoja1!BT40</f>
        <v>165</v>
      </c>
      <c r="BU40" s="24">
        <v>0</v>
      </c>
      <c r="BV40" s="19">
        <f>+Hoja2!BV40+Hoja1!BV40</f>
        <v>0</v>
      </c>
      <c r="BW40" s="24">
        <v>0</v>
      </c>
      <c r="BX40" s="19">
        <f>+Hoja2!BX40+Hoja1!BX40</f>
        <v>0</v>
      </c>
      <c r="BY40" s="24">
        <v>0</v>
      </c>
      <c r="BZ40" s="19">
        <f>+Hoja2!BZ40+Hoja1!BZ40</f>
        <v>0</v>
      </c>
      <c r="CA40" s="24">
        <v>0</v>
      </c>
      <c r="CB40" s="19">
        <f>+Hoja2!CB40+Hoja1!CB40</f>
        <v>0</v>
      </c>
      <c r="CC40" s="24">
        <v>0</v>
      </c>
      <c r="CD40" s="19">
        <f>+Hoja2!CD40+Hoja1!CD40</f>
        <v>0</v>
      </c>
      <c r="CE40" s="24">
        <v>0</v>
      </c>
      <c r="CF40" s="19">
        <f>+Hoja2!CF40+Hoja1!CF40</f>
        <v>0</v>
      </c>
      <c r="CG40" s="24">
        <v>0</v>
      </c>
      <c r="CH40" s="19">
        <f>+Hoja2!CH40+Hoja1!CH40</f>
        <v>0</v>
      </c>
      <c r="CI40" s="24">
        <v>0</v>
      </c>
      <c r="CJ40" s="19">
        <f>+Hoja2!CJ40+Hoja1!CJ40</f>
        <v>0</v>
      </c>
      <c r="CK40" s="24">
        <v>0</v>
      </c>
      <c r="CL40" s="19">
        <f>+Hoja2!CL40+Hoja1!CL40</f>
        <v>0</v>
      </c>
      <c r="CM40" s="24">
        <v>0</v>
      </c>
      <c r="CN40" s="19">
        <f>+Hoja2!CN40+Hoja1!CN40</f>
        <v>0</v>
      </c>
      <c r="CO40" s="24">
        <v>0</v>
      </c>
      <c r="CP40" s="19">
        <f>+Hoja2!CP40+Hoja1!CP40</f>
        <v>0</v>
      </c>
      <c r="CQ40" s="24">
        <v>0</v>
      </c>
      <c r="CR40" s="19">
        <f>+Hoja2!CR40+Hoja1!CR40</f>
        <v>0</v>
      </c>
      <c r="CS40" s="24">
        <v>0</v>
      </c>
      <c r="CT40" s="19">
        <f>+Hoja2!CT40+Hoja1!CT40</f>
        <v>0</v>
      </c>
      <c r="CU40" s="24">
        <v>0</v>
      </c>
      <c r="CV40" s="19">
        <f>+Hoja2!CV40+Hoja1!CV40</f>
        <v>0</v>
      </c>
      <c r="CW40" s="24">
        <v>0</v>
      </c>
      <c r="CX40" s="19">
        <f>+Hoja2!CX40+Hoja1!CX40</f>
        <v>0</v>
      </c>
      <c r="CY40" s="24">
        <v>0</v>
      </c>
      <c r="CZ40" s="19">
        <f>+Hoja2!CZ40+Hoja1!CZ40</f>
        <v>0</v>
      </c>
      <c r="DA40" s="24">
        <v>0</v>
      </c>
      <c r="DB40" s="19">
        <f>+Hoja2!DB40+Hoja1!DB40</f>
        <v>0</v>
      </c>
      <c r="DC40" s="24">
        <v>0</v>
      </c>
      <c r="DD40" s="19">
        <f>+Hoja2!DD40+Hoja1!DD40</f>
        <v>0</v>
      </c>
      <c r="DE40" s="24">
        <v>0</v>
      </c>
      <c r="DF40" s="19">
        <f>+Hoja2!DF40+Hoja1!DF40</f>
        <v>0</v>
      </c>
      <c r="DG40" s="24">
        <v>0</v>
      </c>
      <c r="DH40" s="19">
        <f>+Hoja2!DH40+Hoja1!DH40</f>
        <v>0</v>
      </c>
      <c r="DI40" s="24">
        <v>0</v>
      </c>
      <c r="DJ40" s="19">
        <f>+Hoja2!DJ40+Hoja1!DJ40</f>
        <v>0</v>
      </c>
      <c r="DK40" s="24">
        <v>0</v>
      </c>
      <c r="DL40" s="19">
        <f>+Hoja2!DL40+Hoja1!DL40</f>
        <v>0</v>
      </c>
      <c r="DM40" s="24">
        <v>0</v>
      </c>
      <c r="DN40" s="19">
        <f>+Hoja2!DN40+Hoja1!DN40</f>
        <v>0</v>
      </c>
      <c r="DO40" s="24">
        <v>0</v>
      </c>
      <c r="DP40" s="19">
        <f>+Hoja2!DP40+Hoja1!DP40</f>
        <v>0</v>
      </c>
      <c r="DQ40" s="24">
        <v>0</v>
      </c>
      <c r="DR40" s="19">
        <f>+Hoja2!DR40+Hoja1!DR40</f>
        <v>0</v>
      </c>
      <c r="DS40" s="24">
        <v>0</v>
      </c>
      <c r="DT40" s="19">
        <f>+Hoja2!DT40+Hoja1!DT40</f>
        <v>0</v>
      </c>
      <c r="DU40" s="24">
        <v>0</v>
      </c>
      <c r="DV40" s="19">
        <f>+Hoja2!DV40+Hoja1!DV40</f>
        <v>0</v>
      </c>
      <c r="DW40" s="24">
        <v>0</v>
      </c>
      <c r="DX40" s="19">
        <f>+Hoja2!DX40+Hoja1!DX40</f>
        <v>0</v>
      </c>
      <c r="DY40" s="24">
        <v>0</v>
      </c>
      <c r="DZ40" s="19">
        <f>+Hoja2!DZ40+Hoja1!DZ40</f>
        <v>0</v>
      </c>
      <c r="EA40" s="24">
        <v>0</v>
      </c>
      <c r="EB40" s="19">
        <f>+Hoja2!EB40+Hoja1!EB40</f>
        <v>0</v>
      </c>
      <c r="EC40" s="24">
        <v>0</v>
      </c>
      <c r="ED40" s="19">
        <f>+Hoja2!ED40+Hoja1!ED40</f>
        <v>0</v>
      </c>
      <c r="EE40" s="24">
        <v>0</v>
      </c>
      <c r="EF40" s="19">
        <f>+Hoja2!EF40+Hoja1!EF40</f>
        <v>0</v>
      </c>
      <c r="EG40" s="24">
        <v>0</v>
      </c>
      <c r="EH40" s="19">
        <f>+Hoja2!EH40+Hoja1!EH40</f>
        <v>0</v>
      </c>
      <c r="EI40" s="24">
        <v>0</v>
      </c>
      <c r="EJ40" s="19">
        <f>+Hoja2!EJ40+Hoja1!EJ40</f>
        <v>0</v>
      </c>
      <c r="EK40" s="24">
        <v>0</v>
      </c>
      <c r="EL40" s="19">
        <f>+Hoja2!EL40+Hoja1!EL40</f>
        <v>0</v>
      </c>
      <c r="EM40" s="24">
        <v>0</v>
      </c>
      <c r="EN40" s="19">
        <f>+Hoja2!EN40+Hoja1!EN40</f>
        <v>0</v>
      </c>
      <c r="EO40" s="24">
        <v>0</v>
      </c>
      <c r="EP40" s="19">
        <f>+Hoja2!EP40+Hoja1!EP40</f>
        <v>0</v>
      </c>
      <c r="EQ40" s="24">
        <v>0</v>
      </c>
      <c r="ER40" s="19">
        <f>+Hoja2!ER40+Hoja1!ER40</f>
        <v>0</v>
      </c>
      <c r="ES40" s="24">
        <v>0</v>
      </c>
      <c r="ET40" s="19">
        <f>+Hoja2!ET40+Hoja1!ET40</f>
        <v>0</v>
      </c>
      <c r="EU40" s="24">
        <v>0</v>
      </c>
    </row>
    <row r="41" spans="1:151" x14ac:dyDescent="0.25">
      <c r="A41" s="24" t="s">
        <v>61</v>
      </c>
      <c r="B41" s="25">
        <v>36</v>
      </c>
      <c r="C41" s="24" t="s">
        <v>65</v>
      </c>
      <c r="D41" s="24">
        <v>941772</v>
      </c>
      <c r="E41" s="26">
        <v>1333</v>
      </c>
      <c r="F41" s="26">
        <v>772748</v>
      </c>
      <c r="G41" s="26">
        <v>133363</v>
      </c>
      <c r="H41" s="26">
        <v>906111</v>
      </c>
      <c r="I41" s="1">
        <v>8730</v>
      </c>
      <c r="J41" s="19">
        <f>+INT(([1]Hoja1!M41/[1]Hoja1!O41)*M41)</f>
        <v>53928090</v>
      </c>
      <c r="K41" s="19">
        <f>+INT(([1]Hoja1!N41/[1]Hoja1!O41)*M41)</f>
        <v>53397880</v>
      </c>
      <c r="L41" s="19">
        <f t="shared" si="1"/>
        <v>537290</v>
      </c>
      <c r="M41" s="19">
        <f t="shared" si="2"/>
        <v>530210</v>
      </c>
      <c r="N41" s="22">
        <f t="shared" si="0"/>
        <v>525068</v>
      </c>
      <c r="O41" s="26">
        <v>5142</v>
      </c>
      <c r="P41" s="26">
        <v>7080</v>
      </c>
      <c r="Q41" s="22">
        <f t="shared" si="3"/>
        <v>7</v>
      </c>
      <c r="R41" s="19">
        <f>+Hoja2!R41+Hoja1!R41</f>
        <v>177093</v>
      </c>
      <c r="S41" s="24">
        <v>3</v>
      </c>
      <c r="T41" s="19">
        <f>+Hoja2!T41+Hoja1!T41</f>
        <v>174187</v>
      </c>
      <c r="U41" s="24">
        <v>3</v>
      </c>
      <c r="V41" s="19">
        <f>+Hoja2!V41+Hoja1!V41</f>
        <v>38881</v>
      </c>
      <c r="W41" s="24">
        <v>0</v>
      </c>
      <c r="X41" s="19">
        <f>+Hoja2!X41+Hoja1!X41</f>
        <v>0</v>
      </c>
      <c r="Y41" s="24">
        <v>0</v>
      </c>
      <c r="Z41" s="19">
        <f>+Hoja2!Z41+Hoja1!Z41</f>
        <v>0</v>
      </c>
      <c r="AA41" s="24">
        <v>0</v>
      </c>
      <c r="AB41" s="19">
        <f>+Hoja2!AB41+Hoja1!AB41</f>
        <v>0</v>
      </c>
      <c r="AC41" s="24">
        <v>0</v>
      </c>
      <c r="AD41" s="19">
        <f>+Hoja2!AD41+Hoja1!AD41</f>
        <v>0</v>
      </c>
      <c r="AE41" s="24">
        <v>0</v>
      </c>
      <c r="AF41" s="19">
        <f>+Hoja2!AF41+Hoja1!AF41</f>
        <v>0</v>
      </c>
      <c r="AG41" s="24">
        <v>0</v>
      </c>
      <c r="AH41" s="19">
        <f>+Hoja2!AH41+Hoja1!AH41</f>
        <v>0</v>
      </c>
      <c r="AI41" s="24">
        <v>0</v>
      </c>
      <c r="AJ41" s="19">
        <f>+Hoja2!AJ41+Hoja1!AJ41</f>
        <v>0</v>
      </c>
      <c r="AK41" s="24">
        <v>0</v>
      </c>
      <c r="AL41" s="19">
        <f>+Hoja2!AL41+Hoja1!AL41</f>
        <v>10717</v>
      </c>
      <c r="AM41" s="24">
        <v>0</v>
      </c>
      <c r="AN41" s="19">
        <f>+Hoja2!AN41+Hoja1!AN41</f>
        <v>0</v>
      </c>
      <c r="AO41" s="24">
        <v>0</v>
      </c>
      <c r="AP41" s="19">
        <f>+Hoja2!AP41+Hoja1!AP41</f>
        <v>79014</v>
      </c>
      <c r="AQ41" s="24">
        <v>1</v>
      </c>
      <c r="AR41" s="19">
        <f>+Hoja2!AR41+Hoja1!AR41</f>
        <v>0</v>
      </c>
      <c r="AS41" s="24">
        <v>0</v>
      </c>
      <c r="AT41" s="19">
        <f>+Hoja2!AT41+Hoja1!AT41</f>
        <v>0</v>
      </c>
      <c r="AU41" s="24">
        <v>0</v>
      </c>
      <c r="AV41" s="19">
        <f>+Hoja2!AV41+Hoja1!AV41</f>
        <v>0</v>
      </c>
      <c r="AW41" s="24">
        <v>0</v>
      </c>
      <c r="AX41" s="19">
        <f>+Hoja2!AX41+Hoja1!AX41</f>
        <v>38146</v>
      </c>
      <c r="AY41" s="24">
        <v>0</v>
      </c>
      <c r="AZ41" s="19">
        <f>+Hoja2!AZ41+Hoja1!AZ41</f>
        <v>0</v>
      </c>
      <c r="BA41" s="24">
        <v>0</v>
      </c>
      <c r="BB41" s="19">
        <f>+Hoja2!BB41+Hoja1!BB41</f>
        <v>0</v>
      </c>
      <c r="BC41" s="24">
        <v>0</v>
      </c>
      <c r="BD41" s="19">
        <f>+Hoja2!BD41+Hoja1!BD41</f>
        <v>4595</v>
      </c>
      <c r="BE41" s="24">
        <v>0</v>
      </c>
      <c r="BF41" s="19">
        <f>+Hoja2!BF41+Hoja1!BF41</f>
        <v>0</v>
      </c>
      <c r="BG41" s="24">
        <v>0</v>
      </c>
      <c r="BH41" s="19">
        <f>+Hoja2!BH41+Hoja1!BH41</f>
        <v>786</v>
      </c>
      <c r="BI41" s="24">
        <v>0</v>
      </c>
      <c r="BJ41" s="19">
        <f>+Hoja2!BJ41+Hoja1!BJ41</f>
        <v>444</v>
      </c>
      <c r="BK41" s="24">
        <v>0</v>
      </c>
      <c r="BL41" s="19">
        <f>+Hoja2!BL41+Hoja1!BL41</f>
        <v>0</v>
      </c>
      <c r="BM41" s="24">
        <v>0</v>
      </c>
      <c r="BN41" s="19">
        <f>+Hoja2!BN41+Hoja1!BN41</f>
        <v>0</v>
      </c>
      <c r="BO41" s="24">
        <v>0</v>
      </c>
      <c r="BP41" s="19">
        <f>+Hoja2!BP41+Hoja1!BP41</f>
        <v>0</v>
      </c>
      <c r="BQ41" s="24">
        <v>0</v>
      </c>
      <c r="BR41" s="19">
        <f>+Hoja2!BR41+Hoja1!BR41</f>
        <v>0</v>
      </c>
      <c r="BS41" s="24">
        <v>0</v>
      </c>
      <c r="BT41" s="19">
        <f>+Hoja2!BT41+Hoja1!BT41</f>
        <v>517</v>
      </c>
      <c r="BU41" s="24">
        <v>0</v>
      </c>
      <c r="BV41" s="19">
        <f>+Hoja2!BV41+Hoja1!BV41</f>
        <v>0</v>
      </c>
      <c r="BW41" s="24">
        <v>0</v>
      </c>
      <c r="BX41" s="19">
        <f>+Hoja2!BX41+Hoja1!BX41</f>
        <v>0</v>
      </c>
      <c r="BY41" s="24">
        <v>0</v>
      </c>
      <c r="BZ41" s="19">
        <f>+Hoja2!BZ41+Hoja1!BZ41</f>
        <v>0</v>
      </c>
      <c r="CA41" s="24">
        <v>0</v>
      </c>
      <c r="CB41" s="19">
        <f>+Hoja2!CB41+Hoja1!CB41</f>
        <v>0</v>
      </c>
      <c r="CC41" s="24">
        <v>0</v>
      </c>
      <c r="CD41" s="19">
        <f>+Hoja2!CD41+Hoja1!CD41</f>
        <v>688</v>
      </c>
      <c r="CE41" s="24">
        <v>0</v>
      </c>
      <c r="CF41" s="19">
        <f>+Hoja2!CF41+Hoja1!CF41</f>
        <v>0</v>
      </c>
      <c r="CG41" s="24">
        <v>0</v>
      </c>
      <c r="CH41" s="19">
        <f>+Hoja2!CH41+Hoja1!CH41</f>
        <v>0</v>
      </c>
      <c r="CI41" s="24">
        <v>0</v>
      </c>
      <c r="CJ41" s="19">
        <f>+Hoja2!CJ41+Hoja1!CJ41</f>
        <v>0</v>
      </c>
      <c r="CK41" s="24">
        <v>0</v>
      </c>
      <c r="CL41" s="19">
        <f>+Hoja2!CL41+Hoja1!CL41</f>
        <v>0</v>
      </c>
      <c r="CM41" s="24">
        <v>0</v>
      </c>
      <c r="CN41" s="19">
        <f>+Hoja2!CN41+Hoja1!CN41</f>
        <v>0</v>
      </c>
      <c r="CO41" s="24">
        <v>0</v>
      </c>
      <c r="CP41" s="19">
        <f>+Hoja2!CP41+Hoja1!CP41</f>
        <v>0</v>
      </c>
      <c r="CQ41" s="24">
        <v>0</v>
      </c>
      <c r="CR41" s="19">
        <f>+Hoja2!CR41+Hoja1!CR41</f>
        <v>0</v>
      </c>
      <c r="CS41" s="24">
        <v>0</v>
      </c>
      <c r="CT41" s="19">
        <f>+Hoja2!CT41+Hoja1!CT41</f>
        <v>0</v>
      </c>
      <c r="CU41" s="24">
        <v>0</v>
      </c>
      <c r="CV41" s="19">
        <f>+Hoja2!CV41+Hoja1!CV41</f>
        <v>0</v>
      </c>
      <c r="CW41" s="24">
        <v>0</v>
      </c>
      <c r="CX41" s="19">
        <f>+Hoja2!CX41+Hoja1!CX41</f>
        <v>0</v>
      </c>
      <c r="CY41" s="24">
        <v>0</v>
      </c>
      <c r="CZ41" s="19">
        <f>+Hoja2!CZ41+Hoja1!CZ41</f>
        <v>0</v>
      </c>
      <c r="DA41" s="24">
        <v>0</v>
      </c>
      <c r="DB41" s="19">
        <f>+Hoja2!DB41+Hoja1!DB41</f>
        <v>0</v>
      </c>
      <c r="DC41" s="24">
        <v>0</v>
      </c>
      <c r="DD41" s="19">
        <f>+Hoja2!DD41+Hoja1!DD41</f>
        <v>0</v>
      </c>
      <c r="DE41" s="24">
        <v>0</v>
      </c>
      <c r="DF41" s="19">
        <f>+Hoja2!DF41+Hoja1!DF41</f>
        <v>0</v>
      </c>
      <c r="DG41" s="24">
        <v>0</v>
      </c>
      <c r="DH41" s="19">
        <f>+Hoja2!DH41+Hoja1!DH41</f>
        <v>0</v>
      </c>
      <c r="DI41" s="24">
        <v>0</v>
      </c>
      <c r="DJ41" s="19">
        <f>+Hoja2!DJ41+Hoja1!DJ41</f>
        <v>0</v>
      </c>
      <c r="DK41" s="24">
        <v>0</v>
      </c>
      <c r="DL41" s="19">
        <f>+Hoja2!DL41+Hoja1!DL41</f>
        <v>0</v>
      </c>
      <c r="DM41" s="24">
        <v>0</v>
      </c>
      <c r="DN41" s="19">
        <f>+Hoja2!DN41+Hoja1!DN41</f>
        <v>0</v>
      </c>
      <c r="DO41" s="24">
        <v>0</v>
      </c>
      <c r="DP41" s="19">
        <f>+Hoja2!DP41+Hoja1!DP41</f>
        <v>0</v>
      </c>
      <c r="DQ41" s="24">
        <v>0</v>
      </c>
      <c r="DR41" s="19">
        <f>+Hoja2!DR41+Hoja1!DR41</f>
        <v>0</v>
      </c>
      <c r="DS41" s="24">
        <v>0</v>
      </c>
      <c r="DT41" s="19">
        <f>+Hoja2!DT41+Hoja1!DT41</f>
        <v>0</v>
      </c>
      <c r="DU41" s="24">
        <v>0</v>
      </c>
      <c r="DV41" s="19">
        <f>+Hoja2!DV41+Hoja1!DV41</f>
        <v>0</v>
      </c>
      <c r="DW41" s="24">
        <v>0</v>
      </c>
      <c r="DX41" s="19">
        <f>+Hoja2!DX41+Hoja1!DX41</f>
        <v>0</v>
      </c>
      <c r="DY41" s="24">
        <v>0</v>
      </c>
      <c r="DZ41" s="19">
        <f>+Hoja2!DZ41+Hoja1!DZ41</f>
        <v>0</v>
      </c>
      <c r="EA41" s="24">
        <v>0</v>
      </c>
      <c r="EB41" s="19">
        <f>+Hoja2!EB41+Hoja1!EB41</f>
        <v>0</v>
      </c>
      <c r="EC41" s="24">
        <v>0</v>
      </c>
      <c r="ED41" s="19">
        <f>+Hoja2!ED41+Hoja1!ED41</f>
        <v>0</v>
      </c>
      <c r="EE41" s="24">
        <v>0</v>
      </c>
      <c r="EF41" s="19">
        <f>+Hoja2!EF41+Hoja1!EF41</f>
        <v>0</v>
      </c>
      <c r="EG41" s="24">
        <v>0</v>
      </c>
      <c r="EH41" s="19">
        <f>+Hoja2!EH41+Hoja1!EH41</f>
        <v>0</v>
      </c>
      <c r="EI41" s="24">
        <v>0</v>
      </c>
      <c r="EJ41" s="19">
        <f>+Hoja2!EJ41+Hoja1!EJ41</f>
        <v>0</v>
      </c>
      <c r="EK41" s="24">
        <v>0</v>
      </c>
      <c r="EL41" s="19">
        <f>+Hoja2!EL41+Hoja1!EL41</f>
        <v>0</v>
      </c>
      <c r="EM41" s="24">
        <v>0</v>
      </c>
      <c r="EN41" s="19">
        <f>+Hoja2!EN41+Hoja1!EN41</f>
        <v>0</v>
      </c>
      <c r="EO41" s="24">
        <v>0</v>
      </c>
      <c r="EP41" s="19">
        <f>+Hoja2!EP41+Hoja1!EP41</f>
        <v>0</v>
      </c>
      <c r="EQ41" s="24">
        <v>0</v>
      </c>
      <c r="ER41" s="19">
        <f>+Hoja2!ER41+Hoja1!ER41</f>
        <v>0</v>
      </c>
      <c r="ES41" s="24">
        <v>0</v>
      </c>
      <c r="ET41" s="19">
        <f>+Hoja2!ET41+Hoja1!ET41</f>
        <v>0</v>
      </c>
      <c r="EU41" s="24">
        <v>0</v>
      </c>
    </row>
    <row r="42" spans="1:151" x14ac:dyDescent="0.25">
      <c r="A42" s="24" t="s">
        <v>66</v>
      </c>
      <c r="B42" s="25">
        <v>28</v>
      </c>
      <c r="C42" s="24" t="s">
        <v>67</v>
      </c>
      <c r="D42" s="24">
        <v>6578079</v>
      </c>
      <c r="E42" s="26">
        <v>7564</v>
      </c>
      <c r="F42" s="26">
        <v>4773718</v>
      </c>
      <c r="G42" s="26">
        <v>314375</v>
      </c>
      <c r="H42" s="26">
        <v>5088093</v>
      </c>
      <c r="I42" s="1">
        <v>48047</v>
      </c>
      <c r="J42" s="19">
        <f>+INT(([1]Hoja1!M42/[1]Hoja1!O42)*M42)</f>
        <v>450948977</v>
      </c>
      <c r="K42" s="19">
        <f>+INT(([1]Hoja1!N42/[1]Hoja1!O42)*M42)</f>
        <v>447306224</v>
      </c>
      <c r="L42" s="19">
        <f t="shared" si="1"/>
        <v>3671070</v>
      </c>
      <c r="M42" s="19">
        <f t="shared" si="2"/>
        <v>3642753</v>
      </c>
      <c r="N42" s="22">
        <f t="shared" si="0"/>
        <v>3613970</v>
      </c>
      <c r="O42" s="26">
        <v>28783</v>
      </c>
      <c r="P42" s="26">
        <v>28317</v>
      </c>
      <c r="Q42" s="22">
        <f t="shared" si="3"/>
        <v>37</v>
      </c>
      <c r="R42" s="19">
        <f>+Hoja2!R42+Hoja1!R42</f>
        <v>1037578</v>
      </c>
      <c r="S42" s="24">
        <v>10</v>
      </c>
      <c r="T42" s="19">
        <f>+Hoja2!T42+Hoja1!T42</f>
        <v>1163683</v>
      </c>
      <c r="U42" s="24">
        <v>10</v>
      </c>
      <c r="V42" s="19">
        <f>+Hoja2!V42+Hoja1!V42</f>
        <v>666545</v>
      </c>
      <c r="W42" s="24">
        <v>7</v>
      </c>
      <c r="X42" s="19">
        <f>+Hoja2!X42+Hoja1!X42</f>
        <v>486810</v>
      </c>
      <c r="Y42" s="24">
        <v>5</v>
      </c>
      <c r="Z42" s="19">
        <f>+Hoja2!Z42+Hoja1!Z42</f>
        <v>0</v>
      </c>
      <c r="AA42" s="24">
        <v>0</v>
      </c>
      <c r="AB42" s="19">
        <f>+Hoja2!AB42+Hoja1!AB42</f>
        <v>0</v>
      </c>
      <c r="AC42" s="24">
        <v>3</v>
      </c>
      <c r="AD42" s="19">
        <f>+Hoja2!AD42+Hoja1!AD42</f>
        <v>0</v>
      </c>
      <c r="AE42" s="24">
        <v>0</v>
      </c>
      <c r="AF42" s="19">
        <f>+Hoja2!AF42+Hoja1!AF42</f>
        <v>0</v>
      </c>
      <c r="AG42" s="24">
        <v>0</v>
      </c>
      <c r="AH42" s="19">
        <f>+Hoja2!AH42+Hoja1!AH42</f>
        <v>0</v>
      </c>
      <c r="AI42" s="24">
        <v>0</v>
      </c>
      <c r="AJ42" s="19">
        <f>+Hoja2!AJ42+Hoja1!AJ42</f>
        <v>0</v>
      </c>
      <c r="AK42" s="24">
        <v>0</v>
      </c>
      <c r="AL42" s="19">
        <f>+Hoja2!AL42+Hoja1!AL42</f>
        <v>211458</v>
      </c>
      <c r="AM42" s="24">
        <v>2</v>
      </c>
      <c r="AN42" s="19">
        <f>+Hoja2!AN42+Hoja1!AN42</f>
        <v>0</v>
      </c>
      <c r="AO42" s="24">
        <v>0</v>
      </c>
      <c r="AP42" s="19">
        <f>+Hoja2!AP42+Hoja1!AP42</f>
        <v>0</v>
      </c>
      <c r="AQ42" s="24">
        <v>0</v>
      </c>
      <c r="AR42" s="19">
        <f>+Hoja2!AR42+Hoja1!AR42</f>
        <v>0</v>
      </c>
      <c r="AS42" s="24">
        <v>0</v>
      </c>
      <c r="AT42" s="19">
        <f>+Hoja2!AT42+Hoja1!AT42</f>
        <v>0</v>
      </c>
      <c r="AU42" s="24">
        <v>0</v>
      </c>
      <c r="AV42" s="19">
        <f>+Hoja2!AV42+Hoja1!AV42</f>
        <v>0</v>
      </c>
      <c r="AW42" s="24">
        <v>0</v>
      </c>
      <c r="AX42" s="19">
        <f>+Hoja2!AX42+Hoja1!AX42</f>
        <v>0</v>
      </c>
      <c r="AY42" s="24">
        <v>0</v>
      </c>
      <c r="AZ42" s="19">
        <f>+Hoja2!AZ42+Hoja1!AZ42</f>
        <v>0</v>
      </c>
      <c r="BA42" s="24">
        <v>0</v>
      </c>
      <c r="BB42" s="19">
        <f>+Hoja2!BB42+Hoja1!BB42</f>
        <v>0</v>
      </c>
      <c r="BC42" s="24">
        <v>0</v>
      </c>
      <c r="BD42" s="19">
        <f>+Hoja2!BD42+Hoja1!BD42</f>
        <v>31823</v>
      </c>
      <c r="BE42" s="24">
        <v>0</v>
      </c>
      <c r="BF42" s="19">
        <f>+Hoja2!BF42+Hoja1!BF42</f>
        <v>0</v>
      </c>
      <c r="BG42" s="24">
        <v>0</v>
      </c>
      <c r="BH42" s="19">
        <f>+Hoja2!BH42+Hoja1!BH42</f>
        <v>5103</v>
      </c>
      <c r="BI42" s="24">
        <v>0</v>
      </c>
      <c r="BJ42" s="19">
        <f>+Hoja2!BJ42+Hoja1!BJ42</f>
        <v>4283</v>
      </c>
      <c r="BK42" s="24">
        <v>0</v>
      </c>
      <c r="BL42" s="19">
        <f>+Hoja2!BL42+Hoja1!BL42</f>
        <v>0</v>
      </c>
      <c r="BM42" s="24">
        <v>0</v>
      </c>
      <c r="BN42" s="19">
        <f>+Hoja2!BN42+Hoja1!BN42</f>
        <v>0</v>
      </c>
      <c r="BO42" s="24">
        <v>0</v>
      </c>
      <c r="BP42" s="19">
        <f>+Hoja2!BP42+Hoja1!BP42</f>
        <v>0</v>
      </c>
      <c r="BQ42" s="24">
        <v>0</v>
      </c>
      <c r="BR42" s="19">
        <f>+Hoja2!BR42+Hoja1!BR42</f>
        <v>2203</v>
      </c>
      <c r="BS42" s="24">
        <v>0</v>
      </c>
      <c r="BT42" s="19">
        <f>+Hoja2!BT42+Hoja1!BT42</f>
        <v>1989</v>
      </c>
      <c r="BU42" s="24">
        <v>0</v>
      </c>
      <c r="BV42" s="19">
        <f>+Hoja2!BV42+Hoja1!BV42</f>
        <v>0</v>
      </c>
      <c r="BW42" s="24">
        <v>0</v>
      </c>
      <c r="BX42" s="19">
        <f>+Hoja2!BX42+Hoja1!BX42</f>
        <v>0</v>
      </c>
      <c r="BY42" s="24">
        <v>0</v>
      </c>
      <c r="BZ42" s="19">
        <f>+Hoja2!BZ42+Hoja1!BZ42</f>
        <v>0</v>
      </c>
      <c r="CA42" s="24">
        <v>0</v>
      </c>
      <c r="CB42" s="19">
        <f>+Hoja2!CB42+Hoja1!CB42</f>
        <v>0</v>
      </c>
      <c r="CC42" s="24">
        <v>0</v>
      </c>
      <c r="CD42" s="19">
        <f>+Hoja2!CD42+Hoja1!CD42</f>
        <v>0</v>
      </c>
      <c r="CE42" s="24">
        <v>0</v>
      </c>
      <c r="CF42" s="19">
        <f>+Hoja2!CF42+Hoja1!CF42</f>
        <v>0</v>
      </c>
      <c r="CG42" s="24">
        <v>0</v>
      </c>
      <c r="CH42" s="19">
        <f>+Hoja2!CH42+Hoja1!CH42</f>
        <v>0</v>
      </c>
      <c r="CI42" s="24">
        <v>0</v>
      </c>
      <c r="CJ42" s="19">
        <f>+Hoja2!CJ42+Hoja1!CJ42</f>
        <v>0</v>
      </c>
      <c r="CK42" s="24">
        <v>0</v>
      </c>
      <c r="CL42" s="19">
        <f>+Hoja2!CL42+Hoja1!CL42</f>
        <v>0</v>
      </c>
      <c r="CM42" s="24">
        <v>0</v>
      </c>
      <c r="CN42" s="19">
        <f>+Hoja2!CN42+Hoja1!CN42</f>
        <v>2495</v>
      </c>
      <c r="CO42" s="24">
        <v>0</v>
      </c>
      <c r="CP42" s="19">
        <f>+Hoja2!CP42+Hoja1!CP42</f>
        <v>0</v>
      </c>
      <c r="CQ42" s="24">
        <v>0</v>
      </c>
      <c r="CR42" s="19">
        <f>+Hoja2!CR42+Hoja1!CR42</f>
        <v>0</v>
      </c>
      <c r="CS42" s="24">
        <v>0</v>
      </c>
      <c r="CT42" s="19">
        <f>+Hoja2!CT42+Hoja1!CT42</f>
        <v>0</v>
      </c>
      <c r="CU42" s="24">
        <v>0</v>
      </c>
      <c r="CV42" s="19">
        <f>+Hoja2!CV42+Hoja1!CV42</f>
        <v>0</v>
      </c>
      <c r="CW42" s="24">
        <v>0</v>
      </c>
      <c r="CX42" s="19">
        <f>+Hoja2!CX42+Hoja1!CX42</f>
        <v>0</v>
      </c>
      <c r="CY42" s="24">
        <v>0</v>
      </c>
      <c r="CZ42" s="19">
        <f>+Hoja2!CZ42+Hoja1!CZ42</f>
        <v>0</v>
      </c>
      <c r="DA42" s="24">
        <v>0</v>
      </c>
      <c r="DB42" s="19">
        <f>+Hoja2!DB42+Hoja1!DB42</f>
        <v>0</v>
      </c>
      <c r="DC42" s="24">
        <v>0</v>
      </c>
      <c r="DD42" s="19">
        <f>+Hoja2!DD42+Hoja1!DD42</f>
        <v>0</v>
      </c>
      <c r="DE42" s="24">
        <v>0</v>
      </c>
      <c r="DF42" s="19">
        <f>+Hoja2!DF42+Hoja1!DF42</f>
        <v>0</v>
      </c>
      <c r="DG42" s="24">
        <v>0</v>
      </c>
      <c r="DH42" s="19">
        <f>+Hoja2!DH42+Hoja1!DH42</f>
        <v>0</v>
      </c>
      <c r="DI42" s="24">
        <v>0</v>
      </c>
      <c r="DJ42" s="19">
        <f>+Hoja2!DJ42+Hoja1!DJ42</f>
        <v>0</v>
      </c>
      <c r="DK42" s="24">
        <v>0</v>
      </c>
      <c r="DL42" s="19">
        <f>+Hoja2!DL42+Hoja1!DL42</f>
        <v>0</v>
      </c>
      <c r="DM42" s="24">
        <v>0</v>
      </c>
      <c r="DN42" s="19">
        <f>+Hoja2!DN42+Hoja1!DN42</f>
        <v>0</v>
      </c>
      <c r="DO42" s="24">
        <v>0</v>
      </c>
      <c r="DP42" s="19">
        <f>+Hoja2!DP42+Hoja1!DP42</f>
        <v>0</v>
      </c>
      <c r="DQ42" s="24">
        <v>0</v>
      </c>
      <c r="DR42" s="19">
        <f>+Hoja2!DR42+Hoja1!DR42</f>
        <v>0</v>
      </c>
      <c r="DS42" s="24">
        <v>0</v>
      </c>
      <c r="DT42" s="19">
        <f>+Hoja2!DT42+Hoja1!DT42</f>
        <v>0</v>
      </c>
      <c r="DU42" s="24">
        <v>0</v>
      </c>
      <c r="DV42" s="19">
        <f>+Hoja2!DV42+Hoja1!DV42</f>
        <v>0</v>
      </c>
      <c r="DW42" s="24">
        <v>0</v>
      </c>
      <c r="DX42" s="19">
        <f>+Hoja2!DX42+Hoja1!DX42</f>
        <v>0</v>
      </c>
      <c r="DY42" s="24">
        <v>0</v>
      </c>
      <c r="DZ42" s="19">
        <f>+Hoja2!DZ42+Hoja1!DZ42</f>
        <v>0</v>
      </c>
      <c r="EA42" s="24">
        <v>0</v>
      </c>
      <c r="EB42" s="19">
        <f>+Hoja2!EB42+Hoja1!EB42</f>
        <v>0</v>
      </c>
      <c r="EC42" s="24">
        <v>0</v>
      </c>
      <c r="ED42" s="19">
        <f>+Hoja2!ED42+Hoja1!ED42</f>
        <v>0</v>
      </c>
      <c r="EE42" s="24">
        <v>0</v>
      </c>
      <c r="EF42" s="19">
        <f>+Hoja2!EF42+Hoja1!EF42</f>
        <v>0</v>
      </c>
      <c r="EG42" s="24">
        <v>0</v>
      </c>
      <c r="EH42" s="19">
        <f>+Hoja2!EH42+Hoja1!EH42</f>
        <v>0</v>
      </c>
      <c r="EI42" s="24">
        <v>0</v>
      </c>
      <c r="EJ42" s="19">
        <f>+Hoja2!EJ42+Hoja1!EJ42</f>
        <v>0</v>
      </c>
      <c r="EK42" s="24">
        <v>0</v>
      </c>
      <c r="EL42" s="19">
        <f>+Hoja2!EL42+Hoja1!EL42</f>
        <v>0</v>
      </c>
      <c r="EM42" s="24">
        <v>0</v>
      </c>
      <c r="EN42" s="19">
        <f>+Hoja2!EN42+Hoja1!EN42</f>
        <v>0</v>
      </c>
      <c r="EO42" s="24">
        <v>0</v>
      </c>
      <c r="EP42" s="19">
        <f>+Hoja2!EP42+Hoja1!EP42</f>
        <v>0</v>
      </c>
      <c r="EQ42" s="24">
        <v>0</v>
      </c>
      <c r="ER42" s="19">
        <f>+Hoja2!ER42+Hoja1!ER42</f>
        <v>0</v>
      </c>
      <c r="ES42" s="24">
        <v>0</v>
      </c>
      <c r="ET42" s="19">
        <f>+Hoja2!ET42+Hoja1!ET42</f>
        <v>0</v>
      </c>
      <c r="EU42" s="24">
        <v>0</v>
      </c>
    </row>
    <row r="43" spans="1:151" x14ac:dyDescent="0.25">
      <c r="A43" s="24" t="s">
        <v>68</v>
      </c>
      <c r="B43" s="25">
        <v>31</v>
      </c>
      <c r="C43" s="24" t="s">
        <v>69</v>
      </c>
      <c r="D43" s="24">
        <v>647554</v>
      </c>
      <c r="E43" s="26">
        <v>976</v>
      </c>
      <c r="F43" s="26">
        <v>484955</v>
      </c>
      <c r="G43" s="26">
        <v>27871</v>
      </c>
      <c r="H43" s="26">
        <v>512826</v>
      </c>
      <c r="I43" s="1">
        <v>2828</v>
      </c>
      <c r="J43" s="19">
        <f>+INT(([1]Hoja1!M43/[1]Hoja1!O43)*M43)</f>
        <v>33345706</v>
      </c>
      <c r="K43" s="19">
        <f>+INT(([1]Hoja1!N43/[1]Hoja1!O43)*M43)</f>
        <v>33002177</v>
      </c>
      <c r="L43" s="19">
        <f t="shared" si="1"/>
        <v>346543</v>
      </c>
      <c r="M43" s="19">
        <f t="shared" si="2"/>
        <v>343529</v>
      </c>
      <c r="N43" s="22">
        <f t="shared" si="0"/>
        <v>340078</v>
      </c>
      <c r="O43" s="26">
        <v>3451</v>
      </c>
      <c r="P43" s="26">
        <v>3014</v>
      </c>
      <c r="Q43" s="22">
        <f t="shared" si="3"/>
        <v>5</v>
      </c>
      <c r="R43" s="19">
        <f>+Hoja2!R43+Hoja1!R43</f>
        <v>87920</v>
      </c>
      <c r="S43" s="24">
        <v>1</v>
      </c>
      <c r="T43" s="19">
        <f>+Hoja2!T43+Hoja1!T43</f>
        <v>0</v>
      </c>
      <c r="U43" s="24">
        <v>0</v>
      </c>
      <c r="V43" s="19">
        <f>+Hoja2!V43+Hoja1!V43</f>
        <v>19828</v>
      </c>
      <c r="W43" s="24">
        <v>0</v>
      </c>
      <c r="X43" s="19">
        <f>+Hoja2!X43+Hoja1!X43</f>
        <v>58272</v>
      </c>
      <c r="Y43" s="24">
        <v>1</v>
      </c>
      <c r="Z43" s="19">
        <f>+Hoja2!Z43+Hoja1!Z43</f>
        <v>0</v>
      </c>
      <c r="AA43" s="24">
        <v>0</v>
      </c>
      <c r="AB43" s="19">
        <f>+Hoja2!AB43+Hoja1!AB43</f>
        <v>0</v>
      </c>
      <c r="AC43" s="24">
        <v>0</v>
      </c>
      <c r="AD43" s="19">
        <f>+Hoja2!AD43+Hoja1!AD43</f>
        <v>0</v>
      </c>
      <c r="AE43" s="24">
        <v>0</v>
      </c>
      <c r="AF43" s="19">
        <f>+Hoja2!AF43+Hoja1!AF43</f>
        <v>0</v>
      </c>
      <c r="AG43" s="24">
        <v>0</v>
      </c>
      <c r="AH43" s="19">
        <f>+Hoja2!AH43+Hoja1!AH43</f>
        <v>0</v>
      </c>
      <c r="AI43" s="24">
        <v>0</v>
      </c>
      <c r="AJ43" s="19">
        <f>+Hoja2!AJ43+Hoja1!AJ43</f>
        <v>55134</v>
      </c>
      <c r="AK43" s="24">
        <v>1</v>
      </c>
      <c r="AL43" s="19">
        <f>+Hoja2!AL43+Hoja1!AL43</f>
        <v>0</v>
      </c>
      <c r="AM43" s="24">
        <v>0</v>
      </c>
      <c r="AN43" s="19">
        <f>+Hoja2!AN43+Hoja1!AN43</f>
        <v>0</v>
      </c>
      <c r="AO43" s="24">
        <v>0</v>
      </c>
      <c r="AP43" s="19">
        <f>+Hoja2!AP43+Hoja1!AP43</f>
        <v>0</v>
      </c>
      <c r="AQ43" s="24">
        <v>0</v>
      </c>
      <c r="AR43" s="19">
        <f>+Hoja2!AR43+Hoja1!AR43</f>
        <v>0</v>
      </c>
      <c r="AS43" s="24">
        <v>0</v>
      </c>
      <c r="AT43" s="19">
        <f>+Hoja2!AT43+Hoja1!AT43</f>
        <v>101059</v>
      </c>
      <c r="AU43" s="24">
        <v>2</v>
      </c>
      <c r="AV43" s="19">
        <f>+Hoja2!AV43+Hoja1!AV43</f>
        <v>0</v>
      </c>
      <c r="AW43" s="24">
        <v>0</v>
      </c>
      <c r="AX43" s="19">
        <f>+Hoja2!AX43+Hoja1!AX43</f>
        <v>0</v>
      </c>
      <c r="AY43" s="24">
        <v>0</v>
      </c>
      <c r="AZ43" s="19">
        <f>+Hoja2!AZ43+Hoja1!AZ43</f>
        <v>0</v>
      </c>
      <c r="BA43" s="24">
        <v>0</v>
      </c>
      <c r="BB43" s="19">
        <f>+Hoja2!BB43+Hoja1!BB43</f>
        <v>0</v>
      </c>
      <c r="BC43" s="24">
        <v>0</v>
      </c>
      <c r="BD43" s="19">
        <f>+Hoja2!BD43+Hoja1!BD43</f>
        <v>2238</v>
      </c>
      <c r="BE43" s="24">
        <v>0</v>
      </c>
      <c r="BF43" s="19">
        <f>+Hoja2!BF43+Hoja1!BF43</f>
        <v>0</v>
      </c>
      <c r="BG43" s="24">
        <v>0</v>
      </c>
      <c r="BH43" s="19">
        <f>+Hoja2!BH43+Hoja1!BH43</f>
        <v>960</v>
      </c>
      <c r="BI43" s="24">
        <v>0</v>
      </c>
      <c r="BJ43" s="19">
        <f>+Hoja2!BJ43+Hoja1!BJ43</f>
        <v>923</v>
      </c>
      <c r="BK43" s="24">
        <v>0</v>
      </c>
      <c r="BL43" s="19">
        <f>+Hoja2!BL43+Hoja1!BL43</f>
        <v>0</v>
      </c>
      <c r="BM43" s="24">
        <v>0</v>
      </c>
      <c r="BN43" s="19">
        <f>+Hoja2!BN43+Hoja1!BN43</f>
        <v>0</v>
      </c>
      <c r="BO43" s="24">
        <v>0</v>
      </c>
      <c r="BP43" s="19">
        <f>+Hoja2!BP43+Hoja1!BP43</f>
        <v>0</v>
      </c>
      <c r="BQ43" s="24">
        <v>0</v>
      </c>
      <c r="BR43" s="19">
        <f>+Hoja2!BR43+Hoja1!BR43</f>
        <v>0</v>
      </c>
      <c r="BS43" s="24">
        <v>0</v>
      </c>
      <c r="BT43" s="19">
        <f>+Hoja2!BT43+Hoja1!BT43</f>
        <v>400</v>
      </c>
      <c r="BU43" s="24">
        <v>0</v>
      </c>
      <c r="BV43" s="19">
        <f>+Hoja2!BV43+Hoja1!BV43</f>
        <v>13344</v>
      </c>
      <c r="BW43" s="24">
        <v>0</v>
      </c>
      <c r="BX43" s="19">
        <f>+Hoja2!BX43+Hoja1!BX43</f>
        <v>0</v>
      </c>
      <c r="BY43" s="24">
        <v>0</v>
      </c>
      <c r="BZ43" s="19">
        <f>+Hoja2!BZ43+Hoja1!BZ43</f>
        <v>0</v>
      </c>
      <c r="CA43" s="24">
        <v>0</v>
      </c>
      <c r="CB43" s="19">
        <f>+Hoja2!CB43+Hoja1!CB43</f>
        <v>0</v>
      </c>
      <c r="CC43" s="24">
        <v>0</v>
      </c>
      <c r="CD43" s="19">
        <f>+Hoja2!CD43+Hoja1!CD43</f>
        <v>0</v>
      </c>
      <c r="CE43" s="24">
        <v>0</v>
      </c>
      <c r="CF43" s="19">
        <f>+Hoja2!CF43+Hoja1!CF43</f>
        <v>0</v>
      </c>
      <c r="CG43" s="24">
        <v>0</v>
      </c>
      <c r="CH43" s="19">
        <f>+Hoja2!CH43+Hoja1!CH43</f>
        <v>0</v>
      </c>
      <c r="CI43" s="24">
        <v>0</v>
      </c>
      <c r="CJ43" s="19">
        <f>+Hoja2!CJ43+Hoja1!CJ43</f>
        <v>0</v>
      </c>
      <c r="CK43" s="24">
        <v>0</v>
      </c>
      <c r="CL43" s="19">
        <f>+Hoja2!CL43+Hoja1!CL43</f>
        <v>0</v>
      </c>
      <c r="CM43" s="24">
        <v>0</v>
      </c>
      <c r="CN43" s="19">
        <f>+Hoja2!CN43+Hoja1!CN43</f>
        <v>0</v>
      </c>
      <c r="CO43" s="24">
        <v>0</v>
      </c>
      <c r="CP43" s="19">
        <f>+Hoja2!CP43+Hoja1!CP43</f>
        <v>0</v>
      </c>
      <c r="CQ43" s="24">
        <v>0</v>
      </c>
      <c r="CR43" s="19">
        <f>+Hoja2!CR43+Hoja1!CR43</f>
        <v>0</v>
      </c>
      <c r="CS43" s="24">
        <v>0</v>
      </c>
      <c r="CT43" s="19">
        <f>+Hoja2!CT43+Hoja1!CT43</f>
        <v>0</v>
      </c>
      <c r="CU43" s="24">
        <v>0</v>
      </c>
      <c r="CV43" s="19">
        <f>+Hoja2!CV43+Hoja1!CV43</f>
        <v>0</v>
      </c>
      <c r="CW43" s="24">
        <v>0</v>
      </c>
      <c r="CX43" s="19">
        <f>+Hoja2!CX43+Hoja1!CX43</f>
        <v>0</v>
      </c>
      <c r="CY43" s="24">
        <v>0</v>
      </c>
      <c r="CZ43" s="19">
        <f>+Hoja2!CZ43+Hoja1!CZ43</f>
        <v>0</v>
      </c>
      <c r="DA43" s="24">
        <v>0</v>
      </c>
      <c r="DB43" s="19">
        <f>+Hoja2!DB43+Hoja1!DB43</f>
        <v>0</v>
      </c>
      <c r="DC43" s="24">
        <v>0</v>
      </c>
      <c r="DD43" s="19">
        <f>+Hoja2!DD43+Hoja1!DD43</f>
        <v>0</v>
      </c>
      <c r="DE43" s="24">
        <v>0</v>
      </c>
      <c r="DF43" s="19">
        <f>+Hoja2!DF43+Hoja1!DF43</f>
        <v>0</v>
      </c>
      <c r="DG43" s="24">
        <v>0</v>
      </c>
      <c r="DH43" s="19">
        <f>+Hoja2!DH43+Hoja1!DH43</f>
        <v>0</v>
      </c>
      <c r="DI43" s="24">
        <v>0</v>
      </c>
      <c r="DJ43" s="19">
        <f>+Hoja2!DJ43+Hoja1!DJ43</f>
        <v>0</v>
      </c>
      <c r="DK43" s="24">
        <v>0</v>
      </c>
      <c r="DL43" s="19">
        <f>+Hoja2!DL43+Hoja1!DL43</f>
        <v>0</v>
      </c>
      <c r="DM43" s="24">
        <v>0</v>
      </c>
      <c r="DN43" s="19">
        <f>+Hoja2!DN43+Hoja1!DN43</f>
        <v>0</v>
      </c>
      <c r="DO43" s="24">
        <v>0</v>
      </c>
      <c r="DP43" s="19">
        <f>+Hoja2!DP43+Hoja1!DP43</f>
        <v>0</v>
      </c>
      <c r="DQ43" s="24">
        <v>0</v>
      </c>
      <c r="DR43" s="19">
        <f>+Hoja2!DR43+Hoja1!DR43</f>
        <v>0</v>
      </c>
      <c r="DS43" s="24">
        <v>0</v>
      </c>
      <c r="DT43" s="19">
        <f>+Hoja2!DT43+Hoja1!DT43</f>
        <v>0</v>
      </c>
      <c r="DU43" s="24">
        <v>0</v>
      </c>
      <c r="DV43" s="19">
        <f>+Hoja2!DV43+Hoja1!DV43</f>
        <v>0</v>
      </c>
      <c r="DW43" s="24">
        <v>0</v>
      </c>
      <c r="DX43" s="19">
        <f>+Hoja2!DX43+Hoja1!DX43</f>
        <v>0</v>
      </c>
      <c r="DY43" s="24">
        <v>0</v>
      </c>
      <c r="DZ43" s="19">
        <f>+Hoja2!DZ43+Hoja1!DZ43</f>
        <v>0</v>
      </c>
      <c r="EA43" s="24">
        <v>0</v>
      </c>
      <c r="EB43" s="19">
        <f>+Hoja2!EB43+Hoja1!EB43</f>
        <v>0</v>
      </c>
      <c r="EC43" s="24">
        <v>0</v>
      </c>
      <c r="ED43" s="19">
        <f>+Hoja2!ED43+Hoja1!ED43</f>
        <v>0</v>
      </c>
      <c r="EE43" s="24">
        <v>0</v>
      </c>
      <c r="EF43" s="19">
        <f>+Hoja2!EF43+Hoja1!EF43</f>
        <v>0</v>
      </c>
      <c r="EG43" s="24">
        <v>0</v>
      </c>
      <c r="EH43" s="19">
        <f>+Hoja2!EH43+Hoja1!EH43</f>
        <v>0</v>
      </c>
      <c r="EI43" s="24">
        <v>0</v>
      </c>
      <c r="EJ43" s="19">
        <f>+Hoja2!EJ43+Hoja1!EJ43</f>
        <v>0</v>
      </c>
      <c r="EK43" s="24">
        <v>0</v>
      </c>
      <c r="EL43" s="19">
        <f>+Hoja2!EL43+Hoja1!EL43</f>
        <v>0</v>
      </c>
      <c r="EM43" s="24">
        <v>0</v>
      </c>
      <c r="EN43" s="19">
        <f>+Hoja2!EN43+Hoja1!EN43</f>
        <v>0</v>
      </c>
      <c r="EO43" s="24">
        <v>0</v>
      </c>
      <c r="EP43" s="19">
        <f>+Hoja2!EP43+Hoja1!EP43</f>
        <v>0</v>
      </c>
      <c r="EQ43" s="24">
        <v>0</v>
      </c>
      <c r="ER43" s="19">
        <f>+Hoja2!ER43+Hoja1!ER43</f>
        <v>0</v>
      </c>
      <c r="ES43" s="24">
        <v>0</v>
      </c>
      <c r="ET43" s="19">
        <f>+Hoja2!ET43+Hoja1!ET43</f>
        <v>0</v>
      </c>
      <c r="EU43" s="24">
        <v>0</v>
      </c>
    </row>
    <row r="44" spans="1:151" x14ac:dyDescent="0.25">
      <c r="A44" s="24" t="s">
        <v>70</v>
      </c>
      <c r="B44" s="25">
        <v>1</v>
      </c>
      <c r="C44" s="24" t="s">
        <v>71</v>
      </c>
      <c r="D44" s="24">
        <v>328868</v>
      </c>
      <c r="E44" s="26">
        <v>425</v>
      </c>
      <c r="F44" s="26">
        <v>251428</v>
      </c>
      <c r="G44" s="26">
        <v>7067</v>
      </c>
      <c r="H44" s="26">
        <v>258495</v>
      </c>
      <c r="I44" s="1">
        <v>1020</v>
      </c>
      <c r="J44" s="19">
        <f>+INT(([1]Hoja1!M44/[1]Hoja1!O44)*M44)</f>
        <v>32413125</v>
      </c>
      <c r="K44" s="19">
        <f>+INT(([1]Hoja1!N44/[1]Hoja1!O44)*M44)</f>
        <v>32240298</v>
      </c>
      <c r="L44" s="19">
        <f t="shared" si="1"/>
        <v>174171</v>
      </c>
      <c r="M44" s="19">
        <f t="shared" si="2"/>
        <v>172827</v>
      </c>
      <c r="N44" s="22">
        <f t="shared" si="0"/>
        <v>171916</v>
      </c>
      <c r="O44" s="26">
        <v>911</v>
      </c>
      <c r="P44" s="26">
        <v>1344</v>
      </c>
      <c r="Q44" s="22">
        <f t="shared" si="3"/>
        <v>4</v>
      </c>
      <c r="R44" s="19">
        <f>+Hoja2!R44+Hoja1!R44</f>
        <v>39614</v>
      </c>
      <c r="S44" s="24">
        <v>1</v>
      </c>
      <c r="T44" s="19">
        <f>+Hoja2!T44+Hoja1!T44</f>
        <v>28036</v>
      </c>
      <c r="U44" s="24">
        <v>0</v>
      </c>
      <c r="V44" s="19">
        <f>+Hoja2!V44+Hoja1!V44</f>
        <v>6549</v>
      </c>
      <c r="W44" s="24">
        <v>0</v>
      </c>
      <c r="X44" s="19">
        <f>+Hoja2!X44+Hoja1!X44</f>
        <v>29595</v>
      </c>
      <c r="Y44" s="24">
        <v>1</v>
      </c>
      <c r="Z44" s="19">
        <f>+Hoja2!Z44+Hoja1!Z44</f>
        <v>0</v>
      </c>
      <c r="AA44" s="24">
        <v>0</v>
      </c>
      <c r="AB44" s="19">
        <f>+Hoja2!AB44+Hoja1!AB44</f>
        <v>0</v>
      </c>
      <c r="AC44" s="24">
        <v>0</v>
      </c>
      <c r="AD44" s="19">
        <f>+Hoja2!AD44+Hoja1!AD44</f>
        <v>0</v>
      </c>
      <c r="AE44" s="24">
        <v>0</v>
      </c>
      <c r="AF44" s="19">
        <f>+Hoja2!AF44+Hoja1!AF44</f>
        <v>0</v>
      </c>
      <c r="AG44" s="24">
        <v>0</v>
      </c>
      <c r="AH44" s="19">
        <f>+Hoja2!AH44+Hoja1!AH44</f>
        <v>39255</v>
      </c>
      <c r="AI44" s="24">
        <v>1</v>
      </c>
      <c r="AJ44" s="19">
        <f>+Hoja2!AJ44+Hoja1!AJ44</f>
        <v>26766</v>
      </c>
      <c r="AK44" s="24">
        <v>1</v>
      </c>
      <c r="AL44" s="19">
        <f>+Hoja2!AL44+Hoja1!AL44</f>
        <v>0</v>
      </c>
      <c r="AM44" s="24">
        <v>0</v>
      </c>
      <c r="AN44" s="19">
        <f>+Hoja2!AN44+Hoja1!AN44</f>
        <v>0</v>
      </c>
      <c r="AO44" s="24">
        <v>0</v>
      </c>
      <c r="AP44" s="19">
        <f>+Hoja2!AP44+Hoja1!AP44</f>
        <v>0</v>
      </c>
      <c r="AQ44" s="24">
        <v>0</v>
      </c>
      <c r="AR44" s="19">
        <f>+Hoja2!AR44+Hoja1!AR44</f>
        <v>0</v>
      </c>
      <c r="AS44" s="24">
        <v>0</v>
      </c>
      <c r="AT44" s="19">
        <f>+Hoja2!AT44+Hoja1!AT44</f>
        <v>0</v>
      </c>
      <c r="AU44" s="24">
        <v>0</v>
      </c>
      <c r="AV44" s="19">
        <f>+Hoja2!AV44+Hoja1!AV44</f>
        <v>0</v>
      </c>
      <c r="AW44" s="24">
        <v>0</v>
      </c>
      <c r="AX44" s="19">
        <f>+Hoja2!AX44+Hoja1!AX44</f>
        <v>0</v>
      </c>
      <c r="AY44" s="24">
        <v>0</v>
      </c>
      <c r="AZ44" s="19">
        <f>+Hoja2!AZ44+Hoja1!AZ44</f>
        <v>0</v>
      </c>
      <c r="BA44" s="24">
        <v>0</v>
      </c>
      <c r="BB44" s="19">
        <f>+Hoja2!BB44+Hoja1!BB44</f>
        <v>0</v>
      </c>
      <c r="BC44" s="24">
        <v>0</v>
      </c>
      <c r="BD44" s="19">
        <f>+Hoja2!BD44+Hoja1!BD44</f>
        <v>1146</v>
      </c>
      <c r="BE44" s="24">
        <v>0</v>
      </c>
      <c r="BF44" s="19">
        <f>+Hoja2!BF44+Hoja1!BF44</f>
        <v>0</v>
      </c>
      <c r="BG44" s="24">
        <v>0</v>
      </c>
      <c r="BH44" s="19">
        <f>+Hoja2!BH44+Hoja1!BH44</f>
        <v>406</v>
      </c>
      <c r="BI44" s="24">
        <v>0</v>
      </c>
      <c r="BJ44" s="19">
        <f>+Hoja2!BJ44+Hoja1!BJ44</f>
        <v>324</v>
      </c>
      <c r="BK44" s="24">
        <v>0</v>
      </c>
      <c r="BL44" s="19">
        <f>+Hoja2!BL44+Hoja1!BL44</f>
        <v>0</v>
      </c>
      <c r="BM44" s="24">
        <v>0</v>
      </c>
      <c r="BN44" s="19">
        <f>+Hoja2!BN44+Hoja1!BN44</f>
        <v>0</v>
      </c>
      <c r="BO44" s="24">
        <v>0</v>
      </c>
      <c r="BP44" s="19">
        <f>+Hoja2!BP44+Hoja1!BP44</f>
        <v>0</v>
      </c>
      <c r="BQ44" s="24">
        <v>0</v>
      </c>
      <c r="BR44" s="19">
        <f>+Hoja2!BR44+Hoja1!BR44</f>
        <v>0</v>
      </c>
      <c r="BS44" s="24">
        <v>0</v>
      </c>
      <c r="BT44" s="19">
        <f>+Hoja2!BT44+Hoja1!BT44</f>
        <v>225</v>
      </c>
      <c r="BU44" s="24">
        <v>0</v>
      </c>
      <c r="BV44" s="19">
        <f>+Hoja2!BV44+Hoja1!BV44</f>
        <v>0</v>
      </c>
      <c r="BW44" s="24">
        <v>0</v>
      </c>
      <c r="BX44" s="19">
        <f>+Hoja2!BX44+Hoja1!BX44</f>
        <v>0</v>
      </c>
      <c r="BY44" s="24">
        <v>0</v>
      </c>
      <c r="BZ44" s="19">
        <f>+Hoja2!BZ44+Hoja1!BZ44</f>
        <v>0</v>
      </c>
      <c r="CA44" s="24">
        <v>0</v>
      </c>
      <c r="CB44" s="19">
        <f>+Hoja2!CB44+Hoja1!CB44</f>
        <v>0</v>
      </c>
      <c r="CC44" s="24">
        <v>0</v>
      </c>
      <c r="CD44" s="19">
        <f>+Hoja2!CD44+Hoja1!CD44</f>
        <v>0</v>
      </c>
      <c r="CE44" s="24">
        <v>0</v>
      </c>
      <c r="CF44" s="19">
        <f>+Hoja2!CF44+Hoja1!CF44</f>
        <v>0</v>
      </c>
      <c r="CG44" s="24">
        <v>0</v>
      </c>
      <c r="CH44" s="19">
        <f>+Hoja2!CH44+Hoja1!CH44</f>
        <v>0</v>
      </c>
      <c r="CI44" s="24">
        <v>0</v>
      </c>
      <c r="CJ44" s="19">
        <f>+Hoja2!CJ44+Hoja1!CJ44</f>
        <v>0</v>
      </c>
      <c r="CK44" s="24">
        <v>0</v>
      </c>
      <c r="CL44" s="19">
        <f>+Hoja2!CL44+Hoja1!CL44</f>
        <v>0</v>
      </c>
      <c r="CM44" s="24">
        <v>0</v>
      </c>
      <c r="CN44" s="19">
        <f>+Hoja2!CN44+Hoja1!CN44</f>
        <v>0</v>
      </c>
      <c r="CO44" s="24">
        <v>0</v>
      </c>
      <c r="CP44" s="19">
        <f>+Hoja2!CP44+Hoja1!CP44</f>
        <v>0</v>
      </c>
      <c r="CQ44" s="24">
        <v>0</v>
      </c>
      <c r="CR44" s="19">
        <f>+Hoja2!CR44+Hoja1!CR44</f>
        <v>0</v>
      </c>
      <c r="CS44" s="24">
        <v>0</v>
      </c>
      <c r="CT44" s="19">
        <f>+Hoja2!CT44+Hoja1!CT44</f>
        <v>0</v>
      </c>
      <c r="CU44" s="24">
        <v>0</v>
      </c>
      <c r="CV44" s="19">
        <f>+Hoja2!CV44+Hoja1!CV44</f>
        <v>0</v>
      </c>
      <c r="CW44" s="24">
        <v>0</v>
      </c>
      <c r="CX44" s="19">
        <f>+Hoja2!CX44+Hoja1!CX44</f>
        <v>0</v>
      </c>
      <c r="CY44" s="24">
        <v>0</v>
      </c>
      <c r="CZ44" s="19">
        <f>+Hoja2!CZ44+Hoja1!CZ44</f>
        <v>0</v>
      </c>
      <c r="DA44" s="24">
        <v>0</v>
      </c>
      <c r="DB44" s="19">
        <f>+Hoja2!DB44+Hoja1!DB44</f>
        <v>0</v>
      </c>
      <c r="DC44" s="24">
        <v>0</v>
      </c>
      <c r="DD44" s="19">
        <f>+Hoja2!DD44+Hoja1!DD44</f>
        <v>0</v>
      </c>
      <c r="DE44" s="24">
        <v>0</v>
      </c>
      <c r="DF44" s="19">
        <f>+Hoja2!DF44+Hoja1!DF44</f>
        <v>0</v>
      </c>
      <c r="DG44" s="24">
        <v>0</v>
      </c>
      <c r="DH44" s="19">
        <f>+Hoja2!DH44+Hoja1!DH44</f>
        <v>0</v>
      </c>
      <c r="DI44" s="24">
        <v>0</v>
      </c>
      <c r="DJ44" s="19">
        <f>+Hoja2!DJ44+Hoja1!DJ44</f>
        <v>0</v>
      </c>
      <c r="DK44" s="24">
        <v>0</v>
      </c>
      <c r="DL44" s="19">
        <f>+Hoja2!DL44+Hoja1!DL44</f>
        <v>0</v>
      </c>
      <c r="DM44" s="24">
        <v>0</v>
      </c>
      <c r="DN44" s="19">
        <f>+Hoja2!DN44+Hoja1!DN44</f>
        <v>0</v>
      </c>
      <c r="DO44" s="24">
        <v>0</v>
      </c>
      <c r="DP44" s="19">
        <f>+Hoja2!DP44+Hoja1!DP44</f>
        <v>0</v>
      </c>
      <c r="DQ44" s="24">
        <v>0</v>
      </c>
      <c r="DR44" s="19">
        <f>+Hoja2!DR44+Hoja1!DR44</f>
        <v>0</v>
      </c>
      <c r="DS44" s="24">
        <v>0</v>
      </c>
      <c r="DT44" s="19">
        <f>+Hoja2!DT44+Hoja1!DT44</f>
        <v>0</v>
      </c>
      <c r="DU44" s="24">
        <v>0</v>
      </c>
      <c r="DV44" s="19">
        <f>+Hoja2!DV44+Hoja1!DV44</f>
        <v>0</v>
      </c>
      <c r="DW44" s="24">
        <v>0</v>
      </c>
      <c r="DX44" s="19">
        <f>+Hoja2!DX44+Hoja1!DX44</f>
        <v>0</v>
      </c>
      <c r="DY44" s="24">
        <v>0</v>
      </c>
      <c r="DZ44" s="19">
        <f>+Hoja2!DZ44+Hoja1!DZ44</f>
        <v>0</v>
      </c>
      <c r="EA44" s="24">
        <v>0</v>
      </c>
      <c r="EB44" s="19">
        <f>+Hoja2!EB44+Hoja1!EB44</f>
        <v>0</v>
      </c>
      <c r="EC44" s="24">
        <v>0</v>
      </c>
      <c r="ED44" s="19">
        <f>+Hoja2!ED44+Hoja1!ED44</f>
        <v>0</v>
      </c>
      <c r="EE44" s="24">
        <v>0</v>
      </c>
      <c r="EF44" s="19">
        <f>+Hoja2!EF44+Hoja1!EF44</f>
        <v>0</v>
      </c>
      <c r="EG44" s="24">
        <v>0</v>
      </c>
      <c r="EH44" s="19">
        <f>+Hoja2!EH44+Hoja1!EH44</f>
        <v>0</v>
      </c>
      <c r="EI44" s="24">
        <v>0</v>
      </c>
      <c r="EJ44" s="19">
        <f>+Hoja2!EJ44+Hoja1!EJ44</f>
        <v>0</v>
      </c>
      <c r="EK44" s="24">
        <v>0</v>
      </c>
      <c r="EL44" s="19">
        <f>+Hoja2!EL44+Hoja1!EL44</f>
        <v>0</v>
      </c>
      <c r="EM44" s="24">
        <v>0</v>
      </c>
      <c r="EN44" s="19">
        <f>+Hoja2!EN44+Hoja1!EN44</f>
        <v>0</v>
      </c>
      <c r="EO44" s="24">
        <v>0</v>
      </c>
      <c r="EP44" s="19">
        <f>+Hoja2!EP44+Hoja1!EP44</f>
        <v>0</v>
      </c>
      <c r="EQ44" s="24">
        <v>0</v>
      </c>
      <c r="ER44" s="19">
        <f>+Hoja2!ER44+Hoja1!ER44</f>
        <v>0</v>
      </c>
      <c r="ES44" s="24">
        <v>0</v>
      </c>
      <c r="ET44" s="19">
        <f>+Hoja2!ET44+Hoja1!ET44</f>
        <v>0</v>
      </c>
      <c r="EU44" s="24">
        <v>0</v>
      </c>
    </row>
    <row r="45" spans="1:151" x14ac:dyDescent="0.25">
      <c r="A45" s="24" t="s">
        <v>70</v>
      </c>
      <c r="B45" s="25">
        <v>20</v>
      </c>
      <c r="C45" s="24" t="s">
        <v>72</v>
      </c>
      <c r="D45" s="24">
        <v>720592</v>
      </c>
      <c r="E45" s="26">
        <v>848</v>
      </c>
      <c r="F45" s="26">
        <v>556567</v>
      </c>
      <c r="G45" s="26">
        <v>27894</v>
      </c>
      <c r="H45" s="26">
        <v>584461</v>
      </c>
      <c r="I45" s="1">
        <v>4422</v>
      </c>
      <c r="J45" s="19">
        <f>+INT(([1]Hoja1!M45/[1]Hoja1!O45)*M45)</f>
        <v>77102829</v>
      </c>
      <c r="K45" s="19">
        <f>+INT(([1]Hoja1!N45/[1]Hoja1!O45)*M45)</f>
        <v>76718793</v>
      </c>
      <c r="L45" s="19">
        <f t="shared" si="1"/>
        <v>385714</v>
      </c>
      <c r="M45" s="19">
        <f t="shared" si="2"/>
        <v>384036</v>
      </c>
      <c r="N45" s="22">
        <f t="shared" si="0"/>
        <v>382129</v>
      </c>
      <c r="O45" s="26">
        <v>1907</v>
      </c>
      <c r="P45" s="26">
        <v>1678</v>
      </c>
      <c r="Q45" s="22">
        <f t="shared" si="3"/>
        <v>6</v>
      </c>
      <c r="R45" s="19">
        <f>+Hoja2!R45+Hoja1!R45</f>
        <v>73191</v>
      </c>
      <c r="S45" s="24">
        <v>1</v>
      </c>
      <c r="T45" s="19">
        <f>+Hoja2!T45+Hoja1!T45</f>
        <v>27150</v>
      </c>
      <c r="U45" s="24">
        <v>0</v>
      </c>
      <c r="V45" s="19">
        <f>+Hoja2!V45+Hoja1!V45</f>
        <v>7419</v>
      </c>
      <c r="W45" s="24">
        <v>0</v>
      </c>
      <c r="X45" s="19">
        <f>+Hoja2!X45+Hoja1!X45</f>
        <v>60231</v>
      </c>
      <c r="Y45" s="24">
        <v>1</v>
      </c>
      <c r="Z45" s="19">
        <f>+Hoja2!Z45+Hoja1!Z45</f>
        <v>0</v>
      </c>
      <c r="AA45" s="24">
        <v>0</v>
      </c>
      <c r="AB45" s="19">
        <f>+Hoja2!AB45+Hoja1!AB45</f>
        <v>0</v>
      </c>
      <c r="AC45" s="24">
        <v>0</v>
      </c>
      <c r="AD45" s="19">
        <f>+Hoja2!AD45+Hoja1!AD45</f>
        <v>0</v>
      </c>
      <c r="AE45" s="24">
        <v>0</v>
      </c>
      <c r="AF45" s="19">
        <f>+Hoja2!AF45+Hoja1!AF45</f>
        <v>0</v>
      </c>
      <c r="AG45" s="24">
        <v>0</v>
      </c>
      <c r="AH45" s="19">
        <f>+Hoja2!AH45+Hoja1!AH45</f>
        <v>113841</v>
      </c>
      <c r="AI45" s="24">
        <v>2</v>
      </c>
      <c r="AJ45" s="19">
        <f>+Hoja2!AJ45+Hoja1!AJ45</f>
        <v>96477</v>
      </c>
      <c r="AK45" s="24">
        <v>2</v>
      </c>
      <c r="AL45" s="19">
        <f>+Hoja2!AL45+Hoja1!AL45</f>
        <v>0</v>
      </c>
      <c r="AM45" s="24">
        <v>0</v>
      </c>
      <c r="AN45" s="19">
        <f>+Hoja2!AN45+Hoja1!AN45</f>
        <v>0</v>
      </c>
      <c r="AO45" s="24">
        <v>0</v>
      </c>
      <c r="AP45" s="19">
        <f>+Hoja2!AP45+Hoja1!AP45</f>
        <v>0</v>
      </c>
      <c r="AQ45" s="24">
        <v>0</v>
      </c>
      <c r="AR45" s="19">
        <f>+Hoja2!AR45+Hoja1!AR45</f>
        <v>0</v>
      </c>
      <c r="AS45" s="24">
        <v>0</v>
      </c>
      <c r="AT45" s="19">
        <f>+Hoja2!AT45+Hoja1!AT45</f>
        <v>0</v>
      </c>
      <c r="AU45" s="24">
        <v>0</v>
      </c>
      <c r="AV45" s="19">
        <f>+Hoja2!AV45+Hoja1!AV45</f>
        <v>0</v>
      </c>
      <c r="AW45" s="24">
        <v>0</v>
      </c>
      <c r="AX45" s="19">
        <f>+Hoja2!AX45+Hoja1!AX45</f>
        <v>0</v>
      </c>
      <c r="AY45" s="24">
        <v>0</v>
      </c>
      <c r="AZ45" s="19">
        <f>+Hoja2!AZ45+Hoja1!AZ45</f>
        <v>0</v>
      </c>
      <c r="BA45" s="24">
        <v>0</v>
      </c>
      <c r="BB45" s="19">
        <f>+Hoja2!BB45+Hoja1!BB45</f>
        <v>0</v>
      </c>
      <c r="BC45" s="24">
        <v>0</v>
      </c>
      <c r="BD45" s="19">
        <f>+Hoja2!BD45+Hoja1!BD45</f>
        <v>2059</v>
      </c>
      <c r="BE45" s="24">
        <v>0</v>
      </c>
      <c r="BF45" s="19">
        <f>+Hoja2!BF45+Hoja1!BF45</f>
        <v>0</v>
      </c>
      <c r="BG45" s="24">
        <v>0</v>
      </c>
      <c r="BH45" s="19">
        <f>+Hoja2!BH45+Hoja1!BH45</f>
        <v>507</v>
      </c>
      <c r="BI45" s="24">
        <v>0</v>
      </c>
      <c r="BJ45" s="19">
        <f>+Hoja2!BJ45+Hoja1!BJ45</f>
        <v>398</v>
      </c>
      <c r="BK45" s="24">
        <v>0</v>
      </c>
      <c r="BL45" s="19">
        <f>+Hoja2!BL45+Hoja1!BL45</f>
        <v>0</v>
      </c>
      <c r="BM45" s="24">
        <v>0</v>
      </c>
      <c r="BN45" s="19">
        <f>+Hoja2!BN45+Hoja1!BN45</f>
        <v>0</v>
      </c>
      <c r="BO45" s="24">
        <v>0</v>
      </c>
      <c r="BP45" s="19">
        <f>+Hoja2!BP45+Hoja1!BP45</f>
        <v>0</v>
      </c>
      <c r="BQ45" s="24">
        <v>0</v>
      </c>
      <c r="BR45" s="19">
        <f>+Hoja2!BR45+Hoja1!BR45</f>
        <v>0</v>
      </c>
      <c r="BS45" s="24">
        <v>0</v>
      </c>
      <c r="BT45" s="19">
        <f>+Hoja2!BT45+Hoja1!BT45</f>
        <v>289</v>
      </c>
      <c r="BU45" s="24">
        <v>0</v>
      </c>
      <c r="BV45" s="19">
        <f>+Hoja2!BV45+Hoja1!BV45</f>
        <v>0</v>
      </c>
      <c r="BW45" s="24">
        <v>0</v>
      </c>
      <c r="BX45" s="19">
        <f>+Hoja2!BX45+Hoja1!BX45</f>
        <v>0</v>
      </c>
      <c r="BY45" s="24">
        <v>0</v>
      </c>
      <c r="BZ45" s="19">
        <f>+Hoja2!BZ45+Hoja1!BZ45</f>
        <v>0</v>
      </c>
      <c r="CA45" s="24">
        <v>0</v>
      </c>
      <c r="CB45" s="19">
        <f>+Hoja2!CB45+Hoja1!CB45</f>
        <v>0</v>
      </c>
      <c r="CC45" s="24">
        <v>0</v>
      </c>
      <c r="CD45" s="19">
        <f>+Hoja2!CD45+Hoja1!CD45</f>
        <v>567</v>
      </c>
      <c r="CE45" s="24">
        <v>0</v>
      </c>
      <c r="CF45" s="19">
        <f>+Hoja2!CF45+Hoja1!CF45</f>
        <v>0</v>
      </c>
      <c r="CG45" s="24">
        <v>0</v>
      </c>
      <c r="CH45" s="19">
        <f>+Hoja2!CH45+Hoja1!CH45</f>
        <v>0</v>
      </c>
      <c r="CI45" s="24">
        <v>0</v>
      </c>
      <c r="CJ45" s="19">
        <f>+Hoja2!CJ45+Hoja1!CJ45</f>
        <v>0</v>
      </c>
      <c r="CK45" s="24">
        <v>0</v>
      </c>
      <c r="CL45" s="19">
        <f>+Hoja2!CL45+Hoja1!CL45</f>
        <v>0</v>
      </c>
      <c r="CM45" s="24">
        <v>0</v>
      </c>
      <c r="CN45" s="19">
        <f>+Hoja2!CN45+Hoja1!CN45</f>
        <v>0</v>
      </c>
      <c r="CO45" s="24">
        <v>0</v>
      </c>
      <c r="CP45" s="19">
        <f>+Hoja2!CP45+Hoja1!CP45</f>
        <v>0</v>
      </c>
      <c r="CQ45" s="24">
        <v>0</v>
      </c>
      <c r="CR45" s="19">
        <f>+Hoja2!CR45+Hoja1!CR45</f>
        <v>0</v>
      </c>
      <c r="CS45" s="24">
        <v>0</v>
      </c>
      <c r="CT45" s="19">
        <f>+Hoja2!CT45+Hoja1!CT45</f>
        <v>0</v>
      </c>
      <c r="CU45" s="24">
        <v>0</v>
      </c>
      <c r="CV45" s="19">
        <f>+Hoja2!CV45+Hoja1!CV45</f>
        <v>0</v>
      </c>
      <c r="CW45" s="24">
        <v>0</v>
      </c>
      <c r="CX45" s="19">
        <f>+Hoja2!CX45+Hoja1!CX45</f>
        <v>0</v>
      </c>
      <c r="CY45" s="24">
        <v>0</v>
      </c>
      <c r="CZ45" s="19">
        <f>+Hoja2!CZ45+Hoja1!CZ45</f>
        <v>0</v>
      </c>
      <c r="DA45" s="24">
        <v>0</v>
      </c>
      <c r="DB45" s="19">
        <f>+Hoja2!DB45+Hoja1!DB45</f>
        <v>0</v>
      </c>
      <c r="DC45" s="24">
        <v>0</v>
      </c>
      <c r="DD45" s="19">
        <f>+Hoja2!DD45+Hoja1!DD45</f>
        <v>0</v>
      </c>
      <c r="DE45" s="24">
        <v>0</v>
      </c>
      <c r="DF45" s="19">
        <f>+Hoja2!DF45+Hoja1!DF45</f>
        <v>0</v>
      </c>
      <c r="DG45" s="24">
        <v>0</v>
      </c>
      <c r="DH45" s="19">
        <f>+Hoja2!DH45+Hoja1!DH45</f>
        <v>0</v>
      </c>
      <c r="DI45" s="24">
        <v>0</v>
      </c>
      <c r="DJ45" s="19">
        <f>+Hoja2!DJ45+Hoja1!DJ45</f>
        <v>0</v>
      </c>
      <c r="DK45" s="24">
        <v>0</v>
      </c>
      <c r="DL45" s="19">
        <f>+Hoja2!DL45+Hoja1!DL45</f>
        <v>0</v>
      </c>
      <c r="DM45" s="24">
        <v>0</v>
      </c>
      <c r="DN45" s="19">
        <f>+Hoja2!DN45+Hoja1!DN45</f>
        <v>0</v>
      </c>
      <c r="DO45" s="24">
        <v>0</v>
      </c>
      <c r="DP45" s="19">
        <f>+Hoja2!DP45+Hoja1!DP45</f>
        <v>0</v>
      </c>
      <c r="DQ45" s="24">
        <v>0</v>
      </c>
      <c r="DR45" s="19">
        <f>+Hoja2!DR45+Hoja1!DR45</f>
        <v>0</v>
      </c>
      <c r="DS45" s="24">
        <v>0</v>
      </c>
      <c r="DT45" s="19">
        <f>+Hoja2!DT45+Hoja1!DT45</f>
        <v>0</v>
      </c>
      <c r="DU45" s="24">
        <v>0</v>
      </c>
      <c r="DV45" s="19">
        <f>+Hoja2!DV45+Hoja1!DV45</f>
        <v>0</v>
      </c>
      <c r="DW45" s="24">
        <v>0</v>
      </c>
      <c r="DX45" s="19">
        <f>+Hoja2!DX45+Hoja1!DX45</f>
        <v>0</v>
      </c>
      <c r="DY45" s="24">
        <v>0</v>
      </c>
      <c r="DZ45" s="19">
        <f>+Hoja2!DZ45+Hoja1!DZ45</f>
        <v>0</v>
      </c>
      <c r="EA45" s="24">
        <v>0</v>
      </c>
      <c r="EB45" s="19">
        <f>+Hoja2!EB45+Hoja1!EB45</f>
        <v>0</v>
      </c>
      <c r="EC45" s="24">
        <v>0</v>
      </c>
      <c r="ED45" s="19">
        <f>+Hoja2!ED45+Hoja1!ED45</f>
        <v>0</v>
      </c>
      <c r="EE45" s="24">
        <v>0</v>
      </c>
      <c r="EF45" s="19">
        <f>+Hoja2!EF45+Hoja1!EF45</f>
        <v>0</v>
      </c>
      <c r="EG45" s="24">
        <v>0</v>
      </c>
      <c r="EH45" s="19">
        <f>+Hoja2!EH45+Hoja1!EH45</f>
        <v>0</v>
      </c>
      <c r="EI45" s="24">
        <v>0</v>
      </c>
      <c r="EJ45" s="19">
        <f>+Hoja2!EJ45+Hoja1!EJ45</f>
        <v>0</v>
      </c>
      <c r="EK45" s="24">
        <v>0</v>
      </c>
      <c r="EL45" s="19">
        <f>+Hoja2!EL45+Hoja1!EL45</f>
        <v>0</v>
      </c>
      <c r="EM45" s="24">
        <v>0</v>
      </c>
      <c r="EN45" s="19">
        <f>+Hoja2!EN45+Hoja1!EN45</f>
        <v>0</v>
      </c>
      <c r="EO45" s="24">
        <v>0</v>
      </c>
      <c r="EP45" s="19">
        <f>+Hoja2!EP45+Hoja1!EP45</f>
        <v>0</v>
      </c>
      <c r="EQ45" s="24">
        <v>0</v>
      </c>
      <c r="ER45" s="19">
        <f>+Hoja2!ER45+Hoja1!ER45</f>
        <v>0</v>
      </c>
      <c r="ES45" s="24">
        <v>0</v>
      </c>
      <c r="ET45" s="19">
        <f>+Hoja2!ET45+Hoja1!ET45</f>
        <v>0</v>
      </c>
      <c r="EU45" s="24">
        <v>0</v>
      </c>
    </row>
    <row r="46" spans="1:151" x14ac:dyDescent="0.25">
      <c r="A46" s="24" t="s">
        <v>70</v>
      </c>
      <c r="B46" s="25">
        <v>48</v>
      </c>
      <c r="C46" s="24" t="s">
        <v>73</v>
      </c>
      <c r="D46" s="24">
        <v>1149628</v>
      </c>
      <c r="E46" s="26">
        <v>1396</v>
      </c>
      <c r="F46" s="26">
        <v>909601</v>
      </c>
      <c r="G46" s="26">
        <v>39997</v>
      </c>
      <c r="H46" s="26">
        <v>949598</v>
      </c>
      <c r="I46" s="1">
        <v>4541</v>
      </c>
      <c r="J46" s="19">
        <f>+INT(([1]Hoja1!M46/[1]Hoja1!O46)*M46)</f>
        <v>105067180</v>
      </c>
      <c r="K46" s="19">
        <f>+INT(([1]Hoja1!N46/[1]Hoja1!O46)*M46)</f>
        <v>104432755</v>
      </c>
      <c r="L46" s="19">
        <f t="shared" si="1"/>
        <v>638090</v>
      </c>
      <c r="M46" s="19">
        <f t="shared" si="2"/>
        <v>634425</v>
      </c>
      <c r="N46" s="22">
        <f t="shared" si="0"/>
        <v>630619</v>
      </c>
      <c r="O46" s="26">
        <v>3806</v>
      </c>
      <c r="P46" s="26">
        <v>3665</v>
      </c>
      <c r="Q46" s="22">
        <f t="shared" si="3"/>
        <v>8</v>
      </c>
      <c r="R46" s="19">
        <f>+Hoja2!R46+Hoja1!R46</f>
        <v>127286</v>
      </c>
      <c r="S46" s="24">
        <v>2</v>
      </c>
      <c r="T46" s="19">
        <f>+Hoja2!T46+Hoja1!T46</f>
        <v>62276</v>
      </c>
      <c r="U46" s="24">
        <v>1</v>
      </c>
      <c r="V46" s="19">
        <f>+Hoja2!V46+Hoja1!V46</f>
        <v>15589</v>
      </c>
      <c r="W46" s="24">
        <v>0</v>
      </c>
      <c r="X46" s="19">
        <f>+Hoja2!X46+Hoja1!X46</f>
        <v>101981</v>
      </c>
      <c r="Y46" s="24">
        <v>1</v>
      </c>
      <c r="Z46" s="19">
        <f>+Hoja2!Z46+Hoja1!Z46</f>
        <v>0</v>
      </c>
      <c r="AA46" s="24">
        <v>0</v>
      </c>
      <c r="AB46" s="19">
        <f>+Hoja2!AB46+Hoja1!AB46</f>
        <v>0</v>
      </c>
      <c r="AC46" s="24">
        <v>0</v>
      </c>
      <c r="AD46" s="19">
        <f>+Hoja2!AD46+Hoja1!AD46</f>
        <v>0</v>
      </c>
      <c r="AE46" s="24">
        <v>0</v>
      </c>
      <c r="AF46" s="19">
        <f>+Hoja2!AF46+Hoja1!AF46</f>
        <v>0</v>
      </c>
      <c r="AG46" s="24">
        <v>0</v>
      </c>
      <c r="AH46" s="19">
        <f>+Hoja2!AH46+Hoja1!AH46</f>
        <v>216429</v>
      </c>
      <c r="AI46" s="24">
        <v>3</v>
      </c>
      <c r="AJ46" s="19">
        <f>+Hoja2!AJ46+Hoja1!AJ46</f>
        <v>92302</v>
      </c>
      <c r="AK46" s="24">
        <v>1</v>
      </c>
      <c r="AL46" s="19">
        <f>+Hoja2!AL46+Hoja1!AL46</f>
        <v>8969</v>
      </c>
      <c r="AM46" s="24">
        <v>0</v>
      </c>
      <c r="AN46" s="19">
        <f>+Hoja2!AN46+Hoja1!AN46</f>
        <v>0</v>
      </c>
      <c r="AO46" s="24">
        <v>0</v>
      </c>
      <c r="AP46" s="19">
        <f>+Hoja2!AP46+Hoja1!AP46</f>
        <v>0</v>
      </c>
      <c r="AQ46" s="24">
        <v>0</v>
      </c>
      <c r="AR46" s="19">
        <f>+Hoja2!AR46+Hoja1!AR46</f>
        <v>0</v>
      </c>
      <c r="AS46" s="24">
        <v>0</v>
      </c>
      <c r="AT46" s="19">
        <f>+Hoja2!AT46+Hoja1!AT46</f>
        <v>0</v>
      </c>
      <c r="AU46" s="24">
        <v>0</v>
      </c>
      <c r="AV46" s="19">
        <f>+Hoja2!AV46+Hoja1!AV46</f>
        <v>0</v>
      </c>
      <c r="AW46" s="24">
        <v>0</v>
      </c>
      <c r="AX46" s="19">
        <f>+Hoja2!AX46+Hoja1!AX46</f>
        <v>0</v>
      </c>
      <c r="AY46" s="24">
        <v>0</v>
      </c>
      <c r="AZ46" s="19">
        <f>+Hoja2!AZ46+Hoja1!AZ46</f>
        <v>0</v>
      </c>
      <c r="BA46" s="24">
        <v>0</v>
      </c>
      <c r="BB46" s="19">
        <f>+Hoja2!BB46+Hoja1!BB46</f>
        <v>0</v>
      </c>
      <c r="BC46" s="24">
        <v>0</v>
      </c>
      <c r="BD46" s="19">
        <f>+Hoja2!BD46+Hoja1!BD46</f>
        <v>3764</v>
      </c>
      <c r="BE46" s="24">
        <v>0</v>
      </c>
      <c r="BF46" s="19">
        <f>+Hoja2!BF46+Hoja1!BF46</f>
        <v>0</v>
      </c>
      <c r="BG46" s="24">
        <v>0</v>
      </c>
      <c r="BH46" s="19">
        <f>+Hoja2!BH46+Hoja1!BH46</f>
        <v>749</v>
      </c>
      <c r="BI46" s="24">
        <v>0</v>
      </c>
      <c r="BJ46" s="19">
        <f>+Hoja2!BJ46+Hoja1!BJ46</f>
        <v>491</v>
      </c>
      <c r="BK46" s="24">
        <v>0</v>
      </c>
      <c r="BL46" s="19">
        <f>+Hoja2!BL46+Hoja1!BL46</f>
        <v>0</v>
      </c>
      <c r="BM46" s="24">
        <v>0</v>
      </c>
      <c r="BN46" s="19">
        <f>+Hoja2!BN46+Hoja1!BN46</f>
        <v>0</v>
      </c>
      <c r="BO46" s="24">
        <v>0</v>
      </c>
      <c r="BP46" s="19">
        <f>+Hoja2!BP46+Hoja1!BP46</f>
        <v>0</v>
      </c>
      <c r="BQ46" s="24">
        <v>0</v>
      </c>
      <c r="BR46" s="19">
        <f>+Hoja2!BR46+Hoja1!BR46</f>
        <v>0</v>
      </c>
      <c r="BS46" s="24">
        <v>0</v>
      </c>
      <c r="BT46" s="19">
        <f>+Hoja2!BT46+Hoja1!BT46</f>
        <v>515</v>
      </c>
      <c r="BU46" s="24">
        <v>0</v>
      </c>
      <c r="BV46" s="19">
        <f>+Hoja2!BV46+Hoja1!BV46</f>
        <v>0</v>
      </c>
      <c r="BW46" s="24">
        <v>0</v>
      </c>
      <c r="BX46" s="19">
        <f>+Hoja2!BX46+Hoja1!BX46</f>
        <v>0</v>
      </c>
      <c r="BY46" s="24">
        <v>0</v>
      </c>
      <c r="BZ46" s="19">
        <f>+Hoja2!BZ46+Hoja1!BZ46</f>
        <v>0</v>
      </c>
      <c r="CA46" s="24">
        <v>0</v>
      </c>
      <c r="CB46" s="19">
        <f>+Hoja2!CB46+Hoja1!CB46</f>
        <v>0</v>
      </c>
      <c r="CC46" s="24">
        <v>0</v>
      </c>
      <c r="CD46" s="19">
        <f>+Hoja2!CD46+Hoja1!CD46</f>
        <v>0</v>
      </c>
      <c r="CE46" s="24">
        <v>0</v>
      </c>
      <c r="CF46" s="19">
        <f>+Hoja2!CF46+Hoja1!CF46</f>
        <v>0</v>
      </c>
      <c r="CG46" s="24">
        <v>0</v>
      </c>
      <c r="CH46" s="19">
        <f>+Hoja2!CH46+Hoja1!CH46</f>
        <v>0</v>
      </c>
      <c r="CI46" s="24">
        <v>0</v>
      </c>
      <c r="CJ46" s="19">
        <f>+Hoja2!CJ46+Hoja1!CJ46</f>
        <v>0</v>
      </c>
      <c r="CK46" s="24">
        <v>0</v>
      </c>
      <c r="CL46" s="19">
        <f>+Hoja2!CL46+Hoja1!CL46</f>
        <v>0</v>
      </c>
      <c r="CM46" s="24">
        <v>0</v>
      </c>
      <c r="CN46" s="19">
        <f>+Hoja2!CN46+Hoja1!CN46</f>
        <v>0</v>
      </c>
      <c r="CO46" s="24">
        <v>0</v>
      </c>
      <c r="CP46" s="19">
        <f>+Hoja2!CP46+Hoja1!CP46</f>
        <v>0</v>
      </c>
      <c r="CQ46" s="24">
        <v>0</v>
      </c>
      <c r="CR46" s="19">
        <f>+Hoja2!CR46+Hoja1!CR46</f>
        <v>0</v>
      </c>
      <c r="CS46" s="24">
        <v>0</v>
      </c>
      <c r="CT46" s="19">
        <f>+Hoja2!CT46+Hoja1!CT46</f>
        <v>0</v>
      </c>
      <c r="CU46" s="24">
        <v>0</v>
      </c>
      <c r="CV46" s="19">
        <f>+Hoja2!CV46+Hoja1!CV46</f>
        <v>0</v>
      </c>
      <c r="CW46" s="24">
        <v>0</v>
      </c>
      <c r="CX46" s="19">
        <f>+Hoja2!CX46+Hoja1!CX46</f>
        <v>0</v>
      </c>
      <c r="CY46" s="24">
        <v>0</v>
      </c>
      <c r="CZ46" s="19">
        <f>+Hoja2!CZ46+Hoja1!CZ46</f>
        <v>0</v>
      </c>
      <c r="DA46" s="24">
        <v>0</v>
      </c>
      <c r="DB46" s="19">
        <f>+Hoja2!DB46+Hoja1!DB46</f>
        <v>0</v>
      </c>
      <c r="DC46" s="24">
        <v>0</v>
      </c>
      <c r="DD46" s="19">
        <f>+Hoja2!DD46+Hoja1!DD46</f>
        <v>0</v>
      </c>
      <c r="DE46" s="24">
        <v>0</v>
      </c>
      <c r="DF46" s="19">
        <f>+Hoja2!DF46+Hoja1!DF46</f>
        <v>0</v>
      </c>
      <c r="DG46" s="24">
        <v>0</v>
      </c>
      <c r="DH46" s="19">
        <f>+Hoja2!DH46+Hoja1!DH46</f>
        <v>0</v>
      </c>
      <c r="DI46" s="24">
        <v>0</v>
      </c>
      <c r="DJ46" s="19">
        <f>+Hoja2!DJ46+Hoja1!DJ46</f>
        <v>0</v>
      </c>
      <c r="DK46" s="24">
        <v>0</v>
      </c>
      <c r="DL46" s="19">
        <f>+Hoja2!DL46+Hoja1!DL46</f>
        <v>0</v>
      </c>
      <c r="DM46" s="24">
        <v>0</v>
      </c>
      <c r="DN46" s="19">
        <f>+Hoja2!DN46+Hoja1!DN46</f>
        <v>0</v>
      </c>
      <c r="DO46" s="24">
        <v>0</v>
      </c>
      <c r="DP46" s="19">
        <f>+Hoja2!DP46+Hoja1!DP46</f>
        <v>0</v>
      </c>
      <c r="DQ46" s="24">
        <v>0</v>
      </c>
      <c r="DR46" s="19">
        <f>+Hoja2!DR46+Hoja1!DR46</f>
        <v>0</v>
      </c>
      <c r="DS46" s="24">
        <v>0</v>
      </c>
      <c r="DT46" s="19">
        <f>+Hoja2!DT46+Hoja1!DT46</f>
        <v>0</v>
      </c>
      <c r="DU46" s="24">
        <v>0</v>
      </c>
      <c r="DV46" s="19">
        <f>+Hoja2!DV46+Hoja1!DV46</f>
        <v>0</v>
      </c>
      <c r="DW46" s="24">
        <v>0</v>
      </c>
      <c r="DX46" s="19">
        <f>+Hoja2!DX46+Hoja1!DX46</f>
        <v>0</v>
      </c>
      <c r="DY46" s="24">
        <v>0</v>
      </c>
      <c r="DZ46" s="19">
        <f>+Hoja2!DZ46+Hoja1!DZ46</f>
        <v>0</v>
      </c>
      <c r="EA46" s="24">
        <v>0</v>
      </c>
      <c r="EB46" s="19">
        <f>+Hoja2!EB46+Hoja1!EB46</f>
        <v>0</v>
      </c>
      <c r="EC46" s="24">
        <v>0</v>
      </c>
      <c r="ED46" s="19">
        <f>+Hoja2!ED46+Hoja1!ED46</f>
        <v>0</v>
      </c>
      <c r="EE46" s="24">
        <v>0</v>
      </c>
      <c r="EF46" s="19">
        <f>+Hoja2!EF46+Hoja1!EF46</f>
        <v>0</v>
      </c>
      <c r="EG46" s="24">
        <v>0</v>
      </c>
      <c r="EH46" s="19">
        <f>+Hoja2!EH46+Hoja1!EH46</f>
        <v>268</v>
      </c>
      <c r="EI46" s="24">
        <v>0</v>
      </c>
      <c r="EJ46" s="19">
        <f>+Hoja2!EJ46+Hoja1!EJ46</f>
        <v>0</v>
      </c>
      <c r="EK46" s="24">
        <v>0</v>
      </c>
      <c r="EL46" s="19">
        <f>+Hoja2!EL46+Hoja1!EL46</f>
        <v>0</v>
      </c>
      <c r="EM46" s="24">
        <v>0</v>
      </c>
      <c r="EN46" s="19">
        <f>+Hoja2!EN46+Hoja1!EN46</f>
        <v>0</v>
      </c>
      <c r="EO46" s="24">
        <v>0</v>
      </c>
      <c r="EP46" s="19">
        <f>+Hoja2!EP46+Hoja1!EP46</f>
        <v>0</v>
      </c>
      <c r="EQ46" s="24">
        <v>0</v>
      </c>
      <c r="ER46" s="19">
        <f>+Hoja2!ER46+Hoja1!ER46</f>
        <v>0</v>
      </c>
      <c r="ES46" s="24">
        <v>0</v>
      </c>
      <c r="ET46" s="19">
        <f>+Hoja2!ET46+Hoja1!ET46</f>
        <v>0</v>
      </c>
      <c r="EU46" s="24">
        <v>0</v>
      </c>
    </row>
    <row r="47" spans="1:151" x14ac:dyDescent="0.25">
      <c r="A47" s="24" t="s">
        <v>74</v>
      </c>
      <c r="B47" s="25">
        <v>30</v>
      </c>
      <c r="C47" s="24" t="s">
        <v>75</v>
      </c>
      <c r="D47" s="24">
        <v>1478509</v>
      </c>
      <c r="E47" s="26">
        <v>1685</v>
      </c>
      <c r="F47" s="26">
        <v>1028443</v>
      </c>
      <c r="G47" s="26">
        <v>33398</v>
      </c>
      <c r="H47" s="26">
        <v>1061841</v>
      </c>
      <c r="I47" s="1">
        <v>3789</v>
      </c>
      <c r="J47" s="19">
        <f>+INT(([1]Hoja1!M47/[1]Hoja1!O47)*M47)</f>
        <v>99370497</v>
      </c>
      <c r="K47" s="19">
        <f>+INT(([1]Hoja1!N47/[1]Hoja1!O47)*M47)</f>
        <v>98640362</v>
      </c>
      <c r="L47" s="19">
        <f t="shared" si="1"/>
        <v>737553</v>
      </c>
      <c r="M47" s="19">
        <f t="shared" si="2"/>
        <v>730135</v>
      </c>
      <c r="N47" s="22">
        <f t="shared" si="0"/>
        <v>724882</v>
      </c>
      <c r="O47" s="26">
        <v>5253</v>
      </c>
      <c r="P47" s="26">
        <v>7418</v>
      </c>
      <c r="Q47" s="22">
        <f t="shared" si="3"/>
        <v>10</v>
      </c>
      <c r="R47" s="19">
        <f>+Hoja2!R47+Hoja1!R47</f>
        <v>191331</v>
      </c>
      <c r="S47" s="24">
        <v>3</v>
      </c>
      <c r="T47" s="19">
        <f>+Hoja2!T47+Hoja1!T47</f>
        <v>235850</v>
      </c>
      <c r="U47" s="24">
        <v>3</v>
      </c>
      <c r="V47" s="19">
        <f>+Hoja2!V47+Hoja1!V47</f>
        <v>203825</v>
      </c>
      <c r="W47" s="24">
        <v>3</v>
      </c>
      <c r="X47" s="19">
        <f>+Hoja2!X47+Hoja1!X47</f>
        <v>66634</v>
      </c>
      <c r="Y47" s="24">
        <v>1</v>
      </c>
      <c r="Z47" s="19">
        <f>+Hoja2!Z47+Hoja1!Z47</f>
        <v>0</v>
      </c>
      <c r="AA47" s="24">
        <v>0</v>
      </c>
      <c r="AB47" s="19">
        <f>+Hoja2!AB47+Hoja1!AB47</f>
        <v>0</v>
      </c>
      <c r="AC47" s="24">
        <v>0</v>
      </c>
      <c r="AD47" s="19">
        <f>+Hoja2!AD47+Hoja1!AD47</f>
        <v>0</v>
      </c>
      <c r="AE47" s="24">
        <v>0</v>
      </c>
      <c r="AF47" s="19">
        <f>+Hoja2!AF47+Hoja1!AF47</f>
        <v>0</v>
      </c>
      <c r="AG47" s="24">
        <v>0</v>
      </c>
      <c r="AH47" s="19">
        <f>+Hoja2!AH47+Hoja1!AH47</f>
        <v>0</v>
      </c>
      <c r="AI47" s="24">
        <v>0</v>
      </c>
      <c r="AJ47" s="19">
        <f>+Hoja2!AJ47+Hoja1!AJ47</f>
        <v>0</v>
      </c>
      <c r="AK47" s="24">
        <v>0</v>
      </c>
      <c r="AL47" s="19">
        <f>+Hoja2!AL47+Hoja1!AL47</f>
        <v>14110</v>
      </c>
      <c r="AM47" s="24">
        <v>0</v>
      </c>
      <c r="AN47" s="19">
        <f>+Hoja2!AN47+Hoja1!AN47</f>
        <v>0</v>
      </c>
      <c r="AO47" s="24">
        <v>0</v>
      </c>
      <c r="AP47" s="19">
        <f>+Hoja2!AP47+Hoja1!AP47</f>
        <v>0</v>
      </c>
      <c r="AQ47" s="24">
        <v>0</v>
      </c>
      <c r="AR47" s="19">
        <f>+Hoja2!AR47+Hoja1!AR47</f>
        <v>0</v>
      </c>
      <c r="AS47" s="24">
        <v>0</v>
      </c>
      <c r="AT47" s="19">
        <f>+Hoja2!AT47+Hoja1!AT47</f>
        <v>0</v>
      </c>
      <c r="AU47" s="24">
        <v>0</v>
      </c>
      <c r="AV47" s="19">
        <f>+Hoja2!AV47+Hoja1!AV47</f>
        <v>0</v>
      </c>
      <c r="AW47" s="24">
        <v>0</v>
      </c>
      <c r="AX47" s="19">
        <f>+Hoja2!AX47+Hoja1!AX47</f>
        <v>0</v>
      </c>
      <c r="AY47" s="24">
        <v>0</v>
      </c>
      <c r="AZ47" s="19">
        <f>+Hoja2!AZ47+Hoja1!AZ47</f>
        <v>0</v>
      </c>
      <c r="BA47" s="24">
        <v>0</v>
      </c>
      <c r="BB47" s="19">
        <f>+Hoja2!BB47+Hoja1!BB47</f>
        <v>0</v>
      </c>
      <c r="BC47" s="24">
        <v>0</v>
      </c>
      <c r="BD47" s="19">
        <f>+Hoja2!BD47+Hoja1!BD47</f>
        <v>6969</v>
      </c>
      <c r="BE47" s="24">
        <v>0</v>
      </c>
      <c r="BF47" s="19">
        <f>+Hoja2!BF47+Hoja1!BF47</f>
        <v>0</v>
      </c>
      <c r="BG47" s="24">
        <v>0</v>
      </c>
      <c r="BH47" s="19">
        <f>+Hoja2!BH47+Hoja1!BH47</f>
        <v>876</v>
      </c>
      <c r="BI47" s="24">
        <v>0</v>
      </c>
      <c r="BJ47" s="19">
        <f>+Hoja2!BJ47+Hoja1!BJ47</f>
        <v>428</v>
      </c>
      <c r="BK47" s="24">
        <v>0</v>
      </c>
      <c r="BL47" s="19">
        <f>+Hoja2!BL47+Hoja1!BL47</f>
        <v>0</v>
      </c>
      <c r="BM47" s="24">
        <v>0</v>
      </c>
      <c r="BN47" s="19">
        <f>+Hoja2!BN47+Hoja1!BN47</f>
        <v>0</v>
      </c>
      <c r="BO47" s="24">
        <v>0</v>
      </c>
      <c r="BP47" s="19">
        <f>+Hoja2!BP47+Hoja1!BP47</f>
        <v>0</v>
      </c>
      <c r="BQ47" s="24">
        <v>0</v>
      </c>
      <c r="BR47" s="19">
        <f>+Hoja2!BR47+Hoja1!BR47</f>
        <v>514</v>
      </c>
      <c r="BS47" s="24">
        <v>0</v>
      </c>
      <c r="BT47" s="19">
        <f>+Hoja2!BT47+Hoja1!BT47</f>
        <v>0</v>
      </c>
      <c r="BU47" s="24">
        <v>0</v>
      </c>
      <c r="BV47" s="19">
        <f>+Hoja2!BV47+Hoja1!BV47</f>
        <v>0</v>
      </c>
      <c r="BW47" s="24">
        <v>0</v>
      </c>
      <c r="BX47" s="19">
        <f>+Hoja2!BX47+Hoja1!BX47</f>
        <v>0</v>
      </c>
      <c r="BY47" s="24">
        <v>0</v>
      </c>
      <c r="BZ47" s="19">
        <f>+Hoja2!BZ47+Hoja1!BZ47</f>
        <v>1039</v>
      </c>
      <c r="CA47" s="24">
        <v>0</v>
      </c>
      <c r="CB47" s="19">
        <f>+Hoja2!CB47+Hoja1!CB47</f>
        <v>0</v>
      </c>
      <c r="CC47" s="24">
        <v>0</v>
      </c>
      <c r="CD47" s="19">
        <f>+Hoja2!CD47+Hoja1!CD47</f>
        <v>0</v>
      </c>
      <c r="CE47" s="24">
        <v>0</v>
      </c>
      <c r="CF47" s="19">
        <f>+Hoja2!CF47+Hoja1!CF47</f>
        <v>0</v>
      </c>
      <c r="CG47" s="24">
        <v>0</v>
      </c>
      <c r="CH47" s="19">
        <f>+Hoja2!CH47+Hoja1!CH47</f>
        <v>0</v>
      </c>
      <c r="CI47" s="24">
        <v>0</v>
      </c>
      <c r="CJ47" s="19">
        <f>+Hoja2!CJ47+Hoja1!CJ47</f>
        <v>0</v>
      </c>
      <c r="CK47" s="24">
        <v>0</v>
      </c>
      <c r="CL47" s="19">
        <f>+Hoja2!CL47+Hoja1!CL47</f>
        <v>0</v>
      </c>
      <c r="CM47" s="24">
        <v>0</v>
      </c>
      <c r="CN47" s="19">
        <f>+Hoja2!CN47+Hoja1!CN47</f>
        <v>0</v>
      </c>
      <c r="CO47" s="24">
        <v>0</v>
      </c>
      <c r="CP47" s="19">
        <f>+Hoja2!CP47+Hoja1!CP47</f>
        <v>0</v>
      </c>
      <c r="CQ47" s="24">
        <v>0</v>
      </c>
      <c r="CR47" s="19">
        <f>+Hoja2!CR47+Hoja1!CR47</f>
        <v>0</v>
      </c>
      <c r="CS47" s="24">
        <v>0</v>
      </c>
      <c r="CT47" s="19">
        <f>+Hoja2!CT47+Hoja1!CT47</f>
        <v>2316</v>
      </c>
      <c r="CU47" s="24">
        <v>0</v>
      </c>
      <c r="CV47" s="19">
        <f>+Hoja2!CV47+Hoja1!CV47</f>
        <v>455</v>
      </c>
      <c r="CW47" s="24">
        <v>0</v>
      </c>
      <c r="CX47" s="19">
        <f>+Hoja2!CX47+Hoja1!CX47</f>
        <v>0</v>
      </c>
      <c r="CY47" s="24">
        <v>0</v>
      </c>
      <c r="CZ47" s="19">
        <f>+Hoja2!CZ47+Hoja1!CZ47</f>
        <v>317</v>
      </c>
      <c r="DA47" s="24">
        <v>0</v>
      </c>
      <c r="DB47" s="19">
        <f>+Hoja2!DB47+Hoja1!DB47</f>
        <v>0</v>
      </c>
      <c r="DC47" s="24">
        <v>0</v>
      </c>
      <c r="DD47" s="19">
        <f>+Hoja2!DD47+Hoja1!DD47</f>
        <v>0</v>
      </c>
      <c r="DE47" s="24">
        <v>0</v>
      </c>
      <c r="DF47" s="19">
        <f>+Hoja2!DF47+Hoja1!DF47</f>
        <v>0</v>
      </c>
      <c r="DG47" s="24">
        <v>0</v>
      </c>
      <c r="DH47" s="19">
        <f>+Hoja2!DH47+Hoja1!DH47</f>
        <v>0</v>
      </c>
      <c r="DI47" s="24">
        <v>0</v>
      </c>
      <c r="DJ47" s="19">
        <f>+Hoja2!DJ47+Hoja1!DJ47</f>
        <v>0</v>
      </c>
      <c r="DK47" s="24">
        <v>0</v>
      </c>
      <c r="DL47" s="19">
        <f>+Hoja2!DL47+Hoja1!DL47</f>
        <v>0</v>
      </c>
      <c r="DM47" s="24">
        <v>0</v>
      </c>
      <c r="DN47" s="19">
        <f>+Hoja2!DN47+Hoja1!DN47</f>
        <v>0</v>
      </c>
      <c r="DO47" s="24">
        <v>0</v>
      </c>
      <c r="DP47" s="19">
        <f>+Hoja2!DP47+Hoja1!DP47</f>
        <v>0</v>
      </c>
      <c r="DQ47" s="24">
        <v>0</v>
      </c>
      <c r="DR47" s="19">
        <f>+Hoja2!DR47+Hoja1!DR47</f>
        <v>0</v>
      </c>
      <c r="DS47" s="24">
        <v>0</v>
      </c>
      <c r="DT47" s="19">
        <f>+Hoja2!DT47+Hoja1!DT47</f>
        <v>0</v>
      </c>
      <c r="DU47" s="24">
        <v>0</v>
      </c>
      <c r="DV47" s="19">
        <f>+Hoja2!DV47+Hoja1!DV47</f>
        <v>0</v>
      </c>
      <c r="DW47" s="24">
        <v>0</v>
      </c>
      <c r="DX47" s="19">
        <f>+Hoja2!DX47+Hoja1!DX47</f>
        <v>0</v>
      </c>
      <c r="DY47" s="24">
        <v>0</v>
      </c>
      <c r="DZ47" s="19">
        <f>+Hoja2!DZ47+Hoja1!DZ47</f>
        <v>0</v>
      </c>
      <c r="EA47" s="24">
        <v>0</v>
      </c>
      <c r="EB47" s="19">
        <f>+Hoja2!EB47+Hoja1!EB47</f>
        <v>0</v>
      </c>
      <c r="EC47" s="24">
        <v>0</v>
      </c>
      <c r="ED47" s="19">
        <f>+Hoja2!ED47+Hoja1!ED47</f>
        <v>0</v>
      </c>
      <c r="EE47" s="24">
        <v>0</v>
      </c>
      <c r="EF47" s="19">
        <f>+Hoja2!EF47+Hoja1!EF47</f>
        <v>0</v>
      </c>
      <c r="EG47" s="24">
        <v>0</v>
      </c>
      <c r="EH47" s="19">
        <f>+Hoja2!EH47+Hoja1!EH47</f>
        <v>0</v>
      </c>
      <c r="EI47" s="24">
        <v>0</v>
      </c>
      <c r="EJ47" s="19">
        <f>+Hoja2!EJ47+Hoja1!EJ47</f>
        <v>0</v>
      </c>
      <c r="EK47" s="24">
        <v>0</v>
      </c>
      <c r="EL47" s="19">
        <f>+Hoja2!EL47+Hoja1!EL47</f>
        <v>0</v>
      </c>
      <c r="EM47" s="24">
        <v>0</v>
      </c>
      <c r="EN47" s="19">
        <f>+Hoja2!EN47+Hoja1!EN47</f>
        <v>218</v>
      </c>
      <c r="EO47" s="24">
        <v>0</v>
      </c>
      <c r="EP47" s="19">
        <f>+Hoja2!EP47+Hoja1!EP47</f>
        <v>0</v>
      </c>
      <c r="EQ47" s="24">
        <v>0</v>
      </c>
      <c r="ER47" s="19">
        <f>+Hoja2!ER47+Hoja1!ER47</f>
        <v>0</v>
      </c>
      <c r="ES47" s="24">
        <v>0</v>
      </c>
      <c r="ET47" s="19">
        <f>+Hoja2!ET47+Hoja1!ET47</f>
        <v>0</v>
      </c>
      <c r="EU47" s="24">
        <v>0</v>
      </c>
    </row>
    <row r="48" spans="1:151" x14ac:dyDescent="0.25">
      <c r="A48" s="24" t="s">
        <v>76</v>
      </c>
      <c r="B48" s="25">
        <v>26</v>
      </c>
      <c r="C48" s="24" t="s">
        <v>76</v>
      </c>
      <c r="D48" s="24">
        <v>315675</v>
      </c>
      <c r="E48" s="26">
        <v>497</v>
      </c>
      <c r="F48" s="26">
        <v>233732</v>
      </c>
      <c r="G48" s="26">
        <v>16481</v>
      </c>
      <c r="H48" s="26">
        <v>250213</v>
      </c>
      <c r="I48" s="1">
        <v>1502</v>
      </c>
      <c r="J48" s="19">
        <f>+INT(([1]Hoja1!M48/[1]Hoja1!O48)*M48)</f>
        <v>15860699</v>
      </c>
      <c r="K48" s="19">
        <f>+INT(([1]Hoja1!N48/[1]Hoja1!O48)*M48)</f>
        <v>15691739</v>
      </c>
      <c r="L48" s="19">
        <f t="shared" si="1"/>
        <v>171575</v>
      </c>
      <c r="M48" s="19">
        <f t="shared" si="2"/>
        <v>168960</v>
      </c>
      <c r="N48" s="22">
        <f t="shared" si="0"/>
        <v>167203</v>
      </c>
      <c r="O48" s="26">
        <v>1757</v>
      </c>
      <c r="P48" s="26">
        <v>2615</v>
      </c>
      <c r="Q48" s="22">
        <f t="shared" si="3"/>
        <v>4</v>
      </c>
      <c r="R48" s="19">
        <f>+Hoja2!R48+Hoja1!R48</f>
        <v>61526</v>
      </c>
      <c r="S48" s="24">
        <v>2</v>
      </c>
      <c r="T48" s="19">
        <f>+Hoja2!T48+Hoja1!T48</f>
        <v>66917</v>
      </c>
      <c r="U48" s="24">
        <v>2</v>
      </c>
      <c r="V48" s="19">
        <f>+Hoja2!V48+Hoja1!V48</f>
        <v>19286</v>
      </c>
      <c r="W48" s="24">
        <v>0</v>
      </c>
      <c r="X48" s="19">
        <f>+Hoja2!X48+Hoja1!X48</f>
        <v>17086</v>
      </c>
      <c r="Y48" s="24">
        <v>0</v>
      </c>
      <c r="Z48" s="19">
        <f>+Hoja2!Z48+Hoja1!Z48</f>
        <v>0</v>
      </c>
      <c r="AA48" s="24">
        <v>0</v>
      </c>
      <c r="AB48" s="19">
        <f>+Hoja2!AB48+Hoja1!AB48</f>
        <v>0</v>
      </c>
      <c r="AC48" s="24">
        <v>0</v>
      </c>
      <c r="AD48" s="19">
        <f>+Hoja2!AD48+Hoja1!AD48</f>
        <v>0</v>
      </c>
      <c r="AE48" s="24">
        <v>0</v>
      </c>
      <c r="AF48" s="19">
        <f>+Hoja2!AF48+Hoja1!AF48</f>
        <v>0</v>
      </c>
      <c r="AG48" s="24">
        <v>0</v>
      </c>
      <c r="AH48" s="19">
        <f>+Hoja2!AH48+Hoja1!AH48</f>
        <v>0</v>
      </c>
      <c r="AI48" s="24">
        <v>0</v>
      </c>
      <c r="AJ48" s="19">
        <f>+Hoja2!AJ48+Hoja1!AJ48</f>
        <v>0</v>
      </c>
      <c r="AK48" s="24">
        <v>0</v>
      </c>
      <c r="AL48" s="19">
        <f>+Hoja2!AL48+Hoja1!AL48</f>
        <v>0</v>
      </c>
      <c r="AM48" s="24">
        <v>0</v>
      </c>
      <c r="AN48" s="19">
        <f>+Hoja2!AN48+Hoja1!AN48</f>
        <v>0</v>
      </c>
      <c r="AO48" s="24">
        <v>0</v>
      </c>
      <c r="AP48" s="19">
        <f>+Hoja2!AP48+Hoja1!AP48</f>
        <v>0</v>
      </c>
      <c r="AQ48" s="24">
        <v>0</v>
      </c>
      <c r="AR48" s="19">
        <f>+Hoja2!AR48+Hoja1!AR48</f>
        <v>0</v>
      </c>
      <c r="AS48" s="24">
        <v>0</v>
      </c>
      <c r="AT48" s="19">
        <f>+Hoja2!AT48+Hoja1!AT48</f>
        <v>0</v>
      </c>
      <c r="AU48" s="24">
        <v>0</v>
      </c>
      <c r="AV48" s="19">
        <f>+Hoja2!AV48+Hoja1!AV48</f>
        <v>0</v>
      </c>
      <c r="AW48" s="24">
        <v>0</v>
      </c>
      <c r="AX48" s="19">
        <f>+Hoja2!AX48+Hoja1!AX48</f>
        <v>0</v>
      </c>
      <c r="AY48" s="24">
        <v>0</v>
      </c>
      <c r="AZ48" s="19">
        <f>+Hoja2!AZ48+Hoja1!AZ48</f>
        <v>0</v>
      </c>
      <c r="BA48" s="24">
        <v>0</v>
      </c>
      <c r="BB48" s="19">
        <f>+Hoja2!BB48+Hoja1!BB48</f>
        <v>0</v>
      </c>
      <c r="BC48" s="24">
        <v>0</v>
      </c>
      <c r="BD48" s="19">
        <f>+Hoja2!BD48+Hoja1!BD48</f>
        <v>1090</v>
      </c>
      <c r="BE48" s="24">
        <v>0</v>
      </c>
      <c r="BF48" s="19">
        <f>+Hoja2!BF48+Hoja1!BF48</f>
        <v>0</v>
      </c>
      <c r="BG48" s="24">
        <v>0</v>
      </c>
      <c r="BH48" s="19">
        <f>+Hoja2!BH48+Hoja1!BH48</f>
        <v>305</v>
      </c>
      <c r="BI48" s="24">
        <v>0</v>
      </c>
      <c r="BJ48" s="19">
        <f>+Hoja2!BJ48+Hoja1!BJ48</f>
        <v>295</v>
      </c>
      <c r="BK48" s="24">
        <v>0</v>
      </c>
      <c r="BL48" s="19">
        <f>+Hoja2!BL48+Hoja1!BL48</f>
        <v>0</v>
      </c>
      <c r="BM48" s="24">
        <v>0</v>
      </c>
      <c r="BN48" s="19">
        <f>+Hoja2!BN48+Hoja1!BN48</f>
        <v>0</v>
      </c>
      <c r="BO48" s="24">
        <v>0</v>
      </c>
      <c r="BP48" s="19">
        <f>+Hoja2!BP48+Hoja1!BP48</f>
        <v>0</v>
      </c>
      <c r="BQ48" s="24">
        <v>0</v>
      </c>
      <c r="BR48" s="19">
        <f>+Hoja2!BR48+Hoja1!BR48</f>
        <v>0</v>
      </c>
      <c r="BS48" s="24">
        <v>0</v>
      </c>
      <c r="BT48" s="19">
        <f>+Hoja2!BT48+Hoja1!BT48</f>
        <v>276</v>
      </c>
      <c r="BU48" s="24">
        <v>0</v>
      </c>
      <c r="BV48" s="19">
        <f>+Hoja2!BV48+Hoja1!BV48</f>
        <v>0</v>
      </c>
      <c r="BW48" s="24">
        <v>0</v>
      </c>
      <c r="BX48" s="19">
        <f>+Hoja2!BX48+Hoja1!BX48</f>
        <v>0</v>
      </c>
      <c r="BY48" s="24">
        <v>0</v>
      </c>
      <c r="BZ48" s="19">
        <f>+Hoja2!BZ48+Hoja1!BZ48</f>
        <v>0</v>
      </c>
      <c r="CA48" s="24">
        <v>0</v>
      </c>
      <c r="CB48" s="19">
        <f>+Hoja2!CB48+Hoja1!CB48</f>
        <v>0</v>
      </c>
      <c r="CC48" s="24">
        <v>0</v>
      </c>
      <c r="CD48" s="19">
        <f>+Hoja2!CD48+Hoja1!CD48</f>
        <v>422</v>
      </c>
      <c r="CE48" s="24">
        <v>0</v>
      </c>
      <c r="CF48" s="19">
        <f>+Hoja2!CF48+Hoja1!CF48</f>
        <v>0</v>
      </c>
      <c r="CG48" s="24">
        <v>0</v>
      </c>
      <c r="CH48" s="19">
        <f>+Hoja2!CH48+Hoja1!CH48</f>
        <v>0</v>
      </c>
      <c r="CI48" s="24">
        <v>0</v>
      </c>
      <c r="CJ48" s="19">
        <f>+Hoja2!CJ48+Hoja1!CJ48</f>
        <v>0</v>
      </c>
      <c r="CK48" s="24">
        <v>0</v>
      </c>
      <c r="CL48" s="19">
        <f>+Hoja2!CL48+Hoja1!CL48</f>
        <v>0</v>
      </c>
      <c r="CM48" s="24">
        <v>0</v>
      </c>
      <c r="CN48" s="19">
        <f>+Hoja2!CN48+Hoja1!CN48</f>
        <v>0</v>
      </c>
      <c r="CO48" s="24">
        <v>0</v>
      </c>
      <c r="CP48" s="19">
        <f>+Hoja2!CP48+Hoja1!CP48</f>
        <v>0</v>
      </c>
      <c r="CQ48" s="24">
        <v>0</v>
      </c>
      <c r="CR48" s="19">
        <f>+Hoja2!CR48+Hoja1!CR48</f>
        <v>0</v>
      </c>
      <c r="CS48" s="24">
        <v>0</v>
      </c>
      <c r="CT48" s="19">
        <f>+Hoja2!CT48+Hoja1!CT48</f>
        <v>0</v>
      </c>
      <c r="CU48" s="24">
        <v>0</v>
      </c>
      <c r="CV48" s="19">
        <f>+Hoja2!CV48+Hoja1!CV48</f>
        <v>0</v>
      </c>
      <c r="CW48" s="24">
        <v>0</v>
      </c>
      <c r="CX48" s="19">
        <f>+Hoja2!CX48+Hoja1!CX48</f>
        <v>0</v>
      </c>
      <c r="CY48" s="24">
        <v>0</v>
      </c>
      <c r="CZ48" s="19">
        <f>+Hoja2!CZ48+Hoja1!CZ48</f>
        <v>0</v>
      </c>
      <c r="DA48" s="24">
        <v>0</v>
      </c>
      <c r="DB48" s="19">
        <f>+Hoja2!DB48+Hoja1!DB48</f>
        <v>0</v>
      </c>
      <c r="DC48" s="24">
        <v>0</v>
      </c>
      <c r="DD48" s="19">
        <f>+Hoja2!DD48+Hoja1!DD48</f>
        <v>0</v>
      </c>
      <c r="DE48" s="24">
        <v>0</v>
      </c>
      <c r="DF48" s="19">
        <f>+Hoja2!DF48+Hoja1!DF48</f>
        <v>0</v>
      </c>
      <c r="DG48" s="24">
        <v>0</v>
      </c>
      <c r="DH48" s="19">
        <f>+Hoja2!DH48+Hoja1!DH48</f>
        <v>0</v>
      </c>
      <c r="DI48" s="24">
        <v>0</v>
      </c>
      <c r="DJ48" s="19">
        <f>+Hoja2!DJ48+Hoja1!DJ48</f>
        <v>0</v>
      </c>
      <c r="DK48" s="24">
        <v>0</v>
      </c>
      <c r="DL48" s="19">
        <f>+Hoja2!DL48+Hoja1!DL48</f>
        <v>0</v>
      </c>
      <c r="DM48" s="24">
        <v>0</v>
      </c>
      <c r="DN48" s="19">
        <f>+Hoja2!DN48+Hoja1!DN48</f>
        <v>0</v>
      </c>
      <c r="DO48" s="24">
        <v>0</v>
      </c>
      <c r="DP48" s="19">
        <f>+Hoja2!DP48+Hoja1!DP48</f>
        <v>0</v>
      </c>
      <c r="DQ48" s="24">
        <v>0</v>
      </c>
      <c r="DR48" s="19">
        <f>+Hoja2!DR48+Hoja1!DR48</f>
        <v>0</v>
      </c>
      <c r="DS48" s="24">
        <v>0</v>
      </c>
      <c r="DT48" s="19">
        <f>+Hoja2!DT48+Hoja1!DT48</f>
        <v>0</v>
      </c>
      <c r="DU48" s="24">
        <v>0</v>
      </c>
      <c r="DV48" s="19">
        <f>+Hoja2!DV48+Hoja1!DV48</f>
        <v>0</v>
      </c>
      <c r="DW48" s="24">
        <v>0</v>
      </c>
      <c r="DX48" s="19">
        <f>+Hoja2!DX48+Hoja1!DX48</f>
        <v>0</v>
      </c>
      <c r="DY48" s="24">
        <v>0</v>
      </c>
      <c r="DZ48" s="19">
        <f>+Hoja2!DZ48+Hoja1!DZ48</f>
        <v>0</v>
      </c>
      <c r="EA48" s="24">
        <v>0</v>
      </c>
      <c r="EB48" s="19">
        <f>+Hoja2!EB48+Hoja1!EB48</f>
        <v>0</v>
      </c>
      <c r="EC48" s="24">
        <v>0</v>
      </c>
      <c r="ED48" s="19">
        <f>+Hoja2!ED48+Hoja1!ED48</f>
        <v>0</v>
      </c>
      <c r="EE48" s="24">
        <v>0</v>
      </c>
      <c r="EF48" s="19">
        <f>+Hoja2!EF48+Hoja1!EF48</f>
        <v>0</v>
      </c>
      <c r="EG48" s="24">
        <v>0</v>
      </c>
      <c r="EH48" s="19">
        <f>+Hoja2!EH48+Hoja1!EH48</f>
        <v>0</v>
      </c>
      <c r="EI48" s="24">
        <v>0</v>
      </c>
      <c r="EJ48" s="19">
        <f>+Hoja2!EJ48+Hoja1!EJ48</f>
        <v>0</v>
      </c>
      <c r="EK48" s="24">
        <v>0</v>
      </c>
      <c r="EL48" s="19">
        <f>+Hoja2!EL48+Hoja1!EL48</f>
        <v>0</v>
      </c>
      <c r="EM48" s="24">
        <v>0</v>
      </c>
      <c r="EN48" s="19">
        <f>+Hoja2!EN48+Hoja1!EN48</f>
        <v>0</v>
      </c>
      <c r="EO48" s="24">
        <v>0</v>
      </c>
      <c r="EP48" s="19">
        <f>+Hoja2!EP48+Hoja1!EP48</f>
        <v>0</v>
      </c>
      <c r="EQ48" s="24">
        <v>0</v>
      </c>
      <c r="ER48" s="19">
        <f>+Hoja2!ER48+Hoja1!ER48</f>
        <v>0</v>
      </c>
      <c r="ES48" s="24">
        <v>0</v>
      </c>
      <c r="ET48" s="19">
        <f>+Hoja2!ET48+Hoja1!ET48</f>
        <v>0</v>
      </c>
      <c r="EU48" s="24">
        <v>0</v>
      </c>
    </row>
    <row r="49" spans="1:151" x14ac:dyDescent="0.25">
      <c r="A49" s="24" t="s">
        <v>77</v>
      </c>
      <c r="B49" s="25">
        <v>3</v>
      </c>
      <c r="C49" s="24" t="s">
        <v>78</v>
      </c>
      <c r="D49" s="24">
        <v>1838819</v>
      </c>
      <c r="E49" s="26">
        <v>2221</v>
      </c>
      <c r="F49" s="26">
        <v>1237462</v>
      </c>
      <c r="G49" s="26">
        <v>39229</v>
      </c>
      <c r="H49" s="26">
        <v>1276691</v>
      </c>
      <c r="I49" s="1">
        <v>4950</v>
      </c>
      <c r="J49" s="19">
        <f>+INT(([1]Hoja1!M49/[1]Hoja1!O49)*M49)</f>
        <v>109168428</v>
      </c>
      <c r="K49" s="19">
        <f>+INT(([1]Hoja1!N49/[1]Hoja1!O49)*M49)</f>
        <v>108299660</v>
      </c>
      <c r="L49" s="19">
        <f t="shared" si="1"/>
        <v>877102</v>
      </c>
      <c r="M49" s="19">
        <f t="shared" si="2"/>
        <v>868768</v>
      </c>
      <c r="N49" s="22">
        <f t="shared" si="0"/>
        <v>861990</v>
      </c>
      <c r="O49" s="26">
        <v>6778</v>
      </c>
      <c r="P49" s="26">
        <v>8334</v>
      </c>
      <c r="Q49" s="22">
        <f t="shared" si="3"/>
        <v>12</v>
      </c>
      <c r="R49" s="19">
        <f>+Hoja2!R49+Hoja1!R49</f>
        <v>259126</v>
      </c>
      <c r="S49" s="24">
        <v>4</v>
      </c>
      <c r="T49" s="19">
        <f>+Hoja2!T49+Hoja1!T49</f>
        <v>266770</v>
      </c>
      <c r="U49" s="24">
        <v>3</v>
      </c>
      <c r="V49" s="19">
        <f>+Hoja2!V49+Hoja1!V49</f>
        <v>170742</v>
      </c>
      <c r="W49" s="24">
        <v>3</v>
      </c>
      <c r="X49" s="19">
        <f>+Hoja2!X49+Hoja1!X49</f>
        <v>113959</v>
      </c>
      <c r="Y49" s="24">
        <v>1</v>
      </c>
      <c r="Z49" s="19">
        <f>+Hoja2!Z49+Hoja1!Z49</f>
        <v>0</v>
      </c>
      <c r="AA49" s="24">
        <v>0</v>
      </c>
      <c r="AB49" s="19">
        <f>+Hoja2!AB49+Hoja1!AB49</f>
        <v>0</v>
      </c>
      <c r="AC49" s="24">
        <v>1</v>
      </c>
      <c r="AD49" s="19">
        <f>+Hoja2!AD49+Hoja1!AD49</f>
        <v>0</v>
      </c>
      <c r="AE49" s="24">
        <v>0</v>
      </c>
      <c r="AF49" s="19">
        <f>+Hoja2!AF49+Hoja1!AF49</f>
        <v>0</v>
      </c>
      <c r="AG49" s="24">
        <v>0</v>
      </c>
      <c r="AH49" s="19">
        <f>+Hoja2!AH49+Hoja1!AH49</f>
        <v>0</v>
      </c>
      <c r="AI49" s="24">
        <v>0</v>
      </c>
      <c r="AJ49" s="19">
        <f>+Hoja2!AJ49+Hoja1!AJ49</f>
        <v>0</v>
      </c>
      <c r="AK49" s="24">
        <v>0</v>
      </c>
      <c r="AL49" s="19">
        <f>+Hoja2!AL49+Hoja1!AL49</f>
        <v>0</v>
      </c>
      <c r="AM49" s="24">
        <v>0</v>
      </c>
      <c r="AN49" s="19">
        <f>+Hoja2!AN49+Hoja1!AN49</f>
        <v>0</v>
      </c>
      <c r="AO49" s="24">
        <v>0</v>
      </c>
      <c r="AP49" s="19">
        <f>+Hoja2!AP49+Hoja1!AP49</f>
        <v>0</v>
      </c>
      <c r="AQ49" s="24">
        <v>0</v>
      </c>
      <c r="AR49" s="19">
        <f>+Hoja2!AR49+Hoja1!AR49</f>
        <v>0</v>
      </c>
      <c r="AS49" s="24">
        <v>0</v>
      </c>
      <c r="AT49" s="19">
        <f>+Hoja2!AT49+Hoja1!AT49</f>
        <v>0</v>
      </c>
      <c r="AU49" s="24">
        <v>0</v>
      </c>
      <c r="AV49" s="19">
        <f>+Hoja2!AV49+Hoja1!AV49</f>
        <v>34721</v>
      </c>
      <c r="AW49" s="24">
        <v>0</v>
      </c>
      <c r="AX49" s="19">
        <f>+Hoja2!AX49+Hoja1!AX49</f>
        <v>0</v>
      </c>
      <c r="AY49" s="24">
        <v>0</v>
      </c>
      <c r="AZ49" s="19">
        <f>+Hoja2!AZ49+Hoja1!AZ49</f>
        <v>0</v>
      </c>
      <c r="BA49" s="24">
        <v>0</v>
      </c>
      <c r="BB49" s="19">
        <f>+Hoja2!BB49+Hoja1!BB49</f>
        <v>0</v>
      </c>
      <c r="BC49" s="24">
        <v>0</v>
      </c>
      <c r="BD49" s="19">
        <f>+Hoja2!BD49+Hoja1!BD49</f>
        <v>9369</v>
      </c>
      <c r="BE49" s="24">
        <v>0</v>
      </c>
      <c r="BF49" s="19">
        <f>+Hoja2!BF49+Hoja1!BF49</f>
        <v>0</v>
      </c>
      <c r="BG49" s="24">
        <v>0</v>
      </c>
      <c r="BH49" s="19">
        <f>+Hoja2!BH49+Hoja1!BH49</f>
        <v>886</v>
      </c>
      <c r="BI49" s="24">
        <v>0</v>
      </c>
      <c r="BJ49" s="19">
        <f>+Hoja2!BJ49+Hoja1!BJ49</f>
        <v>943</v>
      </c>
      <c r="BK49" s="24">
        <v>0</v>
      </c>
      <c r="BL49" s="19">
        <f>+Hoja2!BL49+Hoja1!BL49</f>
        <v>0</v>
      </c>
      <c r="BM49" s="24">
        <v>0</v>
      </c>
      <c r="BN49" s="19">
        <f>+Hoja2!BN49+Hoja1!BN49</f>
        <v>0</v>
      </c>
      <c r="BO49" s="24">
        <v>0</v>
      </c>
      <c r="BP49" s="19">
        <f>+Hoja2!BP49+Hoja1!BP49</f>
        <v>0</v>
      </c>
      <c r="BQ49" s="24">
        <v>0</v>
      </c>
      <c r="BR49" s="19">
        <f>+Hoja2!BR49+Hoja1!BR49</f>
        <v>956</v>
      </c>
      <c r="BS49" s="24">
        <v>0</v>
      </c>
      <c r="BT49" s="19">
        <f>+Hoja2!BT49+Hoja1!BT49</f>
        <v>0</v>
      </c>
      <c r="BU49" s="24">
        <v>0</v>
      </c>
      <c r="BV49" s="19">
        <f>+Hoja2!BV49+Hoja1!BV49</f>
        <v>0</v>
      </c>
      <c r="BW49" s="24">
        <v>0</v>
      </c>
      <c r="BX49" s="19">
        <f>+Hoja2!BX49+Hoja1!BX49</f>
        <v>0</v>
      </c>
      <c r="BY49" s="24">
        <v>0</v>
      </c>
      <c r="BZ49" s="19">
        <f>+Hoja2!BZ49+Hoja1!BZ49</f>
        <v>0</v>
      </c>
      <c r="CA49" s="24">
        <v>0</v>
      </c>
      <c r="CB49" s="19">
        <f>+Hoja2!CB49+Hoja1!CB49</f>
        <v>0</v>
      </c>
      <c r="CC49" s="24">
        <v>0</v>
      </c>
      <c r="CD49" s="19">
        <f>+Hoja2!CD49+Hoja1!CD49</f>
        <v>0</v>
      </c>
      <c r="CE49" s="24">
        <v>0</v>
      </c>
      <c r="CF49" s="19">
        <f>+Hoja2!CF49+Hoja1!CF49</f>
        <v>1640</v>
      </c>
      <c r="CG49" s="24">
        <v>0</v>
      </c>
      <c r="CH49" s="19">
        <f>+Hoja2!CH49+Hoja1!CH49</f>
        <v>0</v>
      </c>
      <c r="CI49" s="24">
        <v>0</v>
      </c>
      <c r="CJ49" s="19">
        <f>+Hoja2!CJ49+Hoja1!CJ49</f>
        <v>2325</v>
      </c>
      <c r="CK49" s="24">
        <v>0</v>
      </c>
      <c r="CL49" s="19">
        <f>+Hoja2!CL49+Hoja1!CL49</f>
        <v>0</v>
      </c>
      <c r="CM49" s="24">
        <v>0</v>
      </c>
      <c r="CN49" s="19">
        <f>+Hoja2!CN49+Hoja1!CN49</f>
        <v>0</v>
      </c>
      <c r="CO49" s="24">
        <v>0</v>
      </c>
      <c r="CP49" s="19">
        <f>+Hoja2!CP49+Hoja1!CP49</f>
        <v>0</v>
      </c>
      <c r="CQ49" s="24">
        <v>0</v>
      </c>
      <c r="CR49" s="19">
        <f>+Hoja2!CR49+Hoja1!CR49</f>
        <v>0</v>
      </c>
      <c r="CS49" s="24">
        <v>0</v>
      </c>
      <c r="CT49" s="19">
        <f>+Hoja2!CT49+Hoja1!CT49</f>
        <v>0</v>
      </c>
      <c r="CU49" s="24">
        <v>0</v>
      </c>
      <c r="CV49" s="19">
        <f>+Hoja2!CV49+Hoja1!CV49</f>
        <v>0</v>
      </c>
      <c r="CW49" s="24">
        <v>0</v>
      </c>
      <c r="CX49" s="19">
        <f>+Hoja2!CX49+Hoja1!CX49</f>
        <v>0</v>
      </c>
      <c r="CY49" s="24">
        <v>0</v>
      </c>
      <c r="CZ49" s="19">
        <f>+Hoja2!CZ49+Hoja1!CZ49</f>
        <v>0</v>
      </c>
      <c r="DA49" s="24">
        <v>0</v>
      </c>
      <c r="DB49" s="19">
        <f>+Hoja2!DB49+Hoja1!DB49</f>
        <v>0</v>
      </c>
      <c r="DC49" s="24">
        <v>0</v>
      </c>
      <c r="DD49" s="19">
        <f>+Hoja2!DD49+Hoja1!DD49</f>
        <v>0</v>
      </c>
      <c r="DE49" s="24">
        <v>0</v>
      </c>
      <c r="DF49" s="19">
        <f>+Hoja2!DF49+Hoja1!DF49</f>
        <v>0</v>
      </c>
      <c r="DG49" s="24">
        <v>0</v>
      </c>
      <c r="DH49" s="19">
        <f>+Hoja2!DH49+Hoja1!DH49</f>
        <v>0</v>
      </c>
      <c r="DI49" s="24">
        <v>0</v>
      </c>
      <c r="DJ49" s="19">
        <f>+Hoja2!DJ49+Hoja1!DJ49</f>
        <v>553</v>
      </c>
      <c r="DK49" s="24">
        <v>0</v>
      </c>
      <c r="DL49" s="19">
        <f>+Hoja2!DL49+Hoja1!DL49</f>
        <v>0</v>
      </c>
      <c r="DM49" s="24">
        <v>0</v>
      </c>
      <c r="DN49" s="19">
        <f>+Hoja2!DN49+Hoja1!DN49</f>
        <v>0</v>
      </c>
      <c r="DO49" s="24">
        <v>0</v>
      </c>
      <c r="DP49" s="19">
        <f>+Hoja2!DP49+Hoja1!DP49</f>
        <v>0</v>
      </c>
      <c r="DQ49" s="24">
        <v>0</v>
      </c>
      <c r="DR49" s="19">
        <f>+Hoja2!DR49+Hoja1!DR49</f>
        <v>0</v>
      </c>
      <c r="DS49" s="24">
        <v>0</v>
      </c>
      <c r="DT49" s="19">
        <f>+Hoja2!DT49+Hoja1!DT49</f>
        <v>0</v>
      </c>
      <c r="DU49" s="24">
        <v>0</v>
      </c>
      <c r="DV49" s="19">
        <f>+Hoja2!DV49+Hoja1!DV49</f>
        <v>0</v>
      </c>
      <c r="DW49" s="24">
        <v>0</v>
      </c>
      <c r="DX49" s="19">
        <f>+Hoja2!DX49+Hoja1!DX49</f>
        <v>0</v>
      </c>
      <c r="DY49" s="24">
        <v>0</v>
      </c>
      <c r="DZ49" s="19">
        <f>+Hoja2!DZ49+Hoja1!DZ49</f>
        <v>0</v>
      </c>
      <c r="EA49" s="24">
        <v>0</v>
      </c>
      <c r="EB49" s="19">
        <f>+Hoja2!EB49+Hoja1!EB49</f>
        <v>0</v>
      </c>
      <c r="EC49" s="24">
        <v>0</v>
      </c>
      <c r="ED49" s="19">
        <f>+Hoja2!ED49+Hoja1!ED49</f>
        <v>0</v>
      </c>
      <c r="EE49" s="24">
        <v>0</v>
      </c>
      <c r="EF49" s="19">
        <f>+Hoja2!EF49+Hoja1!EF49</f>
        <v>0</v>
      </c>
      <c r="EG49" s="24">
        <v>0</v>
      </c>
      <c r="EH49" s="19">
        <f>+Hoja2!EH49+Hoja1!EH49</f>
        <v>0</v>
      </c>
      <c r="EI49" s="24">
        <v>0</v>
      </c>
      <c r="EJ49" s="19">
        <f>+Hoja2!EJ49+Hoja1!EJ49</f>
        <v>0</v>
      </c>
      <c r="EK49" s="24">
        <v>0</v>
      </c>
      <c r="EL49" s="19">
        <f>+Hoja2!EL49+Hoja1!EL49</f>
        <v>0</v>
      </c>
      <c r="EM49" s="24">
        <v>0</v>
      </c>
      <c r="EN49" s="19">
        <f>+Hoja2!EN49+Hoja1!EN49</f>
        <v>0</v>
      </c>
      <c r="EO49" s="24">
        <v>0</v>
      </c>
      <c r="EP49" s="19">
        <f>+Hoja2!EP49+Hoja1!EP49</f>
        <v>0</v>
      </c>
      <c r="EQ49" s="24">
        <v>0</v>
      </c>
      <c r="ER49" s="19">
        <f>+Hoja2!ER49+Hoja1!ER49</f>
        <v>0</v>
      </c>
      <c r="ES49" s="24">
        <v>0</v>
      </c>
      <c r="ET49" s="19">
        <f>+Hoja2!ET49+Hoja1!ET49</f>
        <v>0</v>
      </c>
      <c r="EU49" s="24">
        <v>0</v>
      </c>
    </row>
    <row r="50" spans="1:151" x14ac:dyDescent="0.25">
      <c r="A50" s="24" t="s">
        <v>77</v>
      </c>
      <c r="B50" s="25">
        <v>12</v>
      </c>
      <c r="C50" s="24" t="s">
        <v>79</v>
      </c>
      <c r="D50" s="24">
        <v>576898</v>
      </c>
      <c r="E50" s="26">
        <v>715</v>
      </c>
      <c r="F50" s="26">
        <v>411108</v>
      </c>
      <c r="G50" s="26">
        <v>9633</v>
      </c>
      <c r="H50" s="26">
        <v>420741</v>
      </c>
      <c r="I50" s="1">
        <v>1580</v>
      </c>
      <c r="J50" s="19">
        <f>+INT(([1]Hoja1!M50/[1]Hoja1!O50)*M50)</f>
        <v>39555818</v>
      </c>
      <c r="K50" s="19">
        <f>+INT(([1]Hoja1!N50/[1]Hoja1!O50)*M50)</f>
        <v>39255189</v>
      </c>
      <c r="L50" s="19">
        <f t="shared" si="1"/>
        <v>303652</v>
      </c>
      <c r="M50" s="19">
        <f t="shared" si="2"/>
        <v>300629</v>
      </c>
      <c r="N50" s="22">
        <f t="shared" si="0"/>
        <v>298391</v>
      </c>
      <c r="O50" s="26">
        <v>2238</v>
      </c>
      <c r="P50" s="26">
        <v>3023</v>
      </c>
      <c r="Q50" s="22">
        <f t="shared" si="3"/>
        <v>5</v>
      </c>
      <c r="R50" s="19">
        <f>+Hoja2!R50+Hoja1!R50</f>
        <v>90311</v>
      </c>
      <c r="S50" s="24">
        <v>2</v>
      </c>
      <c r="T50" s="19">
        <f>+Hoja2!T50+Hoja1!T50</f>
        <v>87820</v>
      </c>
      <c r="U50" s="24">
        <v>1</v>
      </c>
      <c r="V50" s="19">
        <f>+Hoja2!V50+Hoja1!V50</f>
        <v>55945</v>
      </c>
      <c r="W50" s="24">
        <v>1</v>
      </c>
      <c r="X50" s="19">
        <f>+Hoja2!X50+Hoja1!X50</f>
        <v>41213</v>
      </c>
      <c r="Y50" s="24">
        <v>1</v>
      </c>
      <c r="Z50" s="19">
        <f>+Hoja2!Z50+Hoja1!Z50</f>
        <v>0</v>
      </c>
      <c r="AA50" s="24">
        <v>0</v>
      </c>
      <c r="AB50" s="19">
        <f>+Hoja2!AB50+Hoja1!AB50</f>
        <v>0</v>
      </c>
      <c r="AC50" s="24">
        <v>0</v>
      </c>
      <c r="AD50" s="19">
        <f>+Hoja2!AD50+Hoja1!AD50</f>
        <v>0</v>
      </c>
      <c r="AE50" s="24">
        <v>0</v>
      </c>
      <c r="AF50" s="19">
        <f>+Hoja2!AF50+Hoja1!AF50</f>
        <v>0</v>
      </c>
      <c r="AG50" s="24">
        <v>0</v>
      </c>
      <c r="AH50" s="19">
        <f>+Hoja2!AH50+Hoja1!AH50</f>
        <v>0</v>
      </c>
      <c r="AI50" s="24">
        <v>0</v>
      </c>
      <c r="AJ50" s="19">
        <f>+Hoja2!AJ50+Hoja1!AJ50</f>
        <v>0</v>
      </c>
      <c r="AK50" s="24">
        <v>0</v>
      </c>
      <c r="AL50" s="19">
        <f>+Hoja2!AL50+Hoja1!AL50</f>
        <v>0</v>
      </c>
      <c r="AM50" s="24">
        <v>0</v>
      </c>
      <c r="AN50" s="19">
        <f>+Hoja2!AN50+Hoja1!AN50</f>
        <v>0</v>
      </c>
      <c r="AO50" s="24">
        <v>0</v>
      </c>
      <c r="AP50" s="19">
        <f>+Hoja2!AP50+Hoja1!AP50</f>
        <v>0</v>
      </c>
      <c r="AQ50" s="24">
        <v>0</v>
      </c>
      <c r="AR50" s="19">
        <f>+Hoja2!AR50+Hoja1!AR50</f>
        <v>0</v>
      </c>
      <c r="AS50" s="24">
        <v>0</v>
      </c>
      <c r="AT50" s="19">
        <f>+Hoja2!AT50+Hoja1!AT50</f>
        <v>0</v>
      </c>
      <c r="AU50" s="24">
        <v>0</v>
      </c>
      <c r="AV50" s="19">
        <f>+Hoja2!AV50+Hoja1!AV50</f>
        <v>17686</v>
      </c>
      <c r="AW50" s="24">
        <v>0</v>
      </c>
      <c r="AX50" s="19">
        <f>+Hoja2!AX50+Hoja1!AX50</f>
        <v>0</v>
      </c>
      <c r="AY50" s="24">
        <v>0</v>
      </c>
      <c r="AZ50" s="19">
        <f>+Hoja2!AZ50+Hoja1!AZ50</f>
        <v>0</v>
      </c>
      <c r="BA50" s="24">
        <v>0</v>
      </c>
      <c r="BB50" s="19">
        <f>+Hoja2!BB50+Hoja1!BB50</f>
        <v>0</v>
      </c>
      <c r="BC50" s="24">
        <v>0</v>
      </c>
      <c r="BD50" s="19">
        <f>+Hoja2!BD50+Hoja1!BD50</f>
        <v>2470</v>
      </c>
      <c r="BE50" s="24">
        <v>0</v>
      </c>
      <c r="BF50" s="19">
        <f>+Hoja2!BF50+Hoja1!BF50</f>
        <v>0</v>
      </c>
      <c r="BG50" s="24">
        <v>0</v>
      </c>
      <c r="BH50" s="19">
        <f>+Hoja2!BH50+Hoja1!BH50</f>
        <v>255</v>
      </c>
      <c r="BI50" s="24">
        <v>0</v>
      </c>
      <c r="BJ50" s="19">
        <f>+Hoja2!BJ50+Hoja1!BJ50</f>
        <v>368</v>
      </c>
      <c r="BK50" s="24">
        <v>0</v>
      </c>
      <c r="BL50" s="19">
        <f>+Hoja2!BL50+Hoja1!BL50</f>
        <v>0</v>
      </c>
      <c r="BM50" s="24">
        <v>0</v>
      </c>
      <c r="BN50" s="19">
        <f>+Hoja2!BN50+Hoja1!BN50</f>
        <v>0</v>
      </c>
      <c r="BO50" s="24">
        <v>0</v>
      </c>
      <c r="BP50" s="19">
        <f>+Hoja2!BP50+Hoja1!BP50</f>
        <v>0</v>
      </c>
      <c r="BQ50" s="24">
        <v>0</v>
      </c>
      <c r="BR50" s="19">
        <f>+Hoja2!BR50+Hoja1!BR50</f>
        <v>203</v>
      </c>
      <c r="BS50" s="24">
        <v>0</v>
      </c>
      <c r="BT50" s="19">
        <f>+Hoja2!BT50+Hoja1!BT50</f>
        <v>0</v>
      </c>
      <c r="BU50" s="24">
        <v>0</v>
      </c>
      <c r="BV50" s="19">
        <f>+Hoja2!BV50+Hoja1!BV50</f>
        <v>0</v>
      </c>
      <c r="BW50" s="24">
        <v>0</v>
      </c>
      <c r="BX50" s="19">
        <f>+Hoja2!BX50+Hoja1!BX50</f>
        <v>0</v>
      </c>
      <c r="BY50" s="24">
        <v>0</v>
      </c>
      <c r="BZ50" s="19">
        <f>+Hoja2!BZ50+Hoja1!BZ50</f>
        <v>397</v>
      </c>
      <c r="CA50" s="24">
        <v>0</v>
      </c>
      <c r="CB50" s="19">
        <f>+Hoja2!CB50+Hoja1!CB50</f>
        <v>0</v>
      </c>
      <c r="CC50" s="24">
        <v>0</v>
      </c>
      <c r="CD50" s="19">
        <f>+Hoja2!CD50+Hoja1!CD50</f>
        <v>0</v>
      </c>
      <c r="CE50" s="24">
        <v>0</v>
      </c>
      <c r="CF50" s="19">
        <f>+Hoja2!CF50+Hoja1!CF50</f>
        <v>1078</v>
      </c>
      <c r="CG50" s="24">
        <v>0</v>
      </c>
      <c r="CH50" s="19">
        <f>+Hoja2!CH50+Hoja1!CH50</f>
        <v>0</v>
      </c>
      <c r="CI50" s="24">
        <v>0</v>
      </c>
      <c r="CJ50" s="19">
        <f>+Hoja2!CJ50+Hoja1!CJ50</f>
        <v>402</v>
      </c>
      <c r="CK50" s="24">
        <v>0</v>
      </c>
      <c r="CL50" s="19">
        <f>+Hoja2!CL50+Hoja1!CL50</f>
        <v>0</v>
      </c>
      <c r="CM50" s="24">
        <v>0</v>
      </c>
      <c r="CN50" s="19">
        <f>+Hoja2!CN50+Hoja1!CN50</f>
        <v>0</v>
      </c>
      <c r="CO50" s="24">
        <v>0</v>
      </c>
      <c r="CP50" s="19">
        <f>+Hoja2!CP50+Hoja1!CP50</f>
        <v>0</v>
      </c>
      <c r="CQ50" s="24">
        <v>0</v>
      </c>
      <c r="CR50" s="19">
        <f>+Hoja2!CR50+Hoja1!CR50</f>
        <v>0</v>
      </c>
      <c r="CS50" s="24">
        <v>0</v>
      </c>
      <c r="CT50" s="19">
        <f>+Hoja2!CT50+Hoja1!CT50</f>
        <v>0</v>
      </c>
      <c r="CU50" s="24">
        <v>0</v>
      </c>
      <c r="CV50" s="19">
        <f>+Hoja2!CV50+Hoja1!CV50</f>
        <v>0</v>
      </c>
      <c r="CW50" s="24">
        <v>0</v>
      </c>
      <c r="CX50" s="19">
        <f>+Hoja2!CX50+Hoja1!CX50</f>
        <v>0</v>
      </c>
      <c r="CY50" s="24">
        <v>0</v>
      </c>
      <c r="CZ50" s="19">
        <f>+Hoja2!CZ50+Hoja1!CZ50</f>
        <v>0</v>
      </c>
      <c r="DA50" s="24">
        <v>0</v>
      </c>
      <c r="DB50" s="19">
        <f>+Hoja2!DB50+Hoja1!DB50</f>
        <v>0</v>
      </c>
      <c r="DC50" s="24">
        <v>0</v>
      </c>
      <c r="DD50" s="19">
        <f>+Hoja2!DD50+Hoja1!DD50</f>
        <v>0</v>
      </c>
      <c r="DE50" s="24">
        <v>0</v>
      </c>
      <c r="DF50" s="19">
        <f>+Hoja2!DF50+Hoja1!DF50</f>
        <v>0</v>
      </c>
      <c r="DG50" s="24">
        <v>0</v>
      </c>
      <c r="DH50" s="19">
        <f>+Hoja2!DH50+Hoja1!DH50</f>
        <v>0</v>
      </c>
      <c r="DI50" s="24">
        <v>0</v>
      </c>
      <c r="DJ50" s="19">
        <f>+Hoja2!DJ50+Hoja1!DJ50</f>
        <v>0</v>
      </c>
      <c r="DK50" s="24">
        <v>0</v>
      </c>
      <c r="DL50" s="19">
        <f>+Hoja2!DL50+Hoja1!DL50</f>
        <v>0</v>
      </c>
      <c r="DM50" s="24">
        <v>0</v>
      </c>
      <c r="DN50" s="19">
        <f>+Hoja2!DN50+Hoja1!DN50</f>
        <v>0</v>
      </c>
      <c r="DO50" s="24">
        <v>0</v>
      </c>
      <c r="DP50" s="19">
        <f>+Hoja2!DP50+Hoja1!DP50</f>
        <v>0</v>
      </c>
      <c r="DQ50" s="24">
        <v>0</v>
      </c>
      <c r="DR50" s="19">
        <f>+Hoja2!DR50+Hoja1!DR50</f>
        <v>0</v>
      </c>
      <c r="DS50" s="24">
        <v>0</v>
      </c>
      <c r="DT50" s="19">
        <f>+Hoja2!DT50+Hoja1!DT50</f>
        <v>0</v>
      </c>
      <c r="DU50" s="24">
        <v>0</v>
      </c>
      <c r="DV50" s="19">
        <f>+Hoja2!DV50+Hoja1!DV50</f>
        <v>0</v>
      </c>
      <c r="DW50" s="24">
        <v>0</v>
      </c>
      <c r="DX50" s="19">
        <f>+Hoja2!DX50+Hoja1!DX50</f>
        <v>139</v>
      </c>
      <c r="DY50" s="24">
        <v>0</v>
      </c>
      <c r="DZ50" s="19">
        <f>+Hoja2!DZ50+Hoja1!DZ50</f>
        <v>104</v>
      </c>
      <c r="EA50" s="24">
        <v>0</v>
      </c>
      <c r="EB50" s="19">
        <f>+Hoja2!EB50+Hoja1!EB50</f>
        <v>0</v>
      </c>
      <c r="EC50" s="24">
        <v>0</v>
      </c>
      <c r="ED50" s="19">
        <f>+Hoja2!ED50+Hoja1!ED50</f>
        <v>0</v>
      </c>
      <c r="EE50" s="24">
        <v>0</v>
      </c>
      <c r="EF50" s="19">
        <f>+Hoja2!EF50+Hoja1!EF50</f>
        <v>0</v>
      </c>
      <c r="EG50" s="24">
        <v>0</v>
      </c>
      <c r="EH50" s="19">
        <f>+Hoja2!EH50+Hoja1!EH50</f>
        <v>0</v>
      </c>
      <c r="EI50" s="24">
        <v>0</v>
      </c>
      <c r="EJ50" s="19">
        <f>+Hoja2!EJ50+Hoja1!EJ50</f>
        <v>0</v>
      </c>
      <c r="EK50" s="24">
        <v>0</v>
      </c>
      <c r="EL50" s="19">
        <f>+Hoja2!EL50+Hoja1!EL50</f>
        <v>0</v>
      </c>
      <c r="EM50" s="24">
        <v>0</v>
      </c>
      <c r="EN50" s="19">
        <f>+Hoja2!EN50+Hoja1!EN50</f>
        <v>0</v>
      </c>
      <c r="EO50" s="24">
        <v>0</v>
      </c>
      <c r="EP50" s="19">
        <f>+Hoja2!EP50+Hoja1!EP50</f>
        <v>0</v>
      </c>
      <c r="EQ50" s="24">
        <v>0</v>
      </c>
      <c r="ER50" s="19">
        <f>+Hoja2!ER50+Hoja1!ER50</f>
        <v>0</v>
      </c>
      <c r="ES50" s="24">
        <v>0</v>
      </c>
      <c r="ET50" s="19">
        <f>+Hoja2!ET50+Hoja1!ET50</f>
        <v>0</v>
      </c>
      <c r="EU50" s="24">
        <v>0</v>
      </c>
    </row>
    <row r="51" spans="1:151" x14ac:dyDescent="0.25">
      <c r="A51" s="24" t="s">
        <v>77</v>
      </c>
      <c r="B51" s="25">
        <v>46</v>
      </c>
      <c r="C51" s="24" t="s">
        <v>80</v>
      </c>
      <c r="D51" s="24">
        <v>2547986</v>
      </c>
      <c r="E51" s="26">
        <v>3107</v>
      </c>
      <c r="F51" s="26">
        <v>1907174</v>
      </c>
      <c r="G51" s="26">
        <v>63022</v>
      </c>
      <c r="H51" s="26">
        <v>1970196</v>
      </c>
      <c r="I51" s="1">
        <v>8738</v>
      </c>
      <c r="J51" s="19">
        <f>+INT(([1]Hoja1!M51/[1]Hoja1!O51)*M51)</f>
        <v>182281003</v>
      </c>
      <c r="K51" s="19">
        <f>+INT(([1]Hoja1!N51/[1]Hoja1!O51)*M51)</f>
        <v>180865244</v>
      </c>
      <c r="L51" s="19">
        <f t="shared" si="1"/>
        <v>1427906</v>
      </c>
      <c r="M51" s="19">
        <f t="shared" si="2"/>
        <v>1415759</v>
      </c>
      <c r="N51" s="22">
        <f t="shared" si="0"/>
        <v>1404961</v>
      </c>
      <c r="O51" s="26">
        <v>10798</v>
      </c>
      <c r="P51" s="26">
        <v>12147</v>
      </c>
      <c r="Q51" s="22">
        <f t="shared" si="3"/>
        <v>15</v>
      </c>
      <c r="R51" s="19">
        <f>+Hoja2!R51+Hoja1!R51</f>
        <v>405354</v>
      </c>
      <c r="S51" s="24">
        <v>4</v>
      </c>
      <c r="T51" s="19">
        <f>+Hoja2!T51+Hoja1!T51</f>
        <v>398523</v>
      </c>
      <c r="U51" s="24">
        <v>4</v>
      </c>
      <c r="V51" s="19">
        <f>+Hoja2!V51+Hoja1!V51</f>
        <v>250807</v>
      </c>
      <c r="W51" s="24">
        <v>3</v>
      </c>
      <c r="X51" s="19">
        <f>+Hoja2!X51+Hoja1!X51</f>
        <v>201402</v>
      </c>
      <c r="Y51" s="24">
        <v>2</v>
      </c>
      <c r="Z51" s="19">
        <f>+Hoja2!Z51+Hoja1!Z51</f>
        <v>0</v>
      </c>
      <c r="AA51" s="24">
        <v>0</v>
      </c>
      <c r="AB51" s="19">
        <f>+Hoja2!AB51+Hoja1!AB51</f>
        <v>0</v>
      </c>
      <c r="AC51" s="24">
        <v>1</v>
      </c>
      <c r="AD51" s="19">
        <f>+Hoja2!AD51+Hoja1!AD51</f>
        <v>0</v>
      </c>
      <c r="AE51" s="24">
        <v>0</v>
      </c>
      <c r="AF51" s="19">
        <f>+Hoja2!AF51+Hoja1!AF51</f>
        <v>0</v>
      </c>
      <c r="AG51" s="24">
        <v>0</v>
      </c>
      <c r="AH51" s="19">
        <f>+Hoja2!AH51+Hoja1!AH51</f>
        <v>0</v>
      </c>
      <c r="AI51" s="24">
        <v>0</v>
      </c>
      <c r="AJ51" s="19">
        <f>+Hoja2!AJ51+Hoja1!AJ51</f>
        <v>0</v>
      </c>
      <c r="AK51" s="24">
        <v>0</v>
      </c>
      <c r="AL51" s="19">
        <f>+Hoja2!AL51+Hoja1!AL51</f>
        <v>0</v>
      </c>
      <c r="AM51" s="24">
        <v>0</v>
      </c>
      <c r="AN51" s="19">
        <f>+Hoja2!AN51+Hoja1!AN51</f>
        <v>0</v>
      </c>
      <c r="AO51" s="24">
        <v>0</v>
      </c>
      <c r="AP51" s="19">
        <f>+Hoja2!AP51+Hoja1!AP51</f>
        <v>0</v>
      </c>
      <c r="AQ51" s="24">
        <v>0</v>
      </c>
      <c r="AR51" s="19">
        <f>+Hoja2!AR51+Hoja1!AR51</f>
        <v>0</v>
      </c>
      <c r="AS51" s="24">
        <v>0</v>
      </c>
      <c r="AT51" s="19">
        <f>+Hoja2!AT51+Hoja1!AT51</f>
        <v>0</v>
      </c>
      <c r="AU51" s="24">
        <v>0</v>
      </c>
      <c r="AV51" s="19">
        <f>+Hoja2!AV51+Hoja1!AV51</f>
        <v>119471</v>
      </c>
      <c r="AW51" s="24">
        <v>1</v>
      </c>
      <c r="AX51" s="19">
        <f>+Hoja2!AX51+Hoja1!AX51</f>
        <v>0</v>
      </c>
      <c r="AY51" s="24">
        <v>0</v>
      </c>
      <c r="AZ51" s="19">
        <f>+Hoja2!AZ51+Hoja1!AZ51</f>
        <v>0</v>
      </c>
      <c r="BA51" s="24">
        <v>0</v>
      </c>
      <c r="BB51" s="19">
        <f>+Hoja2!BB51+Hoja1!BB51</f>
        <v>0</v>
      </c>
      <c r="BC51" s="24">
        <v>0</v>
      </c>
      <c r="BD51" s="19">
        <f>+Hoja2!BD51+Hoja1!BD51</f>
        <v>15318</v>
      </c>
      <c r="BE51" s="24">
        <v>0</v>
      </c>
      <c r="BF51" s="19">
        <f>+Hoja2!BF51+Hoja1!BF51</f>
        <v>0</v>
      </c>
      <c r="BG51" s="24">
        <v>0</v>
      </c>
      <c r="BH51" s="19">
        <f>+Hoja2!BH51+Hoja1!BH51</f>
        <v>1532</v>
      </c>
      <c r="BI51" s="24">
        <v>0</v>
      </c>
      <c r="BJ51" s="19">
        <f>+Hoja2!BJ51+Hoja1!BJ51</f>
        <v>1003</v>
      </c>
      <c r="BK51" s="24">
        <v>0</v>
      </c>
      <c r="BL51" s="19">
        <f>+Hoja2!BL51+Hoja1!BL51</f>
        <v>0</v>
      </c>
      <c r="BM51" s="24">
        <v>0</v>
      </c>
      <c r="BN51" s="19">
        <f>+Hoja2!BN51+Hoja1!BN51</f>
        <v>0</v>
      </c>
      <c r="BO51" s="24">
        <v>0</v>
      </c>
      <c r="BP51" s="19">
        <f>+Hoja2!BP51+Hoja1!BP51</f>
        <v>0</v>
      </c>
      <c r="BQ51" s="24">
        <v>0</v>
      </c>
      <c r="BR51" s="19">
        <f>+Hoja2!BR51+Hoja1!BR51</f>
        <v>1199</v>
      </c>
      <c r="BS51" s="24">
        <v>0</v>
      </c>
      <c r="BT51" s="19">
        <f>+Hoja2!BT51+Hoja1!BT51</f>
        <v>0</v>
      </c>
      <c r="BU51" s="24">
        <v>0</v>
      </c>
      <c r="BV51" s="19">
        <f>+Hoja2!BV51+Hoja1!BV51</f>
        <v>0</v>
      </c>
      <c r="BW51" s="24">
        <v>0</v>
      </c>
      <c r="BX51" s="19">
        <f>+Hoja2!BX51+Hoja1!BX51</f>
        <v>0</v>
      </c>
      <c r="BY51" s="24">
        <v>0</v>
      </c>
      <c r="BZ51" s="19">
        <f>+Hoja2!BZ51+Hoja1!BZ51</f>
        <v>0</v>
      </c>
      <c r="CA51" s="24">
        <v>0</v>
      </c>
      <c r="CB51" s="19">
        <f>+Hoja2!CB51+Hoja1!CB51</f>
        <v>0</v>
      </c>
      <c r="CC51" s="24">
        <v>0</v>
      </c>
      <c r="CD51" s="19">
        <f>+Hoja2!CD51+Hoja1!CD51</f>
        <v>0</v>
      </c>
      <c r="CE51" s="24">
        <v>0</v>
      </c>
      <c r="CF51" s="19">
        <f>+Hoja2!CF51+Hoja1!CF51</f>
        <v>3008</v>
      </c>
      <c r="CG51" s="24">
        <v>0</v>
      </c>
      <c r="CH51" s="19">
        <f>+Hoja2!CH51+Hoja1!CH51</f>
        <v>0</v>
      </c>
      <c r="CI51" s="24">
        <v>0</v>
      </c>
      <c r="CJ51" s="19">
        <f>+Hoja2!CJ51+Hoja1!CJ51</f>
        <v>2660</v>
      </c>
      <c r="CK51" s="24">
        <v>0</v>
      </c>
      <c r="CL51" s="19">
        <f>+Hoja2!CL51+Hoja1!CL51</f>
        <v>0</v>
      </c>
      <c r="CM51" s="24">
        <v>0</v>
      </c>
      <c r="CN51" s="19">
        <f>+Hoja2!CN51+Hoja1!CN51</f>
        <v>0</v>
      </c>
      <c r="CO51" s="24">
        <v>0</v>
      </c>
      <c r="CP51" s="19">
        <f>+Hoja2!CP51+Hoja1!CP51</f>
        <v>0</v>
      </c>
      <c r="CQ51" s="24">
        <v>0</v>
      </c>
      <c r="CR51" s="19">
        <f>+Hoja2!CR51+Hoja1!CR51</f>
        <v>2280</v>
      </c>
      <c r="CS51" s="24">
        <v>0</v>
      </c>
      <c r="CT51" s="19">
        <f>+Hoja2!CT51+Hoja1!CT51</f>
        <v>0</v>
      </c>
      <c r="CU51" s="24">
        <v>0</v>
      </c>
      <c r="CV51" s="19">
        <f>+Hoja2!CV51+Hoja1!CV51</f>
        <v>0</v>
      </c>
      <c r="CW51" s="24">
        <v>0</v>
      </c>
      <c r="CX51" s="19">
        <f>+Hoja2!CX51+Hoja1!CX51</f>
        <v>0</v>
      </c>
      <c r="CY51" s="24">
        <v>0</v>
      </c>
      <c r="CZ51" s="19">
        <f>+Hoja2!CZ51+Hoja1!CZ51</f>
        <v>875</v>
      </c>
      <c r="DA51" s="24">
        <v>0</v>
      </c>
      <c r="DB51" s="19">
        <f>+Hoja2!DB51+Hoja1!DB51</f>
        <v>0</v>
      </c>
      <c r="DC51" s="24">
        <v>0</v>
      </c>
      <c r="DD51" s="19">
        <f>+Hoja2!DD51+Hoja1!DD51</f>
        <v>0</v>
      </c>
      <c r="DE51" s="24">
        <v>0</v>
      </c>
      <c r="DF51" s="19">
        <f>+Hoja2!DF51+Hoja1!DF51</f>
        <v>0</v>
      </c>
      <c r="DG51" s="24">
        <v>0</v>
      </c>
      <c r="DH51" s="19">
        <f>+Hoja2!DH51+Hoja1!DH51</f>
        <v>0</v>
      </c>
      <c r="DI51" s="24">
        <v>0</v>
      </c>
      <c r="DJ51" s="19">
        <f>+Hoja2!DJ51+Hoja1!DJ51</f>
        <v>0</v>
      </c>
      <c r="DK51" s="24">
        <v>0</v>
      </c>
      <c r="DL51" s="19">
        <f>+Hoja2!DL51+Hoja1!DL51</f>
        <v>0</v>
      </c>
      <c r="DM51" s="24">
        <v>0</v>
      </c>
      <c r="DN51" s="19">
        <f>+Hoja2!DN51+Hoja1!DN51</f>
        <v>1061</v>
      </c>
      <c r="DO51" s="24">
        <v>0</v>
      </c>
      <c r="DP51" s="19">
        <f>+Hoja2!DP51+Hoja1!DP51</f>
        <v>0</v>
      </c>
      <c r="DQ51" s="24">
        <v>0</v>
      </c>
      <c r="DR51" s="19">
        <f>+Hoja2!DR51+Hoja1!DR51</f>
        <v>0</v>
      </c>
      <c r="DS51" s="24">
        <v>0</v>
      </c>
      <c r="DT51" s="19">
        <f>+Hoja2!DT51+Hoja1!DT51</f>
        <v>0</v>
      </c>
      <c r="DU51" s="24">
        <v>0</v>
      </c>
      <c r="DV51" s="19">
        <f>+Hoja2!DV51+Hoja1!DV51</f>
        <v>0</v>
      </c>
      <c r="DW51" s="24">
        <v>0</v>
      </c>
      <c r="DX51" s="19">
        <f>+Hoja2!DX51+Hoja1!DX51</f>
        <v>0</v>
      </c>
      <c r="DY51" s="24">
        <v>0</v>
      </c>
      <c r="DZ51" s="19">
        <f>+Hoja2!DZ51+Hoja1!DZ51</f>
        <v>468</v>
      </c>
      <c r="EA51" s="24">
        <v>0</v>
      </c>
      <c r="EB51" s="19">
        <f>+Hoja2!EB51+Hoja1!EB51</f>
        <v>0</v>
      </c>
      <c r="EC51" s="24">
        <v>0</v>
      </c>
      <c r="ED51" s="19">
        <f>+Hoja2!ED51+Hoja1!ED51</f>
        <v>0</v>
      </c>
      <c r="EE51" s="24">
        <v>0</v>
      </c>
      <c r="EF51" s="19">
        <f>+Hoja2!EF51+Hoja1!EF51</f>
        <v>0</v>
      </c>
      <c r="EG51" s="24">
        <v>0</v>
      </c>
      <c r="EH51" s="19">
        <f>+Hoja2!EH51+Hoja1!EH51</f>
        <v>0</v>
      </c>
      <c r="EI51" s="24">
        <v>0</v>
      </c>
      <c r="EJ51" s="19">
        <f>+Hoja2!EJ51+Hoja1!EJ51</f>
        <v>0</v>
      </c>
      <c r="EK51" s="24">
        <v>0</v>
      </c>
      <c r="EL51" s="19">
        <f>+Hoja2!EL51+Hoja1!EL51</f>
        <v>0</v>
      </c>
      <c r="EM51" s="24">
        <v>0</v>
      </c>
      <c r="EN51" s="19">
        <f>+Hoja2!EN51+Hoja1!EN51</f>
        <v>0</v>
      </c>
      <c r="EO51" s="24">
        <v>0</v>
      </c>
      <c r="EP51" s="19">
        <f>+Hoja2!EP51+Hoja1!EP51</f>
        <v>0</v>
      </c>
      <c r="EQ51" s="24">
        <v>0</v>
      </c>
      <c r="ER51" s="19">
        <f>+Hoja2!ER51+Hoja1!ER51</f>
        <v>0</v>
      </c>
      <c r="ES51" s="24">
        <v>0</v>
      </c>
      <c r="ET51" s="19">
        <f>+Hoja2!ET51+Hoja1!ET51</f>
        <v>0</v>
      </c>
      <c r="EU51" s="24">
        <v>0</v>
      </c>
    </row>
    <row r="52" spans="1:151" x14ac:dyDescent="0.25">
      <c r="A52" s="24" t="s">
        <v>81</v>
      </c>
      <c r="B52" s="25">
        <v>51</v>
      </c>
      <c r="C52" s="24" t="s">
        <v>82</v>
      </c>
      <c r="D52" s="24">
        <v>85144</v>
      </c>
      <c r="E52" s="26">
        <v>96</v>
      </c>
      <c r="F52" s="26">
        <v>59820</v>
      </c>
      <c r="G52" s="26">
        <v>2693</v>
      </c>
      <c r="H52" s="26">
        <v>62513</v>
      </c>
      <c r="I52">
        <v>220</v>
      </c>
      <c r="J52" s="19">
        <f>+INT(([1]Hoja1!M52/[1]Hoja1!O52)*M52)</f>
        <v>3529459</v>
      </c>
      <c r="K52" s="19">
        <f>+INT(([1]Hoja1!N52/[1]Hoja1!O52)*M52)</f>
        <v>3495216</v>
      </c>
      <c r="L52" s="19">
        <f t="shared" si="1"/>
        <v>34594</v>
      </c>
      <c r="M52" s="19">
        <f t="shared" si="2"/>
        <v>34243</v>
      </c>
      <c r="N52" s="22">
        <f t="shared" si="0"/>
        <v>33919</v>
      </c>
      <c r="O52" s="26">
        <v>324</v>
      </c>
      <c r="P52" s="26">
        <v>351</v>
      </c>
      <c r="Q52" s="22">
        <f t="shared" si="3"/>
        <v>1</v>
      </c>
      <c r="R52" s="19">
        <f>+Hoja2!R52+Hoja1!R52</f>
        <v>11090</v>
      </c>
      <c r="S52" s="24">
        <v>0</v>
      </c>
      <c r="T52" s="19">
        <f>+Hoja2!T52+Hoja1!T52</f>
        <v>8497</v>
      </c>
      <c r="U52" s="24">
        <v>0</v>
      </c>
      <c r="V52" s="19">
        <f>+Hoja2!V52+Hoja1!V52</f>
        <v>11987</v>
      </c>
      <c r="W52" s="24">
        <v>1</v>
      </c>
      <c r="X52" s="19">
        <f>+Hoja2!X52+Hoja1!X52</f>
        <v>1365</v>
      </c>
      <c r="Y52" s="24">
        <v>0</v>
      </c>
      <c r="Z52" s="19">
        <f>+Hoja2!Z52+Hoja1!Z52</f>
        <v>0</v>
      </c>
      <c r="AA52" s="24">
        <v>0</v>
      </c>
      <c r="AB52" s="19">
        <f>+Hoja2!AB52+Hoja1!AB52</f>
        <v>0</v>
      </c>
      <c r="AC52" s="24">
        <v>0</v>
      </c>
      <c r="AD52" s="19">
        <f>+Hoja2!AD52+Hoja1!AD52</f>
        <v>0</v>
      </c>
      <c r="AE52" s="24">
        <v>0</v>
      </c>
      <c r="AF52" s="19">
        <f>+Hoja2!AF52+Hoja1!AF52</f>
        <v>0</v>
      </c>
      <c r="AG52" s="24">
        <v>0</v>
      </c>
      <c r="AH52" s="19">
        <f>+Hoja2!AH52+Hoja1!AH52</f>
        <v>0</v>
      </c>
      <c r="AI52" s="24">
        <v>0</v>
      </c>
      <c r="AJ52" s="19">
        <f>+Hoja2!AJ52+Hoja1!AJ52</f>
        <v>0</v>
      </c>
      <c r="AK52" s="24">
        <v>0</v>
      </c>
      <c r="AL52" s="19">
        <f>+Hoja2!AL52+Hoja1!AL52</f>
        <v>0</v>
      </c>
      <c r="AM52" s="24">
        <v>0</v>
      </c>
      <c r="AN52" s="19">
        <f>+Hoja2!AN52+Hoja1!AN52</f>
        <v>0</v>
      </c>
      <c r="AO52" s="24">
        <v>0</v>
      </c>
      <c r="AP52" s="19">
        <f>+Hoja2!AP52+Hoja1!AP52</f>
        <v>0</v>
      </c>
      <c r="AQ52" s="24">
        <v>0</v>
      </c>
      <c r="AR52" s="19">
        <f>+Hoja2!AR52+Hoja1!AR52</f>
        <v>0</v>
      </c>
      <c r="AS52" s="24">
        <v>0</v>
      </c>
      <c r="AT52" s="19">
        <f>+Hoja2!AT52+Hoja1!AT52</f>
        <v>0</v>
      </c>
      <c r="AU52" s="24">
        <v>0</v>
      </c>
      <c r="AV52" s="19">
        <f>+Hoja2!AV52+Hoja1!AV52</f>
        <v>0</v>
      </c>
      <c r="AW52" s="24">
        <v>0</v>
      </c>
      <c r="AX52" s="19">
        <f>+Hoja2!AX52+Hoja1!AX52</f>
        <v>0</v>
      </c>
      <c r="AY52" s="24">
        <v>0</v>
      </c>
      <c r="AZ52" s="19">
        <f>+Hoja2!AZ52+Hoja1!AZ52</f>
        <v>0</v>
      </c>
      <c r="BA52" s="24">
        <v>0</v>
      </c>
      <c r="BB52" s="19">
        <f>+Hoja2!BB52+Hoja1!BB52</f>
        <v>0</v>
      </c>
      <c r="BC52" s="24">
        <v>0</v>
      </c>
      <c r="BD52" s="19">
        <f>+Hoja2!BD52+Hoja1!BD52</f>
        <v>0</v>
      </c>
      <c r="BE52" s="24">
        <v>0</v>
      </c>
      <c r="BF52" s="19">
        <f>+Hoja2!BF52+Hoja1!BF52</f>
        <v>0</v>
      </c>
      <c r="BG52" s="24">
        <v>0</v>
      </c>
      <c r="BH52" s="19">
        <f>+Hoja2!BH52+Hoja1!BH52</f>
        <v>124</v>
      </c>
      <c r="BI52" s="24">
        <v>0</v>
      </c>
      <c r="BJ52" s="19">
        <f>+Hoja2!BJ52+Hoja1!BJ52</f>
        <v>42</v>
      </c>
      <c r="BK52" s="24">
        <v>0</v>
      </c>
      <c r="BL52" s="19">
        <f>+Hoja2!BL52+Hoja1!BL52</f>
        <v>0</v>
      </c>
      <c r="BM52" s="24">
        <v>0</v>
      </c>
      <c r="BN52" s="19">
        <f>+Hoja2!BN52+Hoja1!BN52</f>
        <v>0</v>
      </c>
      <c r="BO52" s="24">
        <v>0</v>
      </c>
      <c r="BP52" s="19">
        <f>+Hoja2!BP52+Hoja1!BP52</f>
        <v>0</v>
      </c>
      <c r="BQ52" s="24">
        <v>0</v>
      </c>
      <c r="BR52" s="19">
        <f>+Hoja2!BR52+Hoja1!BR52</f>
        <v>0</v>
      </c>
      <c r="BS52" s="24">
        <v>0</v>
      </c>
      <c r="BT52" s="19">
        <f>+Hoja2!BT52+Hoja1!BT52</f>
        <v>0</v>
      </c>
      <c r="BU52" s="24">
        <v>0</v>
      </c>
      <c r="BV52" s="19">
        <f>+Hoja2!BV52+Hoja1!BV52</f>
        <v>0</v>
      </c>
      <c r="BW52" s="24">
        <v>0</v>
      </c>
      <c r="BX52" s="19">
        <f>+Hoja2!BX52+Hoja1!BX52</f>
        <v>0</v>
      </c>
      <c r="BY52" s="24">
        <v>0</v>
      </c>
      <c r="BZ52" s="19">
        <f>+Hoja2!BZ52+Hoja1!BZ52</f>
        <v>0</v>
      </c>
      <c r="CA52" s="24">
        <v>0</v>
      </c>
      <c r="CB52" s="19">
        <f>+Hoja2!CB52+Hoja1!CB52</f>
        <v>0</v>
      </c>
      <c r="CC52" s="24">
        <v>0</v>
      </c>
      <c r="CD52" s="19">
        <f>+Hoja2!CD52+Hoja1!CD52</f>
        <v>0</v>
      </c>
      <c r="CE52" s="24">
        <v>0</v>
      </c>
      <c r="CF52" s="19">
        <f>+Hoja2!CF52+Hoja1!CF52</f>
        <v>0</v>
      </c>
      <c r="CG52" s="24">
        <v>0</v>
      </c>
      <c r="CH52" s="19">
        <f>+Hoja2!CH52+Hoja1!CH52</f>
        <v>0</v>
      </c>
      <c r="CI52" s="24">
        <v>0</v>
      </c>
      <c r="CJ52" s="19">
        <f>+Hoja2!CJ52+Hoja1!CJ52</f>
        <v>0</v>
      </c>
      <c r="CK52" s="24">
        <v>0</v>
      </c>
      <c r="CL52" s="19">
        <f>+Hoja2!CL52+Hoja1!CL52</f>
        <v>0</v>
      </c>
      <c r="CM52" s="24">
        <v>0</v>
      </c>
      <c r="CN52" s="19">
        <f>+Hoja2!CN52+Hoja1!CN52</f>
        <v>0</v>
      </c>
      <c r="CO52" s="24">
        <v>0</v>
      </c>
      <c r="CP52" s="19">
        <f>+Hoja2!CP52+Hoja1!CP52</f>
        <v>0</v>
      </c>
      <c r="CQ52" s="24">
        <v>0</v>
      </c>
      <c r="CR52" s="19">
        <f>+Hoja2!CR52+Hoja1!CR52</f>
        <v>0</v>
      </c>
      <c r="CS52" s="24">
        <v>0</v>
      </c>
      <c r="CT52" s="19">
        <f>+Hoja2!CT52+Hoja1!CT52</f>
        <v>0</v>
      </c>
      <c r="CU52" s="24">
        <v>0</v>
      </c>
      <c r="CV52" s="19">
        <f>+Hoja2!CV52+Hoja1!CV52</f>
        <v>0</v>
      </c>
      <c r="CW52" s="24">
        <v>0</v>
      </c>
      <c r="CX52" s="19">
        <f>+Hoja2!CX52+Hoja1!CX52</f>
        <v>0</v>
      </c>
      <c r="CY52" s="24">
        <v>0</v>
      </c>
      <c r="CZ52" s="19">
        <f>+Hoja2!CZ52+Hoja1!CZ52</f>
        <v>0</v>
      </c>
      <c r="DA52" s="24">
        <v>0</v>
      </c>
      <c r="DB52" s="19">
        <f>+Hoja2!DB52+Hoja1!DB52</f>
        <v>0</v>
      </c>
      <c r="DC52" s="24">
        <v>0</v>
      </c>
      <c r="DD52" s="19">
        <f>+Hoja2!DD52+Hoja1!DD52</f>
        <v>0</v>
      </c>
      <c r="DE52" s="24">
        <v>0</v>
      </c>
      <c r="DF52" s="19">
        <f>+Hoja2!DF52+Hoja1!DF52</f>
        <v>0</v>
      </c>
      <c r="DG52" s="24">
        <v>0</v>
      </c>
      <c r="DH52" s="19">
        <f>+Hoja2!DH52+Hoja1!DH52</f>
        <v>0</v>
      </c>
      <c r="DI52" s="24">
        <v>0</v>
      </c>
      <c r="DJ52" s="19">
        <f>+Hoja2!DJ52+Hoja1!DJ52</f>
        <v>0</v>
      </c>
      <c r="DK52" s="24">
        <v>0</v>
      </c>
      <c r="DL52" s="19">
        <f>+Hoja2!DL52+Hoja1!DL52</f>
        <v>0</v>
      </c>
      <c r="DM52" s="24">
        <v>0</v>
      </c>
      <c r="DN52" s="19">
        <f>+Hoja2!DN52+Hoja1!DN52</f>
        <v>0</v>
      </c>
      <c r="DO52" s="24">
        <v>0</v>
      </c>
      <c r="DP52" s="19">
        <f>+Hoja2!DP52+Hoja1!DP52</f>
        <v>0</v>
      </c>
      <c r="DQ52" s="24">
        <v>0</v>
      </c>
      <c r="DR52" s="19">
        <f>+Hoja2!DR52+Hoja1!DR52</f>
        <v>0</v>
      </c>
      <c r="DS52" s="24">
        <v>0</v>
      </c>
      <c r="DT52" s="19">
        <f>+Hoja2!DT52+Hoja1!DT52</f>
        <v>814</v>
      </c>
      <c r="DU52" s="24">
        <v>0</v>
      </c>
      <c r="DV52" s="19">
        <f>+Hoja2!DV52+Hoja1!DV52</f>
        <v>0</v>
      </c>
      <c r="DW52" s="24">
        <v>0</v>
      </c>
      <c r="DX52" s="19">
        <f>+Hoja2!DX52+Hoja1!DX52</f>
        <v>0</v>
      </c>
      <c r="DY52" s="24">
        <v>0</v>
      </c>
      <c r="DZ52" s="19">
        <f>+Hoja2!DZ52+Hoja1!DZ52</f>
        <v>0</v>
      </c>
      <c r="EA52" s="24">
        <v>0</v>
      </c>
      <c r="EB52" s="19">
        <f>+Hoja2!EB52+Hoja1!EB52</f>
        <v>0</v>
      </c>
      <c r="EC52" s="24">
        <v>0</v>
      </c>
      <c r="ED52" s="19">
        <f>+Hoja2!ED52+Hoja1!ED52</f>
        <v>0</v>
      </c>
      <c r="EE52" s="24">
        <v>0</v>
      </c>
      <c r="EF52" s="19">
        <f>+Hoja2!EF52+Hoja1!EF52</f>
        <v>0</v>
      </c>
      <c r="EG52" s="24">
        <v>0</v>
      </c>
      <c r="EH52" s="19">
        <f>+Hoja2!EH52+Hoja1!EH52</f>
        <v>0</v>
      </c>
      <c r="EI52" s="24">
        <v>0</v>
      </c>
      <c r="EJ52" s="19">
        <f>+Hoja2!EJ52+Hoja1!EJ52</f>
        <v>0</v>
      </c>
      <c r="EK52" s="24">
        <v>0</v>
      </c>
      <c r="EL52" s="19">
        <f>+Hoja2!EL52+Hoja1!EL52</f>
        <v>0</v>
      </c>
      <c r="EM52" s="24">
        <v>0</v>
      </c>
      <c r="EN52" s="19">
        <f>+Hoja2!EN52+Hoja1!EN52</f>
        <v>0</v>
      </c>
      <c r="EO52" s="24">
        <v>0</v>
      </c>
      <c r="EP52" s="19">
        <f>+Hoja2!EP52+Hoja1!EP52</f>
        <v>0</v>
      </c>
      <c r="EQ52" s="24">
        <v>0</v>
      </c>
      <c r="ER52" s="19">
        <f>+Hoja2!ER52+Hoja1!ER52</f>
        <v>0</v>
      </c>
      <c r="ES52" s="24">
        <v>0</v>
      </c>
      <c r="ET52" s="19">
        <f>+Hoja2!ET52+Hoja1!ET52</f>
        <v>0</v>
      </c>
      <c r="EU52" s="24">
        <v>0</v>
      </c>
    </row>
    <row r="53" spans="1:151" x14ac:dyDescent="0.25">
      <c r="A53" s="24" t="s">
        <v>83</v>
      </c>
      <c r="B53" s="25">
        <v>52</v>
      </c>
      <c r="C53" s="24" t="s">
        <v>84</v>
      </c>
      <c r="D53" s="24">
        <v>86384</v>
      </c>
      <c r="E53" s="26">
        <v>87</v>
      </c>
      <c r="F53" s="26">
        <v>54294</v>
      </c>
      <c r="G53" s="26">
        <v>5203</v>
      </c>
      <c r="H53" s="26">
        <v>59497</v>
      </c>
      <c r="I53">
        <v>249</v>
      </c>
      <c r="J53" s="19">
        <f>+INT(([1]Hoja1!M53/[1]Hoja1!O53)*M53)</f>
        <v>5328998</v>
      </c>
      <c r="K53" s="19">
        <f>+INT(([1]Hoja1!N53/[1]Hoja1!O53)*M53)</f>
        <v>5297126</v>
      </c>
      <c r="L53" s="19">
        <f t="shared" si="1"/>
        <v>32112</v>
      </c>
      <c r="M53" s="19">
        <f t="shared" si="2"/>
        <v>31872</v>
      </c>
      <c r="N53" s="22">
        <f t="shared" si="0"/>
        <v>31687</v>
      </c>
      <c r="O53" s="26">
        <v>185</v>
      </c>
      <c r="P53" s="26">
        <v>240</v>
      </c>
      <c r="Q53" s="22">
        <f t="shared" si="3"/>
        <v>1</v>
      </c>
      <c r="R53" s="19">
        <f>+Hoja2!R53+Hoja1!R53</f>
        <v>5432</v>
      </c>
      <c r="S53" s="24">
        <v>0</v>
      </c>
      <c r="T53" s="19">
        <f>+Hoja2!T53+Hoja1!T53</f>
        <v>10051</v>
      </c>
      <c r="U53" s="24">
        <v>1</v>
      </c>
      <c r="V53" s="19">
        <f>+Hoja2!V53+Hoja1!V53</f>
        <v>5805</v>
      </c>
      <c r="W53" s="24">
        <v>0</v>
      </c>
      <c r="X53" s="19">
        <f>+Hoja2!X53+Hoja1!X53</f>
        <v>849</v>
      </c>
      <c r="Y53" s="24">
        <v>0</v>
      </c>
      <c r="Z53" s="19">
        <f>+Hoja2!Z53+Hoja1!Z53</f>
        <v>0</v>
      </c>
      <c r="AA53" s="24">
        <v>0</v>
      </c>
      <c r="AB53" s="19">
        <f>+Hoja2!AB53+Hoja1!AB53</f>
        <v>0</v>
      </c>
      <c r="AC53" s="24">
        <v>0</v>
      </c>
      <c r="AD53" s="19">
        <f>+Hoja2!AD53+Hoja1!AD53</f>
        <v>0</v>
      </c>
      <c r="AE53" s="24">
        <v>0</v>
      </c>
      <c r="AF53" s="19">
        <f>+Hoja2!AF53+Hoja1!AF53</f>
        <v>0</v>
      </c>
      <c r="AG53" s="24">
        <v>0</v>
      </c>
      <c r="AH53" s="19">
        <f>+Hoja2!AH53+Hoja1!AH53</f>
        <v>0</v>
      </c>
      <c r="AI53" s="24">
        <v>0</v>
      </c>
      <c r="AJ53" s="19">
        <f>+Hoja2!AJ53+Hoja1!AJ53</f>
        <v>0</v>
      </c>
      <c r="AK53" s="24">
        <v>0</v>
      </c>
      <c r="AL53" s="19">
        <f>+Hoja2!AL53+Hoja1!AL53</f>
        <v>0</v>
      </c>
      <c r="AM53" s="24">
        <v>0</v>
      </c>
      <c r="AN53" s="19">
        <f>+Hoja2!AN53+Hoja1!AN53</f>
        <v>0</v>
      </c>
      <c r="AO53" s="24">
        <v>0</v>
      </c>
      <c r="AP53" s="19">
        <f>+Hoja2!AP53+Hoja1!AP53</f>
        <v>0</v>
      </c>
      <c r="AQ53" s="24">
        <v>0</v>
      </c>
      <c r="AR53" s="19">
        <f>+Hoja2!AR53+Hoja1!AR53</f>
        <v>0</v>
      </c>
      <c r="AS53" s="24">
        <v>0</v>
      </c>
      <c r="AT53" s="19">
        <f>+Hoja2!AT53+Hoja1!AT53</f>
        <v>0</v>
      </c>
      <c r="AU53" s="24">
        <v>0</v>
      </c>
      <c r="AV53" s="19">
        <f>+Hoja2!AV53+Hoja1!AV53</f>
        <v>0</v>
      </c>
      <c r="AW53" s="24">
        <v>0</v>
      </c>
      <c r="AX53" s="19">
        <f>+Hoja2!AX53+Hoja1!AX53</f>
        <v>0</v>
      </c>
      <c r="AY53" s="24">
        <v>0</v>
      </c>
      <c r="AZ53" s="19">
        <f>+Hoja2!AZ53+Hoja1!AZ53</f>
        <v>0</v>
      </c>
      <c r="BA53" s="24">
        <v>0</v>
      </c>
      <c r="BB53" s="19">
        <f>+Hoja2!BB53+Hoja1!BB53</f>
        <v>0</v>
      </c>
      <c r="BC53" s="24">
        <v>0</v>
      </c>
      <c r="BD53" s="19">
        <f>+Hoja2!BD53+Hoja1!BD53</f>
        <v>0</v>
      </c>
      <c r="BE53" s="24">
        <v>0</v>
      </c>
      <c r="BF53" s="19">
        <f>+Hoja2!BF53+Hoja1!BF53</f>
        <v>0</v>
      </c>
      <c r="BG53" s="24">
        <v>0</v>
      </c>
      <c r="BH53" s="19">
        <f>+Hoja2!BH53+Hoja1!BH53</f>
        <v>18</v>
      </c>
      <c r="BI53" s="24">
        <v>0</v>
      </c>
      <c r="BJ53" s="19">
        <f>+Hoja2!BJ53+Hoja1!BJ53</f>
        <v>30</v>
      </c>
      <c r="BK53" s="24">
        <v>0</v>
      </c>
      <c r="BL53" s="19">
        <f>+Hoja2!BL53+Hoja1!BL53</f>
        <v>0</v>
      </c>
      <c r="BM53" s="24">
        <v>0</v>
      </c>
      <c r="BN53" s="19">
        <f>+Hoja2!BN53+Hoja1!BN53</f>
        <v>0</v>
      </c>
      <c r="BO53" s="24">
        <v>0</v>
      </c>
      <c r="BP53" s="19">
        <f>+Hoja2!BP53+Hoja1!BP53</f>
        <v>0</v>
      </c>
      <c r="BQ53" s="24">
        <v>0</v>
      </c>
      <c r="BR53" s="19">
        <f>+Hoja2!BR53+Hoja1!BR53</f>
        <v>0</v>
      </c>
      <c r="BS53" s="24">
        <v>0</v>
      </c>
      <c r="BT53" s="19">
        <f>+Hoja2!BT53+Hoja1!BT53</f>
        <v>0</v>
      </c>
      <c r="BU53" s="24">
        <v>0</v>
      </c>
      <c r="BV53" s="19">
        <f>+Hoja2!BV53+Hoja1!BV53</f>
        <v>0</v>
      </c>
      <c r="BW53" s="24">
        <v>0</v>
      </c>
      <c r="BX53" s="19">
        <f>+Hoja2!BX53+Hoja1!BX53</f>
        <v>0</v>
      </c>
      <c r="BY53" s="24">
        <v>0</v>
      </c>
      <c r="BZ53" s="19">
        <f>+Hoja2!BZ53+Hoja1!BZ53</f>
        <v>0</v>
      </c>
      <c r="CA53" s="24">
        <v>0</v>
      </c>
      <c r="CB53" s="19">
        <f>+Hoja2!CB53+Hoja1!CB53</f>
        <v>9402</v>
      </c>
      <c r="CC53" s="24">
        <v>0</v>
      </c>
      <c r="CD53" s="19">
        <f>+Hoja2!CD53+Hoja1!CD53</f>
        <v>0</v>
      </c>
      <c r="CE53" s="24">
        <v>0</v>
      </c>
      <c r="CF53" s="19">
        <f>+Hoja2!CF53+Hoja1!CF53</f>
        <v>0</v>
      </c>
      <c r="CG53" s="24">
        <v>0</v>
      </c>
      <c r="CH53" s="19">
        <f>+Hoja2!CH53+Hoja1!CH53</f>
        <v>0</v>
      </c>
      <c r="CI53" s="24">
        <v>0</v>
      </c>
      <c r="CJ53" s="19">
        <f>+Hoja2!CJ53+Hoja1!CJ53</f>
        <v>0</v>
      </c>
      <c r="CK53" s="24">
        <v>0</v>
      </c>
      <c r="CL53" s="19">
        <f>+Hoja2!CL53+Hoja1!CL53</f>
        <v>100</v>
      </c>
      <c r="CM53" s="24">
        <v>0</v>
      </c>
      <c r="CN53" s="19">
        <f>+Hoja2!CN53+Hoja1!CN53</f>
        <v>0</v>
      </c>
      <c r="CO53" s="24">
        <v>0</v>
      </c>
      <c r="CP53" s="19">
        <f>+Hoja2!CP53+Hoja1!CP53</f>
        <v>0</v>
      </c>
      <c r="CQ53" s="24">
        <v>0</v>
      </c>
      <c r="CR53" s="19">
        <f>+Hoja2!CR53+Hoja1!CR53</f>
        <v>0</v>
      </c>
      <c r="CS53" s="24">
        <v>0</v>
      </c>
      <c r="CT53" s="19">
        <f>+Hoja2!CT53+Hoja1!CT53</f>
        <v>0</v>
      </c>
      <c r="CU53" s="24">
        <v>0</v>
      </c>
      <c r="CV53" s="19">
        <f>+Hoja2!CV53+Hoja1!CV53</f>
        <v>0</v>
      </c>
      <c r="CW53" s="24">
        <v>0</v>
      </c>
      <c r="CX53" s="19">
        <f>+Hoja2!CX53+Hoja1!CX53</f>
        <v>0</v>
      </c>
      <c r="CY53" s="24">
        <v>0</v>
      </c>
      <c r="CZ53" s="19">
        <f>+Hoja2!CZ53+Hoja1!CZ53</f>
        <v>0</v>
      </c>
      <c r="DA53" s="24">
        <v>0</v>
      </c>
      <c r="DB53" s="19">
        <f>+Hoja2!DB53+Hoja1!DB53</f>
        <v>0</v>
      </c>
      <c r="DC53" s="24">
        <v>0</v>
      </c>
      <c r="DD53" s="19">
        <f>+Hoja2!DD53+Hoja1!DD53</f>
        <v>0</v>
      </c>
      <c r="DE53" s="24">
        <v>0</v>
      </c>
      <c r="DF53" s="19">
        <f>+Hoja2!DF53+Hoja1!DF53</f>
        <v>0</v>
      </c>
      <c r="DG53" s="24">
        <v>0</v>
      </c>
      <c r="DH53" s="19">
        <f>+Hoja2!DH53+Hoja1!DH53</f>
        <v>0</v>
      </c>
      <c r="DI53" s="24">
        <v>0</v>
      </c>
      <c r="DJ53" s="19">
        <f>+Hoja2!DJ53+Hoja1!DJ53</f>
        <v>0</v>
      </c>
      <c r="DK53" s="24">
        <v>0</v>
      </c>
      <c r="DL53" s="19">
        <f>+Hoja2!DL53+Hoja1!DL53</f>
        <v>0</v>
      </c>
      <c r="DM53" s="24">
        <v>0</v>
      </c>
      <c r="DN53" s="19">
        <f>+Hoja2!DN53+Hoja1!DN53</f>
        <v>0</v>
      </c>
      <c r="DO53" s="24">
        <v>0</v>
      </c>
      <c r="DP53" s="19">
        <f>+Hoja2!DP53+Hoja1!DP53</f>
        <v>0</v>
      </c>
      <c r="DQ53" s="24">
        <v>0</v>
      </c>
      <c r="DR53" s="19">
        <f>+Hoja2!DR53+Hoja1!DR53</f>
        <v>0</v>
      </c>
      <c r="DS53" s="24">
        <v>0</v>
      </c>
      <c r="DT53" s="19">
        <f>+Hoja2!DT53+Hoja1!DT53</f>
        <v>0</v>
      </c>
      <c r="DU53" s="24">
        <v>0</v>
      </c>
      <c r="DV53" s="19">
        <f>+Hoja2!DV53+Hoja1!DV53</f>
        <v>0</v>
      </c>
      <c r="DW53" s="24">
        <v>0</v>
      </c>
      <c r="DX53" s="19">
        <f>+Hoja2!DX53+Hoja1!DX53</f>
        <v>0</v>
      </c>
      <c r="DY53" s="24">
        <v>0</v>
      </c>
      <c r="DZ53" s="19">
        <f>+Hoja2!DZ53+Hoja1!DZ53</f>
        <v>0</v>
      </c>
      <c r="EA53" s="24">
        <v>0</v>
      </c>
      <c r="EB53" s="19">
        <f>+Hoja2!EB53+Hoja1!EB53</f>
        <v>0</v>
      </c>
      <c r="EC53" s="24">
        <v>0</v>
      </c>
      <c r="ED53" s="19">
        <f>+Hoja2!ED53+Hoja1!ED53</f>
        <v>0</v>
      </c>
      <c r="EE53" s="24">
        <v>0</v>
      </c>
      <c r="EF53" s="19">
        <f>+Hoja2!EF53+Hoja1!EF53</f>
        <v>0</v>
      </c>
      <c r="EG53" s="24">
        <v>0</v>
      </c>
      <c r="EH53" s="19">
        <f>+Hoja2!EH53+Hoja1!EH53</f>
        <v>0</v>
      </c>
      <c r="EI53" s="24">
        <v>0</v>
      </c>
      <c r="EJ53" s="19">
        <f>+Hoja2!EJ53+Hoja1!EJ53</f>
        <v>0</v>
      </c>
      <c r="EK53" s="24">
        <v>0</v>
      </c>
      <c r="EL53" s="19">
        <f>+Hoja2!EL53+Hoja1!EL53</f>
        <v>0</v>
      </c>
      <c r="EM53" s="24">
        <v>0</v>
      </c>
      <c r="EN53" s="19">
        <f>+Hoja2!EN53+Hoja1!EN53</f>
        <v>0</v>
      </c>
      <c r="EO53" s="24">
        <v>0</v>
      </c>
      <c r="EP53" s="19">
        <f>+Hoja2!EP53+Hoja1!EP53</f>
        <v>0</v>
      </c>
      <c r="EQ53" s="24">
        <v>0</v>
      </c>
      <c r="ER53" s="19">
        <f>+Hoja2!ER53+Hoja1!ER53</f>
        <v>0</v>
      </c>
      <c r="ES53" s="24">
        <v>0</v>
      </c>
      <c r="ET53" s="19">
        <f>+Hoja2!ET53+Hoja1!ET53</f>
        <v>0</v>
      </c>
      <c r="EU53" s="2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9DBA-A145-4625-A420-D7097BA453A4}">
  <sheetPr codeName="Hoja6"/>
  <dimension ref="A1:EU53"/>
  <sheetViews>
    <sheetView topLeftCell="EF1" workbookViewId="0">
      <pane ySplit="1" topLeftCell="A2" activePane="bottomLeft" state="frozen"/>
      <selection activeCell="B1" sqref="B1"/>
      <selection pane="bottomLeft" activeCell="EP1" sqref="EP1"/>
    </sheetView>
  </sheetViews>
  <sheetFormatPr baseColWidth="10" defaultColWidth="12.140625" defaultRowHeight="15" x14ac:dyDescent="0.25"/>
  <cols>
    <col min="1" max="1" width="12.140625" style="26"/>
    <col min="2" max="2" width="12.5703125" style="27" bestFit="1" customWidth="1"/>
    <col min="3" max="3" width="12.140625" style="26"/>
    <col min="4" max="4" width="15.140625" style="26" bestFit="1" customWidth="1"/>
    <col min="5" max="5" width="12.5703125" style="26" bestFit="1" customWidth="1"/>
    <col min="6" max="6" width="15.140625" style="24" bestFit="1" customWidth="1"/>
    <col min="7" max="7" width="13.5703125" style="24" bestFit="1" customWidth="1"/>
    <col min="8" max="8" width="15.140625" style="24" bestFit="1" customWidth="1"/>
    <col min="9" max="9" width="15.140625" bestFit="1" customWidth="1"/>
    <col min="10" max="11" width="14.140625" bestFit="1" customWidth="1"/>
    <col min="12" max="13" width="15.140625" style="24" bestFit="1" customWidth="1"/>
    <col min="14" max="14" width="15.140625" style="26" bestFit="1" customWidth="1"/>
    <col min="15" max="17" width="12.5703125" style="24" bestFit="1" customWidth="1"/>
    <col min="18" max="18" width="15.140625" style="26" bestFit="1" customWidth="1"/>
    <col min="19" max="19" width="12.5703125" style="24" bestFit="1" customWidth="1"/>
    <col min="20" max="20" width="15.140625" style="26" bestFit="1" customWidth="1"/>
    <col min="21" max="21" width="12.5703125" style="24" bestFit="1" customWidth="1"/>
    <col min="22" max="22" width="13.5703125" style="26" bestFit="1" customWidth="1"/>
    <col min="23" max="23" width="12.5703125" style="24" bestFit="1" customWidth="1"/>
    <col min="24" max="24" width="13.5703125" style="26" bestFit="1" customWidth="1"/>
    <col min="25" max="25" width="12.5703125" style="24" bestFit="1" customWidth="1"/>
    <col min="26" max="26" width="13.5703125" style="26" bestFit="1" customWidth="1"/>
    <col min="27" max="27" width="12.5703125" style="24" bestFit="1" customWidth="1"/>
    <col min="28" max="28" width="12.5703125" style="26" bestFit="1" customWidth="1"/>
    <col min="29" max="29" width="12.5703125" style="24" bestFit="1" customWidth="1"/>
    <col min="30" max="30" width="13.5703125" style="26" bestFit="1" customWidth="1"/>
    <col min="31" max="31" width="12.5703125" style="24" bestFit="1" customWidth="1"/>
    <col min="32" max="32" width="13.5703125" style="26" bestFit="1" customWidth="1"/>
    <col min="33" max="33" width="12.5703125" style="24" bestFit="1" customWidth="1"/>
    <col min="34" max="34" width="13.5703125" style="26" bestFit="1" customWidth="1"/>
    <col min="35" max="35" width="12.5703125" style="24" bestFit="1" customWidth="1"/>
    <col min="36" max="36" width="13.5703125" style="26" bestFit="1" customWidth="1"/>
    <col min="37" max="37" width="12.5703125" style="24" bestFit="1" customWidth="1"/>
    <col min="38" max="38" width="13.5703125" style="26" bestFit="1" customWidth="1"/>
    <col min="39" max="39" width="12.5703125" style="24" bestFit="1" customWidth="1"/>
    <col min="40" max="40" width="13.5703125" style="26" bestFit="1" customWidth="1"/>
    <col min="41" max="41" width="12.5703125" style="24" bestFit="1" customWidth="1"/>
    <col min="42" max="42" width="12.5703125" style="26" bestFit="1" customWidth="1"/>
    <col min="43" max="43" width="12.5703125" style="24" bestFit="1" customWidth="1"/>
    <col min="44" max="44" width="12.5703125" style="26" bestFit="1" customWidth="1"/>
    <col min="45" max="45" width="12.5703125" style="24" bestFit="1" customWidth="1"/>
    <col min="46" max="46" width="12.5703125" style="26" bestFit="1" customWidth="1"/>
    <col min="47" max="47" width="12.5703125" style="24" bestFit="1" customWidth="1"/>
    <col min="48" max="48" width="13.5703125" style="26" bestFit="1" customWidth="1"/>
    <col min="49" max="49" width="12.5703125" style="24" bestFit="1" customWidth="1"/>
    <col min="50" max="50" width="12.5703125" style="26" bestFit="1" customWidth="1"/>
    <col min="51" max="51" width="12.5703125" style="24" bestFit="1" customWidth="1"/>
    <col min="52" max="52" width="15.140625" style="26" bestFit="1" customWidth="1"/>
    <col min="53" max="53" width="12.5703125" style="24" bestFit="1" customWidth="1"/>
    <col min="54" max="54" width="12.5703125" style="26" bestFit="1" customWidth="1"/>
    <col min="55" max="55" width="12.5703125" style="24" bestFit="1" customWidth="1"/>
    <col min="56" max="56" width="12.5703125" style="26" bestFit="1" customWidth="1"/>
    <col min="57" max="57" width="12.5703125" style="24" bestFit="1" customWidth="1"/>
    <col min="58" max="58" width="12.5703125" style="26" bestFit="1" customWidth="1"/>
    <col min="59" max="59" width="12.5703125" style="24" bestFit="1" customWidth="1"/>
    <col min="60" max="60" width="12.5703125" style="26" bestFit="1" customWidth="1"/>
    <col min="61" max="61" width="12.5703125" style="24" bestFit="1" customWidth="1"/>
    <col min="62" max="62" width="12.5703125" style="26" bestFit="1" customWidth="1"/>
    <col min="63" max="63" width="12.5703125" style="24" bestFit="1" customWidth="1"/>
    <col min="64" max="64" width="12.5703125" style="26" bestFit="1" customWidth="1"/>
    <col min="65" max="65" width="12.5703125" style="24" bestFit="1" customWidth="1"/>
    <col min="66" max="66" width="12.5703125" style="26" bestFit="1" customWidth="1"/>
    <col min="67" max="67" width="12.5703125" style="24" bestFit="1" customWidth="1"/>
    <col min="68" max="68" width="12.5703125" style="26" bestFit="1" customWidth="1"/>
    <col min="69" max="69" width="12.5703125" style="24" bestFit="1" customWidth="1"/>
    <col min="70" max="70" width="12.5703125" style="26" bestFit="1" customWidth="1"/>
    <col min="71" max="71" width="12.5703125" style="24" bestFit="1" customWidth="1"/>
    <col min="72" max="72" width="12.5703125" style="26" bestFit="1" customWidth="1"/>
    <col min="73" max="73" width="12.5703125" style="24" bestFit="1" customWidth="1"/>
    <col min="74" max="74" width="12.5703125" style="26" bestFit="1" customWidth="1"/>
    <col min="75" max="75" width="12.5703125" style="24" bestFit="1" customWidth="1"/>
    <col min="76" max="76" width="12.5703125" style="26" bestFit="1" customWidth="1"/>
    <col min="77" max="77" width="12.5703125" style="24" bestFit="1" customWidth="1"/>
    <col min="78" max="78" width="12.5703125" style="26" bestFit="1" customWidth="1"/>
    <col min="79" max="79" width="12.5703125" style="24" bestFit="1" customWidth="1"/>
    <col min="80" max="80" width="12.5703125" style="26" bestFit="1" customWidth="1"/>
    <col min="81" max="81" width="12.5703125" style="24" bestFit="1" customWidth="1"/>
    <col min="82" max="82" width="12.5703125" style="26" bestFit="1" customWidth="1"/>
    <col min="83" max="83" width="12.5703125" style="24" bestFit="1" customWidth="1"/>
    <col min="84" max="84" width="12.5703125" style="26" bestFit="1" customWidth="1"/>
    <col min="85" max="85" width="12.5703125" style="24" bestFit="1" customWidth="1"/>
    <col min="86" max="86" width="12.5703125" style="26" bestFit="1" customWidth="1"/>
    <col min="87" max="87" width="12.5703125" style="24" bestFit="1" customWidth="1"/>
    <col min="88" max="88" width="12.5703125" style="26" bestFit="1" customWidth="1"/>
    <col min="89" max="89" width="12.5703125" style="24" bestFit="1" customWidth="1"/>
    <col min="90" max="90" width="12.5703125" style="26" bestFit="1" customWidth="1"/>
    <col min="91" max="91" width="12.5703125" style="24" bestFit="1" customWidth="1"/>
    <col min="92" max="92" width="12.5703125" style="26" bestFit="1" customWidth="1"/>
    <col min="93" max="93" width="12.5703125" style="24" bestFit="1" customWidth="1"/>
    <col min="94" max="94" width="12.5703125" style="26" bestFit="1" customWidth="1"/>
    <col min="95" max="95" width="12.5703125" style="24" bestFit="1" customWidth="1"/>
    <col min="96" max="96" width="12.5703125" style="26" bestFit="1" customWidth="1"/>
    <col min="97" max="97" width="12.5703125" style="24" bestFit="1" customWidth="1"/>
    <col min="98" max="98" width="12.5703125" style="26" bestFit="1" customWidth="1"/>
    <col min="99" max="99" width="12.5703125" style="24" bestFit="1" customWidth="1"/>
    <col min="100" max="100" width="12.5703125" style="26" bestFit="1" customWidth="1"/>
    <col min="101" max="101" width="12.5703125" style="24" bestFit="1" customWidth="1"/>
    <col min="102" max="102" width="12.5703125" style="26" bestFit="1" customWidth="1"/>
    <col min="103" max="103" width="12.5703125" style="24" bestFit="1" customWidth="1"/>
    <col min="104" max="104" width="12.5703125" style="26" bestFit="1" customWidth="1"/>
    <col min="105" max="105" width="12.5703125" style="24" bestFit="1" customWidth="1"/>
    <col min="106" max="106" width="12.5703125" style="26" bestFit="1" customWidth="1"/>
    <col min="107" max="107" width="12.5703125" style="24" bestFit="1" customWidth="1"/>
    <col min="108" max="108" width="12.5703125" style="26" bestFit="1" customWidth="1"/>
    <col min="109" max="109" width="12.5703125" style="24" bestFit="1" customWidth="1"/>
    <col min="110" max="110" width="12.5703125" style="26" bestFit="1" customWidth="1"/>
    <col min="111" max="111" width="12.5703125" style="24" bestFit="1" customWidth="1"/>
    <col min="112" max="112" width="12.5703125" style="26" bestFit="1" customWidth="1"/>
    <col min="113" max="113" width="12.5703125" style="24" bestFit="1" customWidth="1"/>
    <col min="114" max="114" width="12.5703125" style="26" bestFit="1" customWidth="1"/>
    <col min="115" max="115" width="12.5703125" style="24" bestFit="1" customWidth="1"/>
    <col min="116" max="116" width="12.5703125" style="26" bestFit="1" customWidth="1"/>
    <col min="117" max="117" width="12.5703125" style="24" bestFit="1" customWidth="1"/>
    <col min="118" max="118" width="12.5703125" style="26" bestFit="1" customWidth="1"/>
    <col min="119" max="119" width="12.5703125" style="24" bestFit="1" customWidth="1"/>
    <col min="120" max="120" width="12.5703125" style="26" bestFit="1" customWidth="1"/>
    <col min="121" max="121" width="12.5703125" style="24" bestFit="1" customWidth="1"/>
    <col min="122" max="122" width="12.5703125" style="26" bestFit="1" customWidth="1"/>
    <col min="123" max="123" width="12.5703125" style="24" bestFit="1" customWidth="1"/>
    <col min="124" max="124" width="12.5703125" style="26" bestFit="1" customWidth="1"/>
    <col min="125" max="125" width="12.5703125" style="24" bestFit="1" customWidth="1"/>
    <col min="126" max="126" width="12.5703125" style="26" bestFit="1" customWidth="1"/>
    <col min="127" max="127" width="12.5703125" style="24" bestFit="1" customWidth="1"/>
    <col min="128" max="128" width="12.5703125" style="26" bestFit="1" customWidth="1"/>
    <col min="129" max="129" width="12.5703125" style="24" bestFit="1" customWidth="1"/>
    <col min="130" max="130" width="12.5703125" style="26" bestFit="1" customWidth="1"/>
    <col min="131" max="131" width="12.5703125" style="24" bestFit="1" customWidth="1"/>
    <col min="132" max="132" width="12.5703125" style="26" bestFit="1" customWidth="1"/>
    <col min="133" max="133" width="12.5703125" style="24" bestFit="1" customWidth="1"/>
    <col min="134" max="134" width="12.5703125" style="26" bestFit="1" customWidth="1"/>
    <col min="135" max="135" width="12.5703125" style="24" bestFit="1" customWidth="1"/>
    <col min="136" max="136" width="12.5703125" style="26" bestFit="1" customWidth="1"/>
    <col min="137" max="137" width="12.5703125" style="24" bestFit="1" customWidth="1"/>
    <col min="138" max="138" width="12.5703125" style="26" bestFit="1" customWidth="1"/>
    <col min="139" max="139" width="12.5703125" style="24" bestFit="1" customWidth="1"/>
    <col min="140" max="140" width="12.5703125" style="26" bestFit="1" customWidth="1"/>
    <col min="141" max="141" width="12.5703125" style="24" bestFit="1" customWidth="1"/>
    <col min="142" max="142" width="12.5703125" style="26" bestFit="1" customWidth="1"/>
    <col min="143" max="143" width="12.5703125" style="24" bestFit="1" customWidth="1"/>
    <col min="144" max="144" width="12.5703125" style="26" bestFit="1" customWidth="1"/>
    <col min="145" max="145" width="12.5703125" style="24" bestFit="1" customWidth="1"/>
    <col min="146" max="146" width="12.5703125" style="26" bestFit="1" customWidth="1"/>
    <col min="147" max="147" width="12.5703125" style="24" bestFit="1" customWidth="1"/>
    <col min="148" max="148" width="12.5703125" style="26" bestFit="1" customWidth="1"/>
    <col min="149" max="149" width="12.5703125" style="24" bestFit="1" customWidth="1"/>
    <col min="150" max="150" width="12.5703125" style="26" bestFit="1" customWidth="1"/>
    <col min="151" max="151" width="12.5703125" style="24" bestFit="1" customWidth="1"/>
    <col min="152" max="16384" width="12.140625" style="26"/>
  </cols>
  <sheetData>
    <row r="1" spans="1:151" s="21" customFormat="1" ht="42.75" customHeight="1" x14ac:dyDescent="0.25">
      <c r="A1" s="20" t="s">
        <v>0</v>
      </c>
      <c r="B1" s="20" t="s">
        <v>1</v>
      </c>
      <c r="C1" s="20" t="s">
        <v>2</v>
      </c>
      <c r="D1" s="20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8" t="s">
        <v>8</v>
      </c>
      <c r="J1" s="28" t="s">
        <v>9</v>
      </c>
      <c r="K1" s="28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0" t="s">
        <v>16</v>
      </c>
      <c r="R1" s="21" t="s">
        <v>85</v>
      </c>
      <c r="S1" s="20" t="s">
        <v>86</v>
      </c>
      <c r="T1" s="21" t="s">
        <v>87</v>
      </c>
      <c r="U1" s="20" t="s">
        <v>88</v>
      </c>
      <c r="V1" s="21" t="s">
        <v>89</v>
      </c>
      <c r="W1" s="20" t="s">
        <v>90</v>
      </c>
      <c r="X1" s="21" t="s">
        <v>91</v>
      </c>
      <c r="Y1" s="20" t="s">
        <v>92</v>
      </c>
      <c r="Z1" s="21" t="s">
        <v>93</v>
      </c>
      <c r="AA1" s="20" t="s">
        <v>94</v>
      </c>
      <c r="AB1" s="21" t="s">
        <v>95</v>
      </c>
      <c r="AC1" s="20" t="s">
        <v>96</v>
      </c>
      <c r="AD1" s="21" t="s">
        <v>97</v>
      </c>
      <c r="AE1" s="20" t="s">
        <v>98</v>
      </c>
      <c r="AF1" s="21" t="s">
        <v>99</v>
      </c>
      <c r="AG1" s="20" t="s">
        <v>100</v>
      </c>
      <c r="AH1" s="21" t="s">
        <v>101</v>
      </c>
      <c r="AI1" s="20" t="s">
        <v>102</v>
      </c>
      <c r="AJ1" s="21" t="s">
        <v>103</v>
      </c>
      <c r="AK1" s="20" t="s">
        <v>104</v>
      </c>
      <c r="AL1" s="21" t="s">
        <v>105</v>
      </c>
      <c r="AM1" s="20" t="s">
        <v>106</v>
      </c>
      <c r="AN1" s="21" t="s">
        <v>107</v>
      </c>
      <c r="AO1" s="20" t="s">
        <v>108</v>
      </c>
      <c r="AP1" s="21" t="s">
        <v>109</v>
      </c>
      <c r="AQ1" s="20" t="s">
        <v>110</v>
      </c>
      <c r="AR1" s="21" t="s">
        <v>111</v>
      </c>
      <c r="AS1" s="20" t="s">
        <v>112</v>
      </c>
      <c r="AT1" s="21" t="s">
        <v>113</v>
      </c>
      <c r="AU1" s="20" t="s">
        <v>114</v>
      </c>
      <c r="AV1" s="21" t="s">
        <v>115</v>
      </c>
      <c r="AW1" s="20" t="s">
        <v>116</v>
      </c>
      <c r="AX1" s="21" t="s">
        <v>117</v>
      </c>
      <c r="AY1" s="20" t="s">
        <v>118</v>
      </c>
      <c r="AZ1" s="21" t="s">
        <v>119</v>
      </c>
      <c r="BA1" s="20" t="s">
        <v>120</v>
      </c>
      <c r="BB1" s="21" t="s">
        <v>121</v>
      </c>
      <c r="BC1" s="20" t="s">
        <v>122</v>
      </c>
      <c r="BD1" s="21" t="s">
        <v>123</v>
      </c>
      <c r="BE1" s="20" t="s">
        <v>124</v>
      </c>
      <c r="BF1" s="21" t="s">
        <v>125</v>
      </c>
      <c r="BG1" s="20" t="s">
        <v>126</v>
      </c>
      <c r="BH1" s="21" t="s">
        <v>127</v>
      </c>
      <c r="BI1" s="20" t="s">
        <v>128</v>
      </c>
      <c r="BJ1" s="21" t="s">
        <v>129</v>
      </c>
      <c r="BK1" s="20" t="s">
        <v>130</v>
      </c>
      <c r="BL1" s="21" t="s">
        <v>131</v>
      </c>
      <c r="BM1" s="20" t="s">
        <v>132</v>
      </c>
      <c r="BN1" s="21" t="s">
        <v>133</v>
      </c>
      <c r="BO1" s="20" t="s">
        <v>134</v>
      </c>
      <c r="BP1" s="21" t="s">
        <v>135</v>
      </c>
      <c r="BQ1" s="20" t="s">
        <v>136</v>
      </c>
      <c r="BR1" s="21" t="s">
        <v>137</v>
      </c>
      <c r="BS1" s="20" t="s">
        <v>138</v>
      </c>
      <c r="BT1" s="21" t="s">
        <v>139</v>
      </c>
      <c r="BU1" s="20" t="s">
        <v>140</v>
      </c>
      <c r="BV1" s="21" t="s">
        <v>141</v>
      </c>
      <c r="BW1" s="20" t="s">
        <v>142</v>
      </c>
      <c r="BX1" s="21" t="s">
        <v>143</v>
      </c>
      <c r="BY1" s="20" t="s">
        <v>144</v>
      </c>
      <c r="BZ1" s="21" t="s">
        <v>145</v>
      </c>
      <c r="CA1" s="20" t="s">
        <v>146</v>
      </c>
      <c r="CB1" s="21" t="s">
        <v>147</v>
      </c>
      <c r="CC1" s="20" t="s">
        <v>148</v>
      </c>
      <c r="CD1" s="21" t="s">
        <v>149</v>
      </c>
      <c r="CE1" s="20" t="s">
        <v>150</v>
      </c>
      <c r="CF1" s="21" t="s">
        <v>151</v>
      </c>
      <c r="CG1" s="20" t="s">
        <v>152</v>
      </c>
      <c r="CH1" s="21" t="s">
        <v>153</v>
      </c>
      <c r="CI1" s="20" t="s">
        <v>154</v>
      </c>
      <c r="CJ1" s="21" t="s">
        <v>155</v>
      </c>
      <c r="CK1" s="20" t="s">
        <v>156</v>
      </c>
      <c r="CL1" s="21" t="s">
        <v>157</v>
      </c>
      <c r="CM1" s="20" t="s">
        <v>158</v>
      </c>
      <c r="CN1" s="21" t="s">
        <v>159</v>
      </c>
      <c r="CO1" s="20" t="s">
        <v>160</v>
      </c>
      <c r="CP1" s="21" t="s">
        <v>161</v>
      </c>
      <c r="CQ1" s="20" t="s">
        <v>162</v>
      </c>
      <c r="CR1" s="21" t="s">
        <v>163</v>
      </c>
      <c r="CS1" s="20" t="s">
        <v>164</v>
      </c>
      <c r="CT1" s="21" t="s">
        <v>165</v>
      </c>
      <c r="CU1" s="20" t="s">
        <v>166</v>
      </c>
      <c r="CV1" s="21" t="s">
        <v>167</v>
      </c>
      <c r="CW1" s="20" t="s">
        <v>168</v>
      </c>
      <c r="CX1" s="21" t="s">
        <v>169</v>
      </c>
      <c r="CY1" s="20" t="s">
        <v>170</v>
      </c>
      <c r="CZ1" s="21" t="s">
        <v>171</v>
      </c>
      <c r="DA1" s="20" t="s">
        <v>172</v>
      </c>
      <c r="DB1" s="21" t="s">
        <v>173</v>
      </c>
      <c r="DC1" s="20" t="s">
        <v>174</v>
      </c>
      <c r="DD1" s="21" t="s">
        <v>175</v>
      </c>
      <c r="DE1" s="20" t="s">
        <v>176</v>
      </c>
      <c r="DF1" s="21" t="s">
        <v>177</v>
      </c>
      <c r="DG1" s="20" t="s">
        <v>178</v>
      </c>
      <c r="DH1" s="21" t="s">
        <v>179</v>
      </c>
      <c r="DI1" s="20" t="s">
        <v>180</v>
      </c>
      <c r="DJ1" s="21" t="s">
        <v>181</v>
      </c>
      <c r="DK1" s="20" t="s">
        <v>182</v>
      </c>
      <c r="DL1" s="21" t="s">
        <v>183</v>
      </c>
      <c r="DM1" s="20" t="s">
        <v>184</v>
      </c>
      <c r="DN1" s="21" t="s">
        <v>185</v>
      </c>
      <c r="DO1" s="20" t="s">
        <v>186</v>
      </c>
      <c r="DP1" s="21" t="s">
        <v>187</v>
      </c>
      <c r="DQ1" s="20" t="s">
        <v>188</v>
      </c>
      <c r="DR1" s="21" t="s">
        <v>189</v>
      </c>
      <c r="DS1" s="20" t="s">
        <v>190</v>
      </c>
      <c r="DT1" s="21" t="s">
        <v>191</v>
      </c>
      <c r="DU1" s="20" t="s">
        <v>192</v>
      </c>
      <c r="DV1" s="21" t="s">
        <v>193</v>
      </c>
      <c r="DW1" s="20" t="s">
        <v>194</v>
      </c>
      <c r="DX1" s="21" t="s">
        <v>195</v>
      </c>
      <c r="DY1" s="20" t="s">
        <v>196</v>
      </c>
      <c r="DZ1" s="21" t="s">
        <v>197</v>
      </c>
      <c r="EA1" s="20" t="s">
        <v>198</v>
      </c>
      <c r="EB1" s="21" t="s">
        <v>199</v>
      </c>
      <c r="EC1" s="20" t="s">
        <v>200</v>
      </c>
      <c r="ED1" s="21" t="s">
        <v>201</v>
      </c>
      <c r="EE1" s="20" t="s">
        <v>202</v>
      </c>
      <c r="EF1" s="21" t="s">
        <v>203</v>
      </c>
      <c r="EG1" s="20" t="s">
        <v>204</v>
      </c>
      <c r="EH1" s="21" t="s">
        <v>205</v>
      </c>
      <c r="EI1" s="20" t="s">
        <v>206</v>
      </c>
      <c r="EJ1" s="21" t="s">
        <v>207</v>
      </c>
      <c r="EK1" s="20" t="s">
        <v>208</v>
      </c>
      <c r="EL1" s="21" t="s">
        <v>209</v>
      </c>
      <c r="EM1" s="20" t="s">
        <v>210</v>
      </c>
      <c r="EN1" s="21" t="s">
        <v>211</v>
      </c>
      <c r="EO1" s="20" t="s">
        <v>212</v>
      </c>
      <c r="EP1" s="21" t="s">
        <v>213</v>
      </c>
      <c r="EQ1" s="20" t="s">
        <v>214</v>
      </c>
      <c r="ER1" s="21" t="s">
        <v>215</v>
      </c>
      <c r="ES1" s="20" t="s">
        <v>216</v>
      </c>
      <c r="ET1" s="21" t="s">
        <v>217</v>
      </c>
      <c r="EU1" s="20" t="s">
        <v>218</v>
      </c>
    </row>
    <row r="2" spans="1:151" s="19" customFormat="1" x14ac:dyDescent="0.25">
      <c r="A2" s="22" t="s">
        <v>17</v>
      </c>
      <c r="B2" s="23">
        <v>4</v>
      </c>
      <c r="C2" s="22" t="s">
        <v>18</v>
      </c>
      <c r="D2" s="22">
        <v>709340</v>
      </c>
      <c r="E2" s="19">
        <v>809</v>
      </c>
      <c r="F2" s="19">
        <v>460639</v>
      </c>
      <c r="G2" s="19">
        <v>41988</v>
      </c>
      <c r="H2" s="19">
        <v>502627</v>
      </c>
      <c r="I2" s="3">
        <f>+INT([1]Hoja1!L2*L2/[1]Hoja1!O2)</f>
        <v>648588</v>
      </c>
      <c r="J2" s="19">
        <f>+INT(([1]Hoja1!M2/[1]Hoja1!O2)*M2)</f>
        <v>302424</v>
      </c>
      <c r="K2" s="19">
        <f>+INT(([1]Hoja1!N2/[1]Hoja1!O2)*M2)</f>
        <v>299763</v>
      </c>
      <c r="L2" s="19">
        <f>+M2+P2</f>
        <v>5651</v>
      </c>
      <c r="M2" s="19">
        <f>+N2+O2</f>
        <v>2661</v>
      </c>
      <c r="N2" s="22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0</v>
      </c>
      <c r="O2" s="19">
        <v>2661</v>
      </c>
      <c r="P2" s="19">
        <v>2990</v>
      </c>
      <c r="Q2" s="22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9">
        <f>+IF('Datos delta'!A2&gt;0,REASIGN(0,'Datos Protegidos'!$I2,PARTIDOS!B$11),0)</f>
        <v>0</v>
      </c>
      <c r="S2" s="22">
        <v>2</v>
      </c>
      <c r="T2" s="19">
        <f>+IF('Datos delta'!C2&gt;0,REASIGN(0,'Datos Protegidos'!$I2,PARTIDOS!D$11),0)</f>
        <v>0</v>
      </c>
      <c r="U2" s="22">
        <v>2</v>
      </c>
      <c r="V2" s="19">
        <f>+IF('Datos delta'!E2&gt;0,REASIGN(0,'Datos Protegidos'!$I2,PARTIDOS!F$11),0)</f>
        <v>0</v>
      </c>
      <c r="W2" s="22">
        <v>2</v>
      </c>
      <c r="X2" s="19">
        <f>+IF('Datos delta'!G2&gt;0,REASIGN(0,'Datos Protegidos'!$I2,PARTIDOS!H$11),0)</f>
        <v>0</v>
      </c>
      <c r="Y2" s="22">
        <v>0</v>
      </c>
      <c r="Z2" s="19">
        <f>+IF('Datos delta'!I2&gt;0,REASIGN(0,'Datos Protegidos'!$I2,PARTIDOS!J$11),0)</f>
        <v>0</v>
      </c>
      <c r="AA2" s="22">
        <v>0</v>
      </c>
      <c r="AB2" s="19">
        <f>+IF('Datos delta'!K2&gt;0,REASIGN(0,'Datos Protegidos'!$I2,PARTIDOS!L$11),0)</f>
        <v>0</v>
      </c>
      <c r="AC2" s="22">
        <v>0</v>
      </c>
      <c r="AD2" s="19">
        <f>+IF('Datos delta'!M2&gt;0,REASIGN(0,'Datos Protegidos'!$I2,PARTIDOS!N$11),0)</f>
        <v>0</v>
      </c>
      <c r="AE2" s="22">
        <v>0</v>
      </c>
      <c r="AF2" s="19">
        <f>+IF('Datos delta'!O2&gt;0,REASIGN(0,'Datos Protegidos'!$I2,PARTIDOS!P$11),0)</f>
        <v>0</v>
      </c>
      <c r="AG2" s="22">
        <v>0</v>
      </c>
      <c r="AH2" s="19">
        <f>+IF('Datos delta'!Q2&gt;0,REASIGN(0,'Datos Protegidos'!$I2,PARTIDOS!R$11),0)</f>
        <v>0</v>
      </c>
      <c r="AI2" s="22">
        <v>0</v>
      </c>
      <c r="AJ2" s="19">
        <f>+IF('Datos delta'!S2&gt;0,REASIGN(0,'Datos Protegidos'!$I2,PARTIDOS!T$11),0)</f>
        <v>0</v>
      </c>
      <c r="AK2" s="22">
        <v>0</v>
      </c>
      <c r="AL2" s="19">
        <f>+IF('Datos delta'!U2&gt;0,REASIGN(0,'Datos Protegidos'!$I2,PARTIDOS!V$11),0)</f>
        <v>0</v>
      </c>
      <c r="AM2" s="22">
        <v>0</v>
      </c>
      <c r="AN2" s="19">
        <f>+IF('Datos delta'!W2&gt;0,REASIGN(0,'Datos Protegidos'!$I2,PARTIDOS!X$11),0)</f>
        <v>0</v>
      </c>
      <c r="AO2" s="22">
        <v>0</v>
      </c>
      <c r="AP2" s="19">
        <f>+IF('Datos delta'!Y2&gt;0,REASIGN(0,'Datos Protegidos'!$I2,PARTIDOS!Z$11),0)</f>
        <v>0</v>
      </c>
      <c r="AQ2" s="22">
        <v>0</v>
      </c>
      <c r="AR2" s="19">
        <f>+IF('Datos delta'!AA2&gt;0,REASIGN(0,'Datos Protegidos'!$I2,PARTIDOS!AB$11),0)</f>
        <v>0</v>
      </c>
      <c r="AS2" s="22">
        <v>0</v>
      </c>
      <c r="AT2" s="19">
        <f>+IF('Datos delta'!AC2&gt;0,REASIGN(0,'Datos Protegidos'!$I2,PARTIDOS!AD$11),0)</f>
        <v>0</v>
      </c>
      <c r="AU2" s="22">
        <v>0</v>
      </c>
      <c r="AV2" s="19">
        <f>+IF('Datos delta'!AE2&gt;0,REASIGN(0,'Datos Protegidos'!$I2,PARTIDOS!AF$11),0)</f>
        <v>0</v>
      </c>
      <c r="AW2" s="22">
        <v>0</v>
      </c>
      <c r="AX2" s="19">
        <f>+IF('Datos delta'!AG2&gt;0,REASIGN(0,'Datos Protegidos'!$I2,PARTIDOS!AH$11),0)</f>
        <v>0</v>
      </c>
      <c r="AY2" s="22">
        <v>0</v>
      </c>
      <c r="AZ2" s="19">
        <f>+IF('Datos delta'!AI2&gt;0,REASIGN(0,'Datos Protegidos'!$I2,PARTIDOS!AJ$11),0)</f>
        <v>0</v>
      </c>
      <c r="BA2" s="22">
        <v>0</v>
      </c>
      <c r="BB2" s="19">
        <f>+IF('Datos delta'!AK2&gt;0,REASIGN(0,'Datos Protegidos'!$I2,PARTIDOS!AL$11),0)</f>
        <v>0</v>
      </c>
      <c r="BC2" s="22">
        <v>0</v>
      </c>
      <c r="BD2" s="19">
        <f>+IF('Datos delta'!AM2&gt;0,REASIGN(0,'Datos Protegidos'!$I2,PARTIDOS!AN$11),0)</f>
        <v>0</v>
      </c>
      <c r="BE2" s="22">
        <v>0</v>
      </c>
      <c r="BF2" s="19">
        <f>+IF('Datos delta'!AO2&gt;0,REASIGN(0,'Datos Protegidos'!$I2,PARTIDOS!AP$11),0)</f>
        <v>0</v>
      </c>
      <c r="BG2" s="22">
        <v>0</v>
      </c>
      <c r="BH2" s="19">
        <f>+IF('Datos delta'!AQ2&gt;0,REASIGN(0,'Datos Protegidos'!$I2,PARTIDOS!AR$11),0)</f>
        <v>0</v>
      </c>
      <c r="BI2" s="22">
        <v>0</v>
      </c>
      <c r="BJ2" s="19">
        <f>+IF('Datos delta'!AS2&gt;0,REASIGN(0,'Datos Protegidos'!$I2,PARTIDOS!AT$11),0)</f>
        <v>0</v>
      </c>
      <c r="BK2" s="22">
        <v>0</v>
      </c>
      <c r="BL2" s="19">
        <f>+IF('Datos delta'!AU2&gt;0,REASIGN(0,'Datos Protegidos'!$I2,PARTIDOS!AV$11),0)</f>
        <v>0</v>
      </c>
      <c r="BM2" s="22">
        <v>0</v>
      </c>
      <c r="BN2" s="19">
        <f>+IF('Datos delta'!AW2&gt;0,REASIGN(0,'Datos Protegidos'!$I2,PARTIDOS!AX$11),0)</f>
        <v>0</v>
      </c>
      <c r="BO2" s="22">
        <v>0</v>
      </c>
      <c r="BP2" s="19">
        <f>+IF('Datos delta'!AY2&gt;0,REASIGN(0,'Datos Protegidos'!$I2,PARTIDOS!AZ$11),0)</f>
        <v>0</v>
      </c>
      <c r="BQ2" s="22">
        <v>0</v>
      </c>
      <c r="BR2" s="19">
        <f>+IF('Datos delta'!BA2&gt;0,REASIGN(0,'Datos Protegidos'!$I2,PARTIDOS!BB$11),0)</f>
        <v>0</v>
      </c>
      <c r="BS2" s="22">
        <v>0</v>
      </c>
      <c r="BT2" s="19">
        <f>+IF('Datos delta'!BC2&gt;0,REASIGN(0,'Datos Protegidos'!$I2,PARTIDOS!BD$11),0)</f>
        <v>0</v>
      </c>
      <c r="BU2" s="22">
        <v>0</v>
      </c>
      <c r="BV2" s="19">
        <f>+IF('Datos delta'!BE2&gt;0,REASIGN(0,'Datos Protegidos'!$I2,PARTIDOS!BF$11),0)</f>
        <v>0</v>
      </c>
      <c r="BW2" s="22">
        <v>0</v>
      </c>
      <c r="BX2" s="19">
        <f>+IF('Datos delta'!BG2&gt;0,REASIGN(0,'Datos Protegidos'!$I2,PARTIDOS!BH$11),0)</f>
        <v>0</v>
      </c>
      <c r="BY2" s="22">
        <v>0</v>
      </c>
      <c r="BZ2" s="19">
        <f>+IF('Datos delta'!BI2&gt;0,REASIGN(0,'Datos Protegidos'!$I2,PARTIDOS!BJ$11),0)</f>
        <v>0</v>
      </c>
      <c r="CA2" s="22">
        <v>0</v>
      </c>
      <c r="CB2" s="19">
        <f>+IF('Datos delta'!BK2&gt;0,REASIGN(0,'Datos Protegidos'!$I2,PARTIDOS!BL$11),0)</f>
        <v>0</v>
      </c>
      <c r="CC2" s="22">
        <v>0</v>
      </c>
      <c r="CD2" s="19">
        <f>+IF('Datos delta'!BM2&gt;0,REASIGN(0,'Datos Protegidos'!$I2,PARTIDOS!BN$11),0)</f>
        <v>0</v>
      </c>
      <c r="CE2" s="22">
        <v>0</v>
      </c>
      <c r="CF2" s="19">
        <f>+IF('Datos delta'!BO2&gt;0,REASIGN(0,'Datos Protegidos'!$I2,PARTIDOS!BP$11),0)</f>
        <v>0</v>
      </c>
      <c r="CG2" s="22">
        <v>0</v>
      </c>
      <c r="CH2" s="19">
        <f>+IF('Datos delta'!BQ2&gt;0,REASIGN(0,'Datos Protegidos'!$I2,PARTIDOS!BR$11),0)</f>
        <v>0</v>
      </c>
      <c r="CI2" s="22">
        <v>0</v>
      </c>
      <c r="CJ2" s="19">
        <f>+IF('Datos delta'!BS2&gt;0,REASIGN(0,'Datos Protegidos'!$I2,PARTIDOS!BT$11),0)</f>
        <v>0</v>
      </c>
      <c r="CK2" s="22">
        <v>0</v>
      </c>
      <c r="CL2" s="19">
        <f>+IF('Datos delta'!BU2&gt;0,REASIGN(0,'Datos Protegidos'!$I2,PARTIDOS!BV$11),0)</f>
        <v>0</v>
      </c>
      <c r="CM2" s="22">
        <v>0</v>
      </c>
      <c r="CN2" s="19">
        <f>+IF('Datos delta'!BW2&gt;0,REASIGN(0,'Datos Protegidos'!$I2,PARTIDOS!BX$11),0)</f>
        <v>0</v>
      </c>
      <c r="CO2" s="22">
        <v>0</v>
      </c>
      <c r="CP2" s="19">
        <f>+IF('Datos delta'!BY2&gt;0,REASIGN(0,'Datos Protegidos'!$I2,PARTIDOS!BZ$11),0)</f>
        <v>0</v>
      </c>
      <c r="CQ2" s="22">
        <v>0</v>
      </c>
      <c r="CR2" s="19">
        <f>+IF('Datos delta'!CA2&gt;0,REASIGN(0,'Datos Protegidos'!$I2,PARTIDOS!CB$11),0)</f>
        <v>0</v>
      </c>
      <c r="CS2" s="22">
        <v>0</v>
      </c>
      <c r="CT2" s="19">
        <f>+IF('Datos delta'!CC2&gt;0,REASIGN(0,'Datos Protegidos'!$I2,PARTIDOS!CD$11),0)</f>
        <v>0</v>
      </c>
      <c r="CU2" s="22">
        <v>0</v>
      </c>
      <c r="CV2" s="19">
        <f>+IF('Datos delta'!CE2&gt;0,REASIGN(0,'Datos Protegidos'!$I2,PARTIDOS!CF$11),0)</f>
        <v>0</v>
      </c>
      <c r="CW2" s="22">
        <v>0</v>
      </c>
      <c r="CX2" s="19">
        <f>+IF('Datos delta'!CG2&gt;0,REASIGN(0,'Datos Protegidos'!$I2,PARTIDOS!CH$11),0)</f>
        <v>0</v>
      </c>
      <c r="CY2" s="22">
        <v>0</v>
      </c>
      <c r="CZ2" s="19">
        <f>+IF('Datos delta'!CI2&gt;0,REASIGN(0,'Datos Protegidos'!$I2,PARTIDOS!CJ$11),0)</f>
        <v>0</v>
      </c>
      <c r="DA2" s="22">
        <v>0</v>
      </c>
      <c r="DB2" s="19">
        <f>+IF('Datos delta'!CK2&gt;0,REASIGN(0,'Datos Protegidos'!$I2,PARTIDOS!CL$11),0)</f>
        <v>0</v>
      </c>
      <c r="DC2" s="22">
        <v>0</v>
      </c>
      <c r="DD2" s="19">
        <f>+IF('Datos delta'!CM2&gt;0,REASIGN(0,'Datos Protegidos'!$I2,PARTIDOS!CN$11),0)</f>
        <v>0</v>
      </c>
      <c r="DE2" s="22">
        <v>0</v>
      </c>
      <c r="DF2" s="19">
        <f>+IF('Datos delta'!CO2&gt;0,REASIGN(0,'Datos Protegidos'!$I2,PARTIDOS!CP$11),0)</f>
        <v>0</v>
      </c>
      <c r="DG2" s="22">
        <v>0</v>
      </c>
      <c r="DH2" s="19">
        <f>+IF('Datos delta'!CQ2&gt;0,REASIGN(0,'Datos Protegidos'!$I2,PARTIDOS!CR$11),0)</f>
        <v>0</v>
      </c>
      <c r="DI2" s="22">
        <v>0</v>
      </c>
      <c r="DJ2" s="19">
        <f>+IF('Datos delta'!CS2&gt;0,REASIGN(0,'Datos Protegidos'!$I2,PARTIDOS!CT$11),0)</f>
        <v>0</v>
      </c>
      <c r="DK2" s="22">
        <v>0</v>
      </c>
      <c r="DL2" s="19">
        <f>+IF('Datos delta'!CU2&gt;0,REASIGN(0,'Datos Protegidos'!$I2,PARTIDOS!CV$11),0)</f>
        <v>0</v>
      </c>
      <c r="DM2" s="22">
        <v>0</v>
      </c>
      <c r="DN2" s="19">
        <f>+IF('Datos delta'!CW2&gt;0,REASIGN(0,'Datos Protegidos'!$I2,PARTIDOS!CX$11),0)</f>
        <v>0</v>
      </c>
      <c r="DO2" s="22">
        <v>0</v>
      </c>
      <c r="DP2" s="19">
        <f>+IF('Datos delta'!CY2&gt;0,REASIGN(0,'Datos Protegidos'!$I2,PARTIDOS!CZ$11),0)</f>
        <v>0</v>
      </c>
      <c r="DQ2" s="24">
        <v>0</v>
      </c>
      <c r="DR2" s="19">
        <f>+IF('Datos delta'!DA2&gt;0,REASIGN(0,'Datos Protegidos'!$I2,PARTIDOS!DB$11),0)</f>
        <v>0</v>
      </c>
      <c r="DS2" s="24">
        <v>0</v>
      </c>
      <c r="DT2" s="19">
        <f>+IF('Datos delta'!DC2&gt;0,REASIGN(0,'Datos Protegidos'!$I2,PARTIDOS!DD$11),0)</f>
        <v>0</v>
      </c>
      <c r="DU2" s="24">
        <v>0</v>
      </c>
      <c r="DV2" s="19">
        <f>+IF('Datos delta'!DE2&gt;0,REASIGN(0,'Datos Protegidos'!$I2,PARTIDOS!DF$11),0)</f>
        <v>0</v>
      </c>
      <c r="DW2" s="24">
        <v>0</v>
      </c>
      <c r="DX2" s="19">
        <f>+IF('Datos delta'!DG2&gt;0,REASIGN(0,'Datos Protegidos'!$I2,PARTIDOS!DH$11),0)</f>
        <v>0</v>
      </c>
      <c r="DY2" s="24">
        <v>0</v>
      </c>
      <c r="DZ2" s="19">
        <f>+IF('Datos delta'!DI2&gt;0,REASIGN(0,'Datos Protegidos'!$I2,PARTIDOS!DJ$11),0)</f>
        <v>0</v>
      </c>
      <c r="EA2" s="24">
        <v>0</v>
      </c>
      <c r="EB2" s="19">
        <f>+IF('Datos delta'!DK2&gt;0,REASIGN(0,'Datos Protegidos'!$I2,PARTIDOS!DL$11),0)</f>
        <v>0</v>
      </c>
      <c r="EC2" s="24">
        <v>0</v>
      </c>
      <c r="ED2" s="19">
        <f>+IF('Datos delta'!DM2&gt;0,REASIGN(0,'Datos Protegidos'!$I2,PARTIDOS!DN$11),0)</f>
        <v>0</v>
      </c>
      <c r="EE2" s="24">
        <v>0</v>
      </c>
      <c r="EF2" s="19">
        <f>+IF('Datos delta'!DO2&gt;0,REASIGN(0,'Datos Protegidos'!$I2,PARTIDOS!DP$11),0)</f>
        <v>0</v>
      </c>
      <c r="EG2" s="24">
        <v>0</v>
      </c>
      <c r="EH2" s="19">
        <f>+IF('Datos delta'!DQ2&gt;0,REASIGN(0,'Datos Protegidos'!$I2,PARTIDOS!DR$11),0)</f>
        <v>0</v>
      </c>
      <c r="EI2" s="24">
        <v>0</v>
      </c>
      <c r="EJ2" s="19">
        <f>+IF('Datos delta'!DS2&gt;0,REASIGN(0,'Datos Protegidos'!$I2,PARTIDOS!DT$11),0)</f>
        <v>0</v>
      </c>
      <c r="EK2" s="24">
        <v>0</v>
      </c>
      <c r="EL2" s="19">
        <f>+IF('Datos delta'!DU2&gt;0,REASIGN(0,'Datos Protegidos'!$I2,PARTIDOS!DV$11),0)</f>
        <v>0</v>
      </c>
      <c r="EM2" s="24">
        <v>0</v>
      </c>
      <c r="EN2" s="19">
        <f>+IF('Datos delta'!DW2&gt;0,REASIGN(0,'Datos Protegidos'!$I2,PARTIDOS!DX$11),0)</f>
        <v>0</v>
      </c>
      <c r="EO2" s="24">
        <v>0</v>
      </c>
      <c r="EP2" s="19">
        <f>+IF('Datos delta'!DY2&gt;0,REASIGN(0,'Datos Protegidos'!$I2,PARTIDOS!DZ$11),0)</f>
        <v>0</v>
      </c>
      <c r="EQ2" s="24">
        <v>0</v>
      </c>
      <c r="ER2" s="19">
        <f>+IF('Datos delta'!EA2&gt;0,REASIGN(0,'Datos Protegidos'!$I2,PARTIDOS!EB$11),0)</f>
        <v>0</v>
      </c>
      <c r="ES2" s="24">
        <v>0</v>
      </c>
      <c r="ET2" s="19">
        <f>+IF('Datos delta'!EC2&gt;0,REASIGN(0,'Datos Protegidos'!$I2,PARTIDOS!ED$11),0)</f>
        <v>0</v>
      </c>
      <c r="EU2" s="24">
        <v>0</v>
      </c>
    </row>
    <row r="3" spans="1:151" s="19" customFormat="1" x14ac:dyDescent="0.25">
      <c r="A3" s="22" t="s">
        <v>17</v>
      </c>
      <c r="B3" s="23">
        <v>11</v>
      </c>
      <c r="C3" s="22" t="s">
        <v>19</v>
      </c>
      <c r="D3" s="22">
        <v>1238714</v>
      </c>
      <c r="E3" s="19">
        <v>1520</v>
      </c>
      <c r="F3" s="19">
        <v>973238</v>
      </c>
      <c r="G3" s="19">
        <v>29057</v>
      </c>
      <c r="H3" s="19">
        <v>1002295</v>
      </c>
      <c r="I3" s="3">
        <v>3485</v>
      </c>
      <c r="J3" s="19">
        <f>+INT(([1]Hoja1!M3/[1]Hoja1!O3)*M3)</f>
        <v>616079</v>
      </c>
      <c r="K3" s="19">
        <f>+INT(([1]Hoja1!N3/[1]Hoja1!O3)*M3)</f>
        <v>606858</v>
      </c>
      <c r="L3" s="19">
        <f t="shared" ref="L3:L53" si="1">+M3+P3</f>
        <v>17337</v>
      </c>
      <c r="M3" s="19">
        <f t="shared" ref="M3:M53" si="2">+N3+O3</f>
        <v>9221</v>
      </c>
      <c r="N3" s="22">
        <f t="shared" si="0"/>
        <v>0</v>
      </c>
      <c r="O3" s="19">
        <v>9221</v>
      </c>
      <c r="P3" s="19">
        <v>8116</v>
      </c>
      <c r="Q3" s="22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9">
        <f>+IF('Datos delta'!A3&gt;0,REASIGN(0,'Datos Protegidos'!$I3,PARTIDOS!B$11),0)</f>
        <v>0</v>
      </c>
      <c r="S3" s="22">
        <v>3</v>
      </c>
      <c r="T3" s="19">
        <f>+IF('Datos delta'!C3&gt;0,REASIGN(0,'Datos Protegidos'!$I3,PARTIDOS!D$11),0)</f>
        <v>0</v>
      </c>
      <c r="U3" s="22">
        <v>2</v>
      </c>
      <c r="V3" s="19">
        <f>+IF('Datos delta'!E3&gt;0,REASIGN(0,'Datos Protegidos'!$I3,PARTIDOS!F$11),0)</f>
        <v>0</v>
      </c>
      <c r="W3" s="22">
        <v>2</v>
      </c>
      <c r="X3" s="19">
        <f>+IF('Datos delta'!G3&gt;0,REASIGN(0,'Datos Protegidos'!$I3,PARTIDOS!H$11),0)</f>
        <v>0</v>
      </c>
      <c r="Y3" s="22">
        <v>1</v>
      </c>
      <c r="Z3" s="19">
        <f>+IF('Datos delta'!I3&gt;0,REASIGN(0,'Datos Protegidos'!$I3,PARTIDOS!J$11),0)</f>
        <v>0</v>
      </c>
      <c r="AA3" s="22">
        <v>0</v>
      </c>
      <c r="AB3" s="19">
        <f>+IF('Datos delta'!K3&gt;0,REASIGN(0,'Datos Protegidos'!$I3,PARTIDOS!L$11),0)</f>
        <v>0</v>
      </c>
      <c r="AC3" s="22">
        <v>1</v>
      </c>
      <c r="AD3" s="19">
        <f>+IF('Datos delta'!M3&gt;0,REASIGN(0,'Datos Protegidos'!$I3,PARTIDOS!N$11),0)</f>
        <v>0</v>
      </c>
      <c r="AE3" s="22">
        <v>0</v>
      </c>
      <c r="AF3" s="19">
        <f>+IF('Datos delta'!O3&gt;0,REASIGN(0,'Datos Protegidos'!$I3,PARTIDOS!P$11),0)</f>
        <v>0</v>
      </c>
      <c r="AG3" s="22">
        <v>0</v>
      </c>
      <c r="AH3" s="19">
        <f>+IF('Datos delta'!Q3&gt;0,REASIGN(0,'Datos Protegidos'!$I3,PARTIDOS!R$11),0)</f>
        <v>0</v>
      </c>
      <c r="AI3" s="22">
        <v>0</v>
      </c>
      <c r="AJ3" s="19">
        <f>+IF('Datos delta'!S3&gt;0,REASIGN(0,'Datos Protegidos'!$I3,PARTIDOS!T$11),0)</f>
        <v>0</v>
      </c>
      <c r="AK3" s="22">
        <v>0</v>
      </c>
      <c r="AL3" s="19">
        <f>+IF('Datos delta'!U3&gt;0,REASIGN(0,'Datos Protegidos'!$I3,PARTIDOS!V$11),0)</f>
        <v>0</v>
      </c>
      <c r="AM3" s="22">
        <v>0</v>
      </c>
      <c r="AN3" s="19">
        <f>+IF('Datos delta'!W3&gt;0,REASIGN(0,'Datos Protegidos'!$I3,PARTIDOS!X$11),0)</f>
        <v>0</v>
      </c>
      <c r="AO3" s="22">
        <v>0</v>
      </c>
      <c r="AP3" s="19">
        <f>+IF('Datos delta'!Y3&gt;0,REASIGN(0,'Datos Protegidos'!$I3,PARTIDOS!Z$11),0)</f>
        <v>0</v>
      </c>
      <c r="AQ3" s="22">
        <v>0</v>
      </c>
      <c r="AR3" s="19">
        <f>+IF('Datos delta'!AA3&gt;0,REASIGN(0,'Datos Protegidos'!$I3,PARTIDOS!AB$11),0)</f>
        <v>0</v>
      </c>
      <c r="AS3" s="22">
        <v>0</v>
      </c>
      <c r="AT3" s="19">
        <f>+IF('Datos delta'!AC3&gt;0,REASIGN(0,'Datos Protegidos'!$I3,PARTIDOS!AD$11),0)</f>
        <v>0</v>
      </c>
      <c r="AU3" s="22">
        <v>0</v>
      </c>
      <c r="AV3" s="19">
        <f>+IF('Datos delta'!AE3&gt;0,REASIGN(0,'Datos Protegidos'!$I3,PARTIDOS!AF$11),0)</f>
        <v>0</v>
      </c>
      <c r="AW3" s="22">
        <v>0</v>
      </c>
      <c r="AX3" s="19">
        <f>+IF('Datos delta'!AG3&gt;0,REASIGN(0,'Datos Protegidos'!$I3,PARTIDOS!AH$11),0)</f>
        <v>0</v>
      </c>
      <c r="AY3" s="22">
        <v>0</v>
      </c>
      <c r="AZ3" s="19">
        <f>+IF('Datos delta'!AI3&gt;0,REASIGN(0,'Datos Protegidos'!$I3,PARTIDOS!AJ$11),0)</f>
        <v>0</v>
      </c>
      <c r="BA3" s="22">
        <v>0</v>
      </c>
      <c r="BB3" s="19">
        <f>+IF('Datos delta'!AK3&gt;0,REASIGN(0,'Datos Protegidos'!$I3,PARTIDOS!AL$11),0)</f>
        <v>0</v>
      </c>
      <c r="BC3" s="22">
        <v>0</v>
      </c>
      <c r="BD3" s="19">
        <f>+IF('Datos delta'!AM3&gt;0,REASIGN(0,'Datos Protegidos'!$I3,PARTIDOS!AN$11),0)</f>
        <v>0</v>
      </c>
      <c r="BE3" s="22">
        <v>0</v>
      </c>
      <c r="BF3" s="19">
        <f>+IF('Datos delta'!AO3&gt;0,REASIGN(0,'Datos Protegidos'!$I3,PARTIDOS!AP$11),0)</f>
        <v>0</v>
      </c>
      <c r="BG3" s="22">
        <v>0</v>
      </c>
      <c r="BH3" s="19">
        <f>+IF('Datos delta'!AQ3&gt;0,REASIGN(0,'Datos Protegidos'!$I3,PARTIDOS!AR$11),0)</f>
        <v>0</v>
      </c>
      <c r="BI3" s="22">
        <v>0</v>
      </c>
      <c r="BJ3" s="19">
        <f>+IF('Datos delta'!AS3&gt;0,REASIGN(0,'Datos Protegidos'!$I3,PARTIDOS!AT$11),0)</f>
        <v>0</v>
      </c>
      <c r="BK3" s="22">
        <v>0</v>
      </c>
      <c r="BL3" s="19">
        <f>+IF('Datos delta'!AU3&gt;0,REASIGN(0,'Datos Protegidos'!$I3,PARTIDOS!AV$11),0)</f>
        <v>0</v>
      </c>
      <c r="BM3" s="22">
        <v>0</v>
      </c>
      <c r="BN3" s="19">
        <f>+IF('Datos delta'!AW3&gt;0,REASIGN(0,'Datos Protegidos'!$I3,PARTIDOS!AX$11),0)</f>
        <v>0</v>
      </c>
      <c r="BO3" s="22">
        <v>0</v>
      </c>
      <c r="BP3" s="19">
        <f>+IF('Datos delta'!AY3&gt;0,REASIGN(0,'Datos Protegidos'!$I3,PARTIDOS!AZ$11),0)</f>
        <v>0</v>
      </c>
      <c r="BQ3" s="22">
        <v>0</v>
      </c>
      <c r="BR3" s="19">
        <f>+IF('Datos delta'!BA3&gt;0,REASIGN(0,'Datos Protegidos'!$I3,PARTIDOS!BB$11),0)</f>
        <v>0</v>
      </c>
      <c r="BS3" s="22">
        <v>0</v>
      </c>
      <c r="BT3" s="19">
        <f>+IF('Datos delta'!BC3&gt;0,REASIGN(0,'Datos Protegidos'!$I3,PARTIDOS!BD$11),0)</f>
        <v>0</v>
      </c>
      <c r="BU3" s="22">
        <v>0</v>
      </c>
      <c r="BV3" s="19">
        <f>+IF('Datos delta'!BE3&gt;0,REASIGN(0,'Datos Protegidos'!$I3,PARTIDOS!BF$11),0)</f>
        <v>0</v>
      </c>
      <c r="BW3" s="22">
        <v>0</v>
      </c>
      <c r="BX3" s="19">
        <f>+IF('Datos delta'!BG3&gt;0,REASIGN(0,'Datos Protegidos'!$I3,PARTIDOS!BH$11),0)</f>
        <v>0</v>
      </c>
      <c r="BY3" s="22">
        <v>0</v>
      </c>
      <c r="BZ3" s="19">
        <f>+IF('Datos delta'!BI3&gt;0,REASIGN(0,'Datos Protegidos'!$I3,PARTIDOS!BJ$11),0)</f>
        <v>0</v>
      </c>
      <c r="CA3" s="22">
        <v>0</v>
      </c>
      <c r="CB3" s="19">
        <f>+IF('Datos delta'!BK3&gt;0,REASIGN(0,'Datos Protegidos'!$I3,PARTIDOS!BL$11),0)</f>
        <v>0</v>
      </c>
      <c r="CC3" s="22">
        <v>0</v>
      </c>
      <c r="CD3" s="19">
        <f>+IF('Datos delta'!BM3&gt;0,REASIGN(0,'Datos Protegidos'!$I3,PARTIDOS!BN$11),0)</f>
        <v>0</v>
      </c>
      <c r="CE3" s="22">
        <v>0</v>
      </c>
      <c r="CF3" s="19">
        <f>+IF('Datos delta'!BO3&gt;0,REASIGN(0,'Datos Protegidos'!$I3,PARTIDOS!BP$11),0)</f>
        <v>0</v>
      </c>
      <c r="CG3" s="22">
        <v>0</v>
      </c>
      <c r="CH3" s="19">
        <f>+IF('Datos delta'!BQ3&gt;0,REASIGN(0,'Datos Protegidos'!$I3,PARTIDOS!BR$11),0)</f>
        <v>0</v>
      </c>
      <c r="CI3" s="22">
        <v>0</v>
      </c>
      <c r="CJ3" s="19">
        <f>+IF('Datos delta'!BS3&gt;0,REASIGN(0,'Datos Protegidos'!$I3,PARTIDOS!BT$11),0)</f>
        <v>0</v>
      </c>
      <c r="CK3" s="22">
        <v>0</v>
      </c>
      <c r="CL3" s="19">
        <f>+IF('Datos delta'!BU3&gt;0,REASIGN(0,'Datos Protegidos'!$I3,PARTIDOS!BV$11),0)</f>
        <v>0</v>
      </c>
      <c r="CM3" s="22">
        <v>0</v>
      </c>
      <c r="CN3" s="19">
        <f>+IF('Datos delta'!BW3&gt;0,REASIGN(0,'Datos Protegidos'!$I3,PARTIDOS!BX$11),0)</f>
        <v>0</v>
      </c>
      <c r="CO3" s="22">
        <v>0</v>
      </c>
      <c r="CP3" s="19">
        <f>+IF('Datos delta'!BY3&gt;0,REASIGN(0,'Datos Protegidos'!$I3,PARTIDOS!BZ$11),0)</f>
        <v>0</v>
      </c>
      <c r="CQ3" s="22">
        <v>0</v>
      </c>
      <c r="CR3" s="19">
        <f>+IF('Datos delta'!CA3&gt;0,REASIGN(0,'Datos Protegidos'!$I3,PARTIDOS!CB$11),0)</f>
        <v>0</v>
      </c>
      <c r="CS3" s="22">
        <v>0</v>
      </c>
      <c r="CT3" s="19">
        <f>+IF('Datos delta'!CC3&gt;0,REASIGN(0,'Datos Protegidos'!$I3,PARTIDOS!CD$11),0)</f>
        <v>0</v>
      </c>
      <c r="CU3" s="22">
        <v>0</v>
      </c>
      <c r="CV3" s="19">
        <f>+IF('Datos delta'!CE3&gt;0,REASIGN(0,'Datos Protegidos'!$I3,PARTIDOS!CF$11),0)</f>
        <v>0</v>
      </c>
      <c r="CW3" s="22">
        <v>0</v>
      </c>
      <c r="CX3" s="19">
        <f>+IF('Datos delta'!CG3&gt;0,REASIGN(0,'Datos Protegidos'!$I3,PARTIDOS!CH$11),0)</f>
        <v>0</v>
      </c>
      <c r="CY3" s="22">
        <v>0</v>
      </c>
      <c r="CZ3" s="19">
        <f>+IF('Datos delta'!CI3&gt;0,REASIGN(0,'Datos Protegidos'!$I3,PARTIDOS!CJ$11),0)</f>
        <v>0</v>
      </c>
      <c r="DA3" s="22">
        <v>0</v>
      </c>
      <c r="DB3" s="19">
        <f>+IF('Datos delta'!CK3&gt;0,REASIGN(0,'Datos Protegidos'!$I3,PARTIDOS!CL$11),0)</f>
        <v>0</v>
      </c>
      <c r="DC3" s="22">
        <v>0</v>
      </c>
      <c r="DD3" s="19">
        <f>+IF('Datos delta'!CM3&gt;0,REASIGN(0,'Datos Protegidos'!$I3,PARTIDOS!CN$11),0)</f>
        <v>0</v>
      </c>
      <c r="DE3" s="22">
        <v>0</v>
      </c>
      <c r="DF3" s="19">
        <f>+IF('Datos delta'!CO3&gt;0,REASIGN(0,'Datos Protegidos'!$I3,PARTIDOS!CP$11),0)</f>
        <v>0</v>
      </c>
      <c r="DG3" s="22">
        <v>0</v>
      </c>
      <c r="DH3" s="19">
        <f>+IF('Datos delta'!CQ3&gt;0,REASIGN(0,'Datos Protegidos'!$I3,PARTIDOS!CR$11),0)</f>
        <v>0</v>
      </c>
      <c r="DI3" s="22">
        <v>0</v>
      </c>
      <c r="DJ3" s="19">
        <f>+IF('Datos delta'!CS3&gt;0,REASIGN(0,'Datos Protegidos'!$I3,PARTIDOS!CT$11),0)</f>
        <v>0</v>
      </c>
      <c r="DK3" s="22">
        <v>0</v>
      </c>
      <c r="DL3" s="19">
        <f>+IF('Datos delta'!CU3&gt;0,REASIGN(0,'Datos Protegidos'!$I3,PARTIDOS!CV$11),0)</f>
        <v>0</v>
      </c>
      <c r="DM3" s="22">
        <v>0</v>
      </c>
      <c r="DN3" s="19">
        <f>+IF('Datos delta'!CW3&gt;0,REASIGN(0,'Datos Protegidos'!$I3,PARTIDOS!CX$11),0)</f>
        <v>0</v>
      </c>
      <c r="DO3" s="22">
        <v>0</v>
      </c>
      <c r="DP3" s="19">
        <f>+IF('Datos delta'!CY3&gt;0,REASIGN(0,'Datos Protegidos'!$I3,PARTIDOS!CZ$11),0)</f>
        <v>0</v>
      </c>
      <c r="DQ3" s="24">
        <v>0</v>
      </c>
      <c r="DR3" s="19">
        <f>+IF('Datos delta'!DA3&gt;0,REASIGN(0,'Datos Protegidos'!$I3,PARTIDOS!DB$11),0)</f>
        <v>0</v>
      </c>
      <c r="DS3" s="24">
        <v>0</v>
      </c>
      <c r="DT3" s="19">
        <f>+IF('Datos delta'!DC3&gt;0,REASIGN(0,'Datos Protegidos'!$I3,PARTIDOS!DD$11),0)</f>
        <v>0</v>
      </c>
      <c r="DU3" s="24">
        <v>0</v>
      </c>
      <c r="DV3" s="19">
        <f>+IF('Datos delta'!DE3&gt;0,REASIGN(0,'Datos Protegidos'!$I3,PARTIDOS!DF$11),0)</f>
        <v>0</v>
      </c>
      <c r="DW3" s="24">
        <v>0</v>
      </c>
      <c r="DX3" s="19">
        <f>+IF('Datos delta'!DG3&gt;0,REASIGN(0,'Datos Protegidos'!$I3,PARTIDOS!DH$11),0)</f>
        <v>0</v>
      </c>
      <c r="DY3" s="24">
        <v>0</v>
      </c>
      <c r="DZ3" s="19">
        <f>+IF('Datos delta'!DI3&gt;0,REASIGN(0,'Datos Protegidos'!$I3,PARTIDOS!DJ$11),0)</f>
        <v>0</v>
      </c>
      <c r="EA3" s="24">
        <v>0</v>
      </c>
      <c r="EB3" s="19">
        <f>+IF('Datos delta'!DK3&gt;0,REASIGN(0,'Datos Protegidos'!$I3,PARTIDOS!DL$11),0)</f>
        <v>0</v>
      </c>
      <c r="EC3" s="24">
        <v>0</v>
      </c>
      <c r="ED3" s="19">
        <f>+IF('Datos delta'!DM3&gt;0,REASIGN(0,'Datos Protegidos'!$I3,PARTIDOS!DN$11),0)</f>
        <v>0</v>
      </c>
      <c r="EE3" s="24">
        <v>0</v>
      </c>
      <c r="EF3" s="19">
        <f>+IF('Datos delta'!DO3&gt;0,REASIGN(0,'Datos Protegidos'!$I3,PARTIDOS!DP$11),0)</f>
        <v>0</v>
      </c>
      <c r="EG3" s="24">
        <v>0</v>
      </c>
      <c r="EH3" s="19">
        <f>+IF('Datos delta'!DQ3&gt;0,REASIGN(0,'Datos Protegidos'!$I3,PARTIDOS!DR$11),0)</f>
        <v>0</v>
      </c>
      <c r="EI3" s="24">
        <v>0</v>
      </c>
      <c r="EJ3" s="19">
        <f>+IF('Datos delta'!DS3&gt;0,REASIGN(0,'Datos Protegidos'!$I3,PARTIDOS!DT$11),0)</f>
        <v>0</v>
      </c>
      <c r="EK3" s="24">
        <v>0</v>
      </c>
      <c r="EL3" s="19">
        <f>+IF('Datos delta'!DU3&gt;0,REASIGN(0,'Datos Protegidos'!$I3,PARTIDOS!DV$11),0)</f>
        <v>0</v>
      </c>
      <c r="EM3" s="24">
        <v>0</v>
      </c>
      <c r="EN3" s="19">
        <f>+IF('Datos delta'!DW3&gt;0,REASIGN(0,'Datos Protegidos'!$I3,PARTIDOS!DX$11),0)</f>
        <v>0</v>
      </c>
      <c r="EO3" s="24">
        <v>0</v>
      </c>
      <c r="EP3" s="19">
        <f>+IF('Datos delta'!DY3&gt;0,REASIGN(0,'Datos Protegidos'!$I3,PARTIDOS!DZ$11),0)</f>
        <v>0</v>
      </c>
      <c r="EQ3" s="24">
        <v>0</v>
      </c>
      <c r="ER3" s="19">
        <f>+IF('Datos delta'!EA3&gt;0,REASIGN(0,'Datos Protegidos'!$I3,PARTIDOS!EB$11),0)</f>
        <v>0</v>
      </c>
      <c r="ES3" s="24">
        <v>0</v>
      </c>
      <c r="ET3" s="19">
        <f>+IF('Datos delta'!EC3&gt;0,REASIGN(0,'Datos Protegidos'!$I3,PARTIDOS!ED$11),0)</f>
        <v>0</v>
      </c>
      <c r="EU3" s="24">
        <v>0</v>
      </c>
    </row>
    <row r="4" spans="1:151" x14ac:dyDescent="0.25">
      <c r="A4" s="24" t="s">
        <v>17</v>
      </c>
      <c r="B4" s="25">
        <v>14</v>
      </c>
      <c r="C4" s="24" t="s">
        <v>20</v>
      </c>
      <c r="D4" s="24">
        <v>785240</v>
      </c>
      <c r="E4" s="26">
        <v>935</v>
      </c>
      <c r="F4" s="26">
        <v>630033</v>
      </c>
      <c r="G4" s="26">
        <v>18308</v>
      </c>
      <c r="H4" s="26">
        <v>648341</v>
      </c>
      <c r="I4" s="1">
        <v>2358</v>
      </c>
      <c r="J4" s="19">
        <f>+INT(([1]Hoja1!M4/[1]Hoja1!O4)*M4)</f>
        <v>444376</v>
      </c>
      <c r="K4" s="19">
        <f>+INT(([1]Hoja1!N4/[1]Hoja1!O4)*M4)</f>
        <v>438971</v>
      </c>
      <c r="L4" s="19">
        <f t="shared" si="1"/>
        <v>12804</v>
      </c>
      <c r="M4" s="19">
        <f t="shared" si="2"/>
        <v>5405</v>
      </c>
      <c r="N4" s="22">
        <f t="shared" si="0"/>
        <v>0</v>
      </c>
      <c r="O4" s="26">
        <v>5405</v>
      </c>
      <c r="P4" s="26">
        <v>7399</v>
      </c>
      <c r="Q4" s="22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9">
        <f>+IF('Datos delta'!A4&gt;0,REASIGN(0,'Datos Protegidos'!$I4,PARTIDOS!B$11),0)</f>
        <v>0</v>
      </c>
      <c r="S4" s="24">
        <v>2</v>
      </c>
      <c r="T4" s="19">
        <f>+IF('Datos delta'!C4&gt;0,REASIGN(0,'Datos Protegidos'!$I4,PARTIDOS!D$11),0)</f>
        <v>0</v>
      </c>
      <c r="U4" s="24">
        <v>2</v>
      </c>
      <c r="V4" s="19">
        <f>+IF('Datos delta'!E4&gt;0,REASIGN(0,'Datos Protegidos'!$I4,PARTIDOS!F$11),0)</f>
        <v>0</v>
      </c>
      <c r="W4" s="24">
        <v>1</v>
      </c>
      <c r="X4" s="19">
        <f>+IF('Datos delta'!G4&gt;0,REASIGN(0,'Datos Protegidos'!$I4,PARTIDOS!H$11),0)</f>
        <v>0</v>
      </c>
      <c r="Y4" s="24">
        <v>1</v>
      </c>
      <c r="Z4" s="19">
        <f>+IF('Datos delta'!I4&gt;0,REASIGN(0,'Datos Protegidos'!$I4,PARTIDOS!J$11),0)</f>
        <v>0</v>
      </c>
      <c r="AA4" s="24">
        <v>0</v>
      </c>
      <c r="AB4" s="19">
        <f>+IF('Datos delta'!K4&gt;0,REASIGN(0,'Datos Protegidos'!$I4,PARTIDOS!L$11),0)</f>
        <v>0</v>
      </c>
      <c r="AC4" s="24">
        <v>0</v>
      </c>
      <c r="AD4" s="19">
        <f>+IF('Datos delta'!M4&gt;0,REASIGN(0,'Datos Protegidos'!$I4,PARTIDOS!N$11),0)</f>
        <v>0</v>
      </c>
      <c r="AE4" s="24">
        <v>0</v>
      </c>
      <c r="AF4" s="19">
        <f>+IF('Datos delta'!O4&gt;0,REASIGN(0,'Datos Protegidos'!$I4,PARTIDOS!P$11),0)</f>
        <v>0</v>
      </c>
      <c r="AG4" s="24">
        <v>0</v>
      </c>
      <c r="AH4" s="19">
        <f>+IF('Datos delta'!Q4&gt;0,REASIGN(0,'Datos Protegidos'!$I4,PARTIDOS!R$11),0)</f>
        <v>0</v>
      </c>
      <c r="AI4" s="24">
        <v>0</v>
      </c>
      <c r="AJ4" s="19">
        <f>+IF('Datos delta'!S4&gt;0,REASIGN(0,'Datos Protegidos'!$I4,PARTIDOS!T$11),0)</f>
        <v>0</v>
      </c>
      <c r="AK4" s="24">
        <v>0</v>
      </c>
      <c r="AL4" s="19">
        <f>+IF('Datos delta'!U4&gt;0,REASIGN(0,'Datos Protegidos'!$I4,PARTIDOS!V$11),0)</f>
        <v>0</v>
      </c>
      <c r="AM4" s="24">
        <v>0</v>
      </c>
      <c r="AN4" s="19">
        <f>+IF('Datos delta'!W4&gt;0,REASIGN(0,'Datos Protegidos'!$I4,PARTIDOS!X$11),0)</f>
        <v>0</v>
      </c>
      <c r="AO4" s="24">
        <v>0</v>
      </c>
      <c r="AP4" s="19">
        <f>+IF('Datos delta'!Y4&gt;0,REASIGN(0,'Datos Protegidos'!$I4,PARTIDOS!Z$11),0)</f>
        <v>0</v>
      </c>
      <c r="AQ4" s="24">
        <v>0</v>
      </c>
      <c r="AR4" s="19">
        <f>+IF('Datos delta'!AA4&gt;0,REASIGN(0,'Datos Protegidos'!$I4,PARTIDOS!AB$11),0)</f>
        <v>0</v>
      </c>
      <c r="AS4" s="24">
        <v>0</v>
      </c>
      <c r="AT4" s="19">
        <f>+IF('Datos delta'!AC4&gt;0,REASIGN(0,'Datos Protegidos'!$I4,PARTIDOS!AD$11),0)</f>
        <v>0</v>
      </c>
      <c r="AU4" s="24">
        <v>0</v>
      </c>
      <c r="AV4" s="19">
        <f>+IF('Datos delta'!AE4&gt;0,REASIGN(0,'Datos Protegidos'!$I4,PARTIDOS!AF$11),0)</f>
        <v>0</v>
      </c>
      <c r="AW4" s="24">
        <v>0</v>
      </c>
      <c r="AX4" s="19">
        <f>+IF('Datos delta'!AG4&gt;0,REASIGN(0,'Datos Protegidos'!$I4,PARTIDOS!AH$11),0)</f>
        <v>0</v>
      </c>
      <c r="AY4" s="24">
        <v>0</v>
      </c>
      <c r="AZ4" s="19">
        <f>+IF('Datos delta'!AI4&gt;0,REASIGN(0,'Datos Protegidos'!$I4,PARTIDOS!AJ$11),0)</f>
        <v>0</v>
      </c>
      <c r="BA4" s="24">
        <v>0</v>
      </c>
      <c r="BB4" s="19">
        <f>+IF('Datos delta'!AK4&gt;0,REASIGN(0,'Datos Protegidos'!$I4,PARTIDOS!AL$11),0)</f>
        <v>0</v>
      </c>
      <c r="BC4" s="24">
        <v>0</v>
      </c>
      <c r="BD4" s="19">
        <f>+IF('Datos delta'!AM4&gt;0,REASIGN(0,'Datos Protegidos'!$I4,PARTIDOS!AN$11),0)</f>
        <v>0</v>
      </c>
      <c r="BE4" s="24">
        <v>0</v>
      </c>
      <c r="BF4" s="19">
        <f>+IF('Datos delta'!AO4&gt;0,REASIGN(0,'Datos Protegidos'!$I4,PARTIDOS!AP$11),0)</f>
        <v>0</v>
      </c>
      <c r="BG4" s="24">
        <v>0</v>
      </c>
      <c r="BH4" s="19">
        <f>+IF('Datos delta'!AQ4&gt;0,REASIGN(0,'Datos Protegidos'!$I4,PARTIDOS!AR$11),0)</f>
        <v>0</v>
      </c>
      <c r="BI4" s="24">
        <v>0</v>
      </c>
      <c r="BJ4" s="19">
        <f>+IF('Datos delta'!AS4&gt;0,REASIGN(0,'Datos Protegidos'!$I4,PARTIDOS!AT$11),0)</f>
        <v>0</v>
      </c>
      <c r="BK4" s="24">
        <v>0</v>
      </c>
      <c r="BL4" s="19">
        <f>+IF('Datos delta'!AU4&gt;0,REASIGN(0,'Datos Protegidos'!$I4,PARTIDOS!AV$11),0)</f>
        <v>0</v>
      </c>
      <c r="BM4" s="24">
        <v>0</v>
      </c>
      <c r="BN4" s="19">
        <f>+IF('Datos delta'!AW4&gt;0,REASIGN(0,'Datos Protegidos'!$I4,PARTIDOS!AX$11),0)</f>
        <v>0</v>
      </c>
      <c r="BO4" s="24">
        <v>0</v>
      </c>
      <c r="BP4" s="19">
        <f>+IF('Datos delta'!AY4&gt;0,REASIGN(0,'Datos Protegidos'!$I4,PARTIDOS!AZ$11),0)</f>
        <v>0</v>
      </c>
      <c r="BQ4" s="24">
        <v>0</v>
      </c>
      <c r="BR4" s="19">
        <f>+IF('Datos delta'!BA4&gt;0,REASIGN(0,'Datos Protegidos'!$I4,PARTIDOS!BB$11),0)</f>
        <v>0</v>
      </c>
      <c r="BS4" s="24">
        <v>0</v>
      </c>
      <c r="BT4" s="19">
        <f>+IF('Datos delta'!BC4&gt;0,REASIGN(0,'Datos Protegidos'!$I4,PARTIDOS!BD$11),0)</f>
        <v>0</v>
      </c>
      <c r="BU4" s="24">
        <v>0</v>
      </c>
      <c r="BV4" s="19">
        <f>+IF('Datos delta'!BE4&gt;0,REASIGN(0,'Datos Protegidos'!$I4,PARTIDOS!BF$11),0)</f>
        <v>0</v>
      </c>
      <c r="BW4" s="24">
        <v>0</v>
      </c>
      <c r="BX4" s="19">
        <f>+IF('Datos delta'!BG4&gt;0,REASIGN(0,'Datos Protegidos'!$I4,PARTIDOS!BH$11),0)</f>
        <v>0</v>
      </c>
      <c r="BY4" s="24">
        <v>0</v>
      </c>
      <c r="BZ4" s="19">
        <f>+IF('Datos delta'!BI4&gt;0,REASIGN(0,'Datos Protegidos'!$I4,PARTIDOS!BJ$11),0)</f>
        <v>0</v>
      </c>
      <c r="CA4" s="24">
        <v>0</v>
      </c>
      <c r="CB4" s="19">
        <f>+IF('Datos delta'!BK4&gt;0,REASIGN(0,'Datos Protegidos'!$I4,PARTIDOS!BL$11),0)</f>
        <v>0</v>
      </c>
      <c r="CC4" s="24">
        <v>0</v>
      </c>
      <c r="CD4" s="19">
        <f>+IF('Datos delta'!BM4&gt;0,REASIGN(0,'Datos Protegidos'!$I4,PARTIDOS!BN$11),0)</f>
        <v>0</v>
      </c>
      <c r="CE4" s="24">
        <v>0</v>
      </c>
      <c r="CF4" s="19">
        <f>+IF('Datos delta'!BO4&gt;0,REASIGN(0,'Datos Protegidos'!$I4,PARTIDOS!BP$11),0)</f>
        <v>0</v>
      </c>
      <c r="CG4" s="24">
        <v>0</v>
      </c>
      <c r="CH4" s="19">
        <f>+IF('Datos delta'!BQ4&gt;0,REASIGN(0,'Datos Protegidos'!$I4,PARTIDOS!BR$11),0)</f>
        <v>0</v>
      </c>
      <c r="CI4" s="24">
        <v>0</v>
      </c>
      <c r="CJ4" s="19">
        <f>+IF('Datos delta'!BS4&gt;0,REASIGN(0,'Datos Protegidos'!$I4,PARTIDOS!BT$11),0)</f>
        <v>0</v>
      </c>
      <c r="CK4" s="24">
        <v>0</v>
      </c>
      <c r="CL4" s="19">
        <f>+IF('Datos delta'!BU4&gt;0,REASIGN(0,'Datos Protegidos'!$I4,PARTIDOS!BV$11),0)</f>
        <v>0</v>
      </c>
      <c r="CM4" s="24">
        <v>0</v>
      </c>
      <c r="CN4" s="19">
        <f>+IF('Datos delta'!BW4&gt;0,REASIGN(0,'Datos Protegidos'!$I4,PARTIDOS!BX$11),0)</f>
        <v>0</v>
      </c>
      <c r="CO4" s="24">
        <v>0</v>
      </c>
      <c r="CP4" s="19">
        <f>+IF('Datos delta'!BY4&gt;0,REASIGN(0,'Datos Protegidos'!$I4,PARTIDOS!BZ$11),0)</f>
        <v>0</v>
      </c>
      <c r="CQ4" s="24">
        <v>0</v>
      </c>
      <c r="CR4" s="19">
        <f>+IF('Datos delta'!CA4&gt;0,REASIGN(0,'Datos Protegidos'!$I4,PARTIDOS!CB$11),0)</f>
        <v>0</v>
      </c>
      <c r="CS4" s="24">
        <v>0</v>
      </c>
      <c r="CT4" s="19">
        <f>+IF('Datos delta'!CC4&gt;0,REASIGN(0,'Datos Protegidos'!$I4,PARTIDOS!CD$11),0)</f>
        <v>0</v>
      </c>
      <c r="CU4" s="24">
        <v>0</v>
      </c>
      <c r="CV4" s="19">
        <f>+IF('Datos delta'!CE4&gt;0,REASIGN(0,'Datos Protegidos'!$I4,PARTIDOS!CF$11),0)</f>
        <v>0</v>
      </c>
      <c r="CW4" s="24">
        <v>0</v>
      </c>
      <c r="CX4" s="19">
        <f>+IF('Datos delta'!CG4&gt;0,REASIGN(0,'Datos Protegidos'!$I4,PARTIDOS!CH$11),0)</f>
        <v>0</v>
      </c>
      <c r="CY4" s="24">
        <v>0</v>
      </c>
      <c r="CZ4" s="19">
        <f>+IF('Datos delta'!CI4&gt;0,REASIGN(0,'Datos Protegidos'!$I4,PARTIDOS!CJ$11),0)</f>
        <v>0</v>
      </c>
      <c r="DA4" s="24">
        <v>0</v>
      </c>
      <c r="DB4" s="19">
        <f>+IF('Datos delta'!CK4&gt;0,REASIGN(0,'Datos Protegidos'!$I4,PARTIDOS!CL$11),0)</f>
        <v>0</v>
      </c>
      <c r="DC4" s="24">
        <v>0</v>
      </c>
      <c r="DD4" s="19">
        <f>+IF('Datos delta'!CM4&gt;0,REASIGN(0,'Datos Protegidos'!$I4,PARTIDOS!CN$11),0)</f>
        <v>0</v>
      </c>
      <c r="DE4" s="24">
        <v>0</v>
      </c>
      <c r="DF4" s="19">
        <f>+IF('Datos delta'!CO4&gt;0,REASIGN(0,'Datos Protegidos'!$I4,PARTIDOS!CP$11),0)</f>
        <v>0</v>
      </c>
      <c r="DG4" s="24">
        <v>0</v>
      </c>
      <c r="DH4" s="19">
        <f>+IF('Datos delta'!CQ4&gt;0,REASIGN(0,'Datos Protegidos'!$I4,PARTIDOS!CR$11),0)</f>
        <v>0</v>
      </c>
      <c r="DI4" s="24">
        <v>0</v>
      </c>
      <c r="DJ4" s="19">
        <f>+IF('Datos delta'!CS4&gt;0,REASIGN(0,'Datos Protegidos'!$I4,PARTIDOS!CT$11),0)</f>
        <v>0</v>
      </c>
      <c r="DK4" s="24">
        <v>0</v>
      </c>
      <c r="DL4" s="19">
        <f>+IF('Datos delta'!CU4&gt;0,REASIGN(0,'Datos Protegidos'!$I4,PARTIDOS!CV$11),0)</f>
        <v>0</v>
      </c>
      <c r="DM4" s="24">
        <v>0</v>
      </c>
      <c r="DN4" s="19">
        <f>+IF('Datos delta'!CW4&gt;0,REASIGN(0,'Datos Protegidos'!$I4,PARTIDOS!CX$11),0)</f>
        <v>0</v>
      </c>
      <c r="DO4" s="24">
        <v>0</v>
      </c>
      <c r="DP4" s="19">
        <f>+IF('Datos delta'!CY4&gt;0,REASIGN(0,'Datos Protegidos'!$I4,PARTIDOS!CZ$11),0)</f>
        <v>0</v>
      </c>
      <c r="DQ4" s="24">
        <v>0</v>
      </c>
      <c r="DR4" s="19">
        <f>+IF('Datos delta'!DA4&gt;0,REASIGN(0,'Datos Protegidos'!$I4,PARTIDOS!DB$11),0)</f>
        <v>0</v>
      </c>
      <c r="DS4" s="24">
        <v>0</v>
      </c>
      <c r="DT4" s="19">
        <f>+IF('Datos delta'!DC4&gt;0,REASIGN(0,'Datos Protegidos'!$I4,PARTIDOS!DD$11),0)</f>
        <v>0</v>
      </c>
      <c r="DU4" s="24">
        <v>0</v>
      </c>
      <c r="DV4" s="19">
        <f>+IF('Datos delta'!DE4&gt;0,REASIGN(0,'Datos Protegidos'!$I4,PARTIDOS!DF$11),0)</f>
        <v>0</v>
      </c>
      <c r="DW4" s="24">
        <v>0</v>
      </c>
      <c r="DX4" s="19">
        <f>+IF('Datos delta'!DG4&gt;0,REASIGN(0,'Datos Protegidos'!$I4,PARTIDOS!DH$11),0)</f>
        <v>0</v>
      </c>
      <c r="DY4" s="24">
        <v>0</v>
      </c>
      <c r="DZ4" s="19">
        <f>+IF('Datos delta'!DI4&gt;0,REASIGN(0,'Datos Protegidos'!$I4,PARTIDOS!DJ$11),0)</f>
        <v>0</v>
      </c>
      <c r="EA4" s="24">
        <v>0</v>
      </c>
      <c r="EB4" s="19">
        <f>+IF('Datos delta'!DK4&gt;0,REASIGN(0,'Datos Protegidos'!$I4,PARTIDOS!DL$11),0)</f>
        <v>0</v>
      </c>
      <c r="EC4" s="24">
        <v>0</v>
      </c>
      <c r="ED4" s="19">
        <f>+IF('Datos delta'!DM4&gt;0,REASIGN(0,'Datos Protegidos'!$I4,PARTIDOS!DN$11),0)</f>
        <v>0</v>
      </c>
      <c r="EE4" s="24">
        <v>0</v>
      </c>
      <c r="EF4" s="19">
        <f>+IF('Datos delta'!DO4&gt;0,REASIGN(0,'Datos Protegidos'!$I4,PARTIDOS!DP$11),0)</f>
        <v>0</v>
      </c>
      <c r="EG4" s="24">
        <v>0</v>
      </c>
      <c r="EH4" s="19">
        <f>+IF('Datos delta'!DQ4&gt;0,REASIGN(0,'Datos Protegidos'!$I4,PARTIDOS!DR$11),0)</f>
        <v>0</v>
      </c>
      <c r="EI4" s="24">
        <v>0</v>
      </c>
      <c r="EJ4" s="19">
        <f>+IF('Datos delta'!DS4&gt;0,REASIGN(0,'Datos Protegidos'!$I4,PARTIDOS!DT$11),0)</f>
        <v>0</v>
      </c>
      <c r="EK4" s="24">
        <v>0</v>
      </c>
      <c r="EL4" s="19">
        <f>+IF('Datos delta'!DU4&gt;0,REASIGN(0,'Datos Protegidos'!$I4,PARTIDOS!DV$11),0)</f>
        <v>0</v>
      </c>
      <c r="EM4" s="24">
        <v>0</v>
      </c>
      <c r="EN4" s="19">
        <f>+IF('Datos delta'!DW4&gt;0,REASIGN(0,'Datos Protegidos'!$I4,PARTIDOS!DX$11),0)</f>
        <v>0</v>
      </c>
      <c r="EO4" s="24">
        <v>0</v>
      </c>
      <c r="EP4" s="19">
        <f>+IF('Datos delta'!DY4&gt;0,REASIGN(0,'Datos Protegidos'!$I4,PARTIDOS!DZ$11),0)</f>
        <v>0</v>
      </c>
      <c r="EQ4" s="24">
        <v>0</v>
      </c>
      <c r="ER4" s="19">
        <f>+IF('Datos delta'!EA4&gt;0,REASIGN(0,'Datos Protegidos'!$I4,PARTIDOS!EB$11),0)</f>
        <v>0</v>
      </c>
      <c r="ES4" s="24">
        <v>0</v>
      </c>
      <c r="ET4" s="19">
        <f>+IF('Datos delta'!EC4&gt;0,REASIGN(0,'Datos Protegidos'!$I4,PARTIDOS!ED$11),0)</f>
        <v>0</v>
      </c>
      <c r="EU4" s="24">
        <v>0</v>
      </c>
    </row>
    <row r="5" spans="1:151" x14ac:dyDescent="0.25">
      <c r="A5" s="24" t="s">
        <v>17</v>
      </c>
      <c r="B5" s="25">
        <v>18</v>
      </c>
      <c r="C5" s="24" t="s">
        <v>21</v>
      </c>
      <c r="D5" s="24">
        <v>912075</v>
      </c>
      <c r="E5" s="26">
        <v>1100</v>
      </c>
      <c r="F5" s="26">
        <v>704847</v>
      </c>
      <c r="G5" s="26">
        <v>50160</v>
      </c>
      <c r="H5" s="26">
        <v>755007</v>
      </c>
      <c r="I5" s="1">
        <v>4827</v>
      </c>
      <c r="J5" s="19">
        <f>+INT(([1]Hoja1!M5/[1]Hoja1!O5)*M5)</f>
        <v>482779</v>
      </c>
      <c r="K5" s="19">
        <f>+INT(([1]Hoja1!N5/[1]Hoja1!O5)*M5)</f>
        <v>478251</v>
      </c>
      <c r="L5" s="19">
        <f t="shared" si="1"/>
        <v>12651</v>
      </c>
      <c r="M5" s="19">
        <f t="shared" si="2"/>
        <v>4528</v>
      </c>
      <c r="N5" s="22">
        <f t="shared" si="0"/>
        <v>0</v>
      </c>
      <c r="O5" s="26">
        <v>4528</v>
      </c>
      <c r="P5" s="26">
        <v>8123</v>
      </c>
      <c r="Q5" s="22">
        <f t="shared" si="3"/>
        <v>7</v>
      </c>
      <c r="R5" s="19">
        <f>+IF('Datos delta'!A5&gt;0,REASIGN(0,'Datos Protegidos'!$I5,PARTIDOS!B$11),0)</f>
        <v>0</v>
      </c>
      <c r="S5" s="24">
        <v>3</v>
      </c>
      <c r="T5" s="19">
        <f>+IF('Datos delta'!C5&gt;0,REASIGN(0,'Datos Protegidos'!$I5,PARTIDOS!D$11),0)</f>
        <v>0</v>
      </c>
      <c r="U5" s="24">
        <v>2</v>
      </c>
      <c r="V5" s="19">
        <f>+IF('Datos delta'!E5&gt;0,REASIGN(0,'Datos Protegidos'!$I5,PARTIDOS!F$11),0)</f>
        <v>0</v>
      </c>
      <c r="W5" s="24">
        <v>1</v>
      </c>
      <c r="X5" s="19">
        <f>+IF('Datos delta'!G5&gt;0,REASIGN(0,'Datos Protegidos'!$I5,PARTIDOS!H$11),0)</f>
        <v>0</v>
      </c>
      <c r="Y5" s="24">
        <v>1</v>
      </c>
      <c r="Z5" s="19">
        <f>+IF('Datos delta'!I5&gt;0,REASIGN(0,'Datos Protegidos'!$I5,PARTIDOS!J$11),0)</f>
        <v>0</v>
      </c>
      <c r="AA5" s="24">
        <v>0</v>
      </c>
      <c r="AB5" s="19">
        <f>+IF('Datos delta'!K5&gt;0,REASIGN(0,'Datos Protegidos'!$I5,PARTIDOS!L$11),0)</f>
        <v>0</v>
      </c>
      <c r="AC5" s="24">
        <v>0</v>
      </c>
      <c r="AD5" s="19">
        <f>+IF('Datos delta'!M5&gt;0,REASIGN(0,'Datos Protegidos'!$I5,PARTIDOS!N$11),0)</f>
        <v>0</v>
      </c>
      <c r="AE5" s="24">
        <v>0</v>
      </c>
      <c r="AF5" s="19">
        <f>+IF('Datos delta'!O5&gt;0,REASIGN(0,'Datos Protegidos'!$I5,PARTIDOS!P$11),0)</f>
        <v>0</v>
      </c>
      <c r="AG5" s="24">
        <v>0</v>
      </c>
      <c r="AH5" s="19">
        <f>+IF('Datos delta'!Q5&gt;0,REASIGN(0,'Datos Protegidos'!$I5,PARTIDOS!R$11),0)</f>
        <v>0</v>
      </c>
      <c r="AI5" s="24">
        <v>0</v>
      </c>
      <c r="AJ5" s="19">
        <f>+IF('Datos delta'!S5&gt;0,REASIGN(0,'Datos Protegidos'!$I5,PARTIDOS!T$11),0)</f>
        <v>0</v>
      </c>
      <c r="AK5" s="24">
        <v>0</v>
      </c>
      <c r="AL5" s="19">
        <f>+IF('Datos delta'!U5&gt;0,REASIGN(0,'Datos Protegidos'!$I5,PARTIDOS!V$11),0)</f>
        <v>0</v>
      </c>
      <c r="AM5" s="24">
        <v>0</v>
      </c>
      <c r="AN5" s="19">
        <f>+IF('Datos delta'!W5&gt;0,REASIGN(0,'Datos Protegidos'!$I5,PARTIDOS!X$11),0)</f>
        <v>0</v>
      </c>
      <c r="AO5" s="24">
        <v>0</v>
      </c>
      <c r="AP5" s="19">
        <f>+IF('Datos delta'!Y5&gt;0,REASIGN(0,'Datos Protegidos'!$I5,PARTIDOS!Z$11),0)</f>
        <v>0</v>
      </c>
      <c r="AQ5" s="24">
        <v>0</v>
      </c>
      <c r="AR5" s="19">
        <f>+IF('Datos delta'!AA5&gt;0,REASIGN(0,'Datos Protegidos'!$I5,PARTIDOS!AB$11),0)</f>
        <v>0</v>
      </c>
      <c r="AS5" s="24">
        <v>0</v>
      </c>
      <c r="AT5" s="19">
        <f>+IF('Datos delta'!AC5&gt;0,REASIGN(0,'Datos Protegidos'!$I5,PARTIDOS!AD$11),0)</f>
        <v>0</v>
      </c>
      <c r="AU5" s="24">
        <v>0</v>
      </c>
      <c r="AV5" s="19">
        <f>+IF('Datos delta'!AE5&gt;0,REASIGN(0,'Datos Protegidos'!$I5,PARTIDOS!AF$11),0)</f>
        <v>0</v>
      </c>
      <c r="AW5" s="24">
        <v>0</v>
      </c>
      <c r="AX5" s="19">
        <f>+IF('Datos delta'!AG5&gt;0,REASIGN(0,'Datos Protegidos'!$I5,PARTIDOS!AH$11),0)</f>
        <v>0</v>
      </c>
      <c r="AY5" s="24">
        <v>0</v>
      </c>
      <c r="AZ5" s="19">
        <f>+IF('Datos delta'!AI5&gt;0,REASIGN(0,'Datos Protegidos'!$I5,PARTIDOS!AJ$11),0)</f>
        <v>0</v>
      </c>
      <c r="BA5" s="24">
        <v>0</v>
      </c>
      <c r="BB5" s="19">
        <f>+IF('Datos delta'!AK5&gt;0,REASIGN(0,'Datos Protegidos'!$I5,PARTIDOS!AL$11),0)</f>
        <v>0</v>
      </c>
      <c r="BC5" s="24">
        <v>0</v>
      </c>
      <c r="BD5" s="19">
        <f>+IF('Datos delta'!AM5&gt;0,REASIGN(0,'Datos Protegidos'!$I5,PARTIDOS!AN$11),0)</f>
        <v>0</v>
      </c>
      <c r="BE5" s="24">
        <v>0</v>
      </c>
      <c r="BF5" s="19">
        <f>+IF('Datos delta'!AO5&gt;0,REASIGN(0,'Datos Protegidos'!$I5,PARTIDOS!AP$11),0)</f>
        <v>0</v>
      </c>
      <c r="BG5" s="24">
        <v>0</v>
      </c>
      <c r="BH5" s="19">
        <f>+IF('Datos delta'!AQ5&gt;0,REASIGN(0,'Datos Protegidos'!$I5,PARTIDOS!AR$11),0)</f>
        <v>0</v>
      </c>
      <c r="BI5" s="24">
        <v>0</v>
      </c>
      <c r="BJ5" s="19">
        <f>+IF('Datos delta'!AS5&gt;0,REASIGN(0,'Datos Protegidos'!$I5,PARTIDOS!AT$11),0)</f>
        <v>0</v>
      </c>
      <c r="BK5" s="24">
        <v>0</v>
      </c>
      <c r="BL5" s="19">
        <f>+IF('Datos delta'!AU5&gt;0,REASIGN(0,'Datos Protegidos'!$I5,PARTIDOS!AV$11),0)</f>
        <v>0</v>
      </c>
      <c r="BM5" s="24">
        <v>0</v>
      </c>
      <c r="BN5" s="19">
        <f>+IF('Datos delta'!AW5&gt;0,REASIGN(0,'Datos Protegidos'!$I5,PARTIDOS!AX$11),0)</f>
        <v>0</v>
      </c>
      <c r="BO5" s="24">
        <v>0</v>
      </c>
      <c r="BP5" s="19">
        <f>+IF('Datos delta'!AY5&gt;0,REASIGN(0,'Datos Protegidos'!$I5,PARTIDOS!AZ$11),0)</f>
        <v>0</v>
      </c>
      <c r="BQ5" s="24">
        <v>0</v>
      </c>
      <c r="BR5" s="19">
        <f>+IF('Datos delta'!BA5&gt;0,REASIGN(0,'Datos Protegidos'!$I5,PARTIDOS!BB$11),0)</f>
        <v>0</v>
      </c>
      <c r="BS5" s="24">
        <v>0</v>
      </c>
      <c r="BT5" s="19">
        <f>+IF('Datos delta'!BC5&gt;0,REASIGN(0,'Datos Protegidos'!$I5,PARTIDOS!BD$11),0)</f>
        <v>0</v>
      </c>
      <c r="BU5" s="24">
        <v>0</v>
      </c>
      <c r="BV5" s="19">
        <f>+IF('Datos delta'!BE5&gt;0,REASIGN(0,'Datos Protegidos'!$I5,PARTIDOS!BF$11),0)</f>
        <v>0</v>
      </c>
      <c r="BW5" s="24">
        <v>0</v>
      </c>
      <c r="BX5" s="19">
        <f>+IF('Datos delta'!BG5&gt;0,REASIGN(0,'Datos Protegidos'!$I5,PARTIDOS!BH$11),0)</f>
        <v>0</v>
      </c>
      <c r="BY5" s="24">
        <v>0</v>
      </c>
      <c r="BZ5" s="19">
        <f>+IF('Datos delta'!BI5&gt;0,REASIGN(0,'Datos Protegidos'!$I5,PARTIDOS!BJ$11),0)</f>
        <v>0</v>
      </c>
      <c r="CA5" s="24">
        <v>0</v>
      </c>
      <c r="CB5" s="19">
        <f>+IF('Datos delta'!BK5&gt;0,REASIGN(0,'Datos Protegidos'!$I5,PARTIDOS!BL$11),0)</f>
        <v>0</v>
      </c>
      <c r="CC5" s="24">
        <v>0</v>
      </c>
      <c r="CD5" s="19">
        <f>+IF('Datos delta'!BM5&gt;0,REASIGN(0,'Datos Protegidos'!$I5,PARTIDOS!BN$11),0)</f>
        <v>0</v>
      </c>
      <c r="CE5" s="24">
        <v>0</v>
      </c>
      <c r="CF5" s="19">
        <f>+IF('Datos delta'!BO5&gt;0,REASIGN(0,'Datos Protegidos'!$I5,PARTIDOS!BP$11),0)</f>
        <v>0</v>
      </c>
      <c r="CG5" s="24">
        <v>0</v>
      </c>
      <c r="CH5" s="19">
        <f>+IF('Datos delta'!BQ5&gt;0,REASIGN(0,'Datos Protegidos'!$I5,PARTIDOS!BR$11),0)</f>
        <v>0</v>
      </c>
      <c r="CI5" s="24">
        <v>0</v>
      </c>
      <c r="CJ5" s="19">
        <f>+IF('Datos delta'!BS5&gt;0,REASIGN(0,'Datos Protegidos'!$I5,PARTIDOS!BT$11),0)</f>
        <v>0</v>
      </c>
      <c r="CK5" s="24">
        <v>0</v>
      </c>
      <c r="CL5" s="19">
        <f>+IF('Datos delta'!BU5&gt;0,REASIGN(0,'Datos Protegidos'!$I5,PARTIDOS!BV$11),0)</f>
        <v>0</v>
      </c>
      <c r="CM5" s="24">
        <v>0</v>
      </c>
      <c r="CN5" s="19">
        <f>+IF('Datos delta'!BW5&gt;0,REASIGN(0,'Datos Protegidos'!$I5,PARTIDOS!BX$11),0)</f>
        <v>0</v>
      </c>
      <c r="CO5" s="24">
        <v>0</v>
      </c>
      <c r="CP5" s="19">
        <f>+IF('Datos delta'!BY5&gt;0,REASIGN(0,'Datos Protegidos'!$I5,PARTIDOS!BZ$11),0)</f>
        <v>0</v>
      </c>
      <c r="CQ5" s="24">
        <v>0</v>
      </c>
      <c r="CR5" s="19">
        <f>+IF('Datos delta'!CA5&gt;0,REASIGN(0,'Datos Protegidos'!$I5,PARTIDOS!CB$11),0)</f>
        <v>0</v>
      </c>
      <c r="CS5" s="24">
        <v>0</v>
      </c>
      <c r="CT5" s="19">
        <f>+IF('Datos delta'!CC5&gt;0,REASIGN(0,'Datos Protegidos'!$I5,PARTIDOS!CD$11),0)</f>
        <v>0</v>
      </c>
      <c r="CU5" s="24">
        <v>0</v>
      </c>
      <c r="CV5" s="19">
        <f>+IF('Datos delta'!CE5&gt;0,REASIGN(0,'Datos Protegidos'!$I5,PARTIDOS!CF$11),0)</f>
        <v>0</v>
      </c>
      <c r="CW5" s="24">
        <v>0</v>
      </c>
      <c r="CX5" s="19">
        <f>+IF('Datos delta'!CG5&gt;0,REASIGN(0,'Datos Protegidos'!$I5,PARTIDOS!CH$11),0)</f>
        <v>0</v>
      </c>
      <c r="CY5" s="24">
        <v>0</v>
      </c>
      <c r="CZ5" s="19">
        <f>+IF('Datos delta'!CI5&gt;0,REASIGN(0,'Datos Protegidos'!$I5,PARTIDOS!CJ$11),0)</f>
        <v>0</v>
      </c>
      <c r="DA5" s="24">
        <v>0</v>
      </c>
      <c r="DB5" s="19">
        <f>+IF('Datos delta'!CK5&gt;0,REASIGN(0,'Datos Protegidos'!$I5,PARTIDOS!CL$11),0)</f>
        <v>0</v>
      </c>
      <c r="DC5" s="24">
        <v>0</v>
      </c>
      <c r="DD5" s="19">
        <f>+IF('Datos delta'!CM5&gt;0,REASIGN(0,'Datos Protegidos'!$I5,PARTIDOS!CN$11),0)</f>
        <v>0</v>
      </c>
      <c r="DE5" s="24">
        <v>0</v>
      </c>
      <c r="DF5" s="19">
        <f>+IF('Datos delta'!CO5&gt;0,REASIGN(0,'Datos Protegidos'!$I5,PARTIDOS!CP$11),0)</f>
        <v>0</v>
      </c>
      <c r="DG5" s="24">
        <v>0</v>
      </c>
      <c r="DH5" s="19">
        <f>+IF('Datos delta'!CQ5&gt;0,REASIGN(0,'Datos Protegidos'!$I5,PARTIDOS!CR$11),0)</f>
        <v>0</v>
      </c>
      <c r="DI5" s="24">
        <v>0</v>
      </c>
      <c r="DJ5" s="19">
        <f>+IF('Datos delta'!CS5&gt;0,REASIGN(0,'Datos Protegidos'!$I5,PARTIDOS!CT$11),0)</f>
        <v>0</v>
      </c>
      <c r="DK5" s="24">
        <v>0</v>
      </c>
      <c r="DL5" s="19">
        <f>+IF('Datos delta'!CU5&gt;0,REASIGN(0,'Datos Protegidos'!$I5,PARTIDOS!CV$11),0)</f>
        <v>0</v>
      </c>
      <c r="DM5" s="24">
        <v>0</v>
      </c>
      <c r="DN5" s="19">
        <f>+IF('Datos delta'!CW5&gt;0,REASIGN(0,'Datos Protegidos'!$I5,PARTIDOS!CX$11),0)</f>
        <v>0</v>
      </c>
      <c r="DO5" s="24">
        <v>0</v>
      </c>
      <c r="DP5" s="19">
        <f>+IF('Datos delta'!CY5&gt;0,REASIGN(0,'Datos Protegidos'!$I5,PARTIDOS!CZ$11),0)</f>
        <v>0</v>
      </c>
      <c r="DQ5" s="24">
        <v>0</v>
      </c>
      <c r="DR5" s="19">
        <f>+IF('Datos delta'!DA5&gt;0,REASIGN(0,'Datos Protegidos'!$I5,PARTIDOS!DB$11),0)</f>
        <v>0</v>
      </c>
      <c r="DS5" s="24">
        <v>0</v>
      </c>
      <c r="DT5" s="19">
        <f>+IF('Datos delta'!DC5&gt;0,REASIGN(0,'Datos Protegidos'!$I5,PARTIDOS!DD$11),0)</f>
        <v>0</v>
      </c>
      <c r="DU5" s="24">
        <v>0</v>
      </c>
      <c r="DV5" s="19">
        <f>+IF('Datos delta'!DE5&gt;0,REASIGN(0,'Datos Protegidos'!$I5,PARTIDOS!DF$11),0)</f>
        <v>0</v>
      </c>
      <c r="DW5" s="24">
        <v>0</v>
      </c>
      <c r="DX5" s="19">
        <f>+IF('Datos delta'!DG5&gt;0,REASIGN(0,'Datos Protegidos'!$I5,PARTIDOS!DH$11),0)</f>
        <v>0</v>
      </c>
      <c r="DY5" s="24">
        <v>0</v>
      </c>
      <c r="DZ5" s="19">
        <f>+IF('Datos delta'!DI5&gt;0,REASIGN(0,'Datos Protegidos'!$I5,PARTIDOS!DJ$11),0)</f>
        <v>0</v>
      </c>
      <c r="EA5" s="24">
        <v>0</v>
      </c>
      <c r="EB5" s="19">
        <f>+IF('Datos delta'!DK5&gt;0,REASIGN(0,'Datos Protegidos'!$I5,PARTIDOS!DL$11),0)</f>
        <v>0</v>
      </c>
      <c r="EC5" s="24">
        <v>0</v>
      </c>
      <c r="ED5" s="19">
        <f>+IF('Datos delta'!DM5&gt;0,REASIGN(0,'Datos Protegidos'!$I5,PARTIDOS!DN$11),0)</f>
        <v>0</v>
      </c>
      <c r="EE5" s="24">
        <v>0</v>
      </c>
      <c r="EF5" s="19">
        <f>+IF('Datos delta'!DO5&gt;0,REASIGN(0,'Datos Protegidos'!$I5,PARTIDOS!DP$11),0)</f>
        <v>0</v>
      </c>
      <c r="EG5" s="24">
        <v>0</v>
      </c>
      <c r="EH5" s="19">
        <f>+IF('Datos delta'!DQ5&gt;0,REASIGN(0,'Datos Protegidos'!$I5,PARTIDOS!DR$11),0)</f>
        <v>0</v>
      </c>
      <c r="EI5" s="24">
        <v>0</v>
      </c>
      <c r="EJ5" s="19">
        <f>+IF('Datos delta'!DS5&gt;0,REASIGN(0,'Datos Protegidos'!$I5,PARTIDOS!DT$11),0)</f>
        <v>0</v>
      </c>
      <c r="EK5" s="24">
        <v>0</v>
      </c>
      <c r="EL5" s="19">
        <f>+IF('Datos delta'!DU5&gt;0,REASIGN(0,'Datos Protegidos'!$I5,PARTIDOS!DV$11),0)</f>
        <v>0</v>
      </c>
      <c r="EM5" s="24">
        <v>0</v>
      </c>
      <c r="EN5" s="19">
        <f>+IF('Datos delta'!DW5&gt;0,REASIGN(0,'Datos Protegidos'!$I5,PARTIDOS!DX$11),0)</f>
        <v>0</v>
      </c>
      <c r="EO5" s="24">
        <v>0</v>
      </c>
      <c r="EP5" s="19">
        <f>+IF('Datos delta'!DY5&gt;0,REASIGN(0,'Datos Protegidos'!$I5,PARTIDOS!DZ$11),0)</f>
        <v>0</v>
      </c>
      <c r="EQ5" s="24">
        <v>0</v>
      </c>
      <c r="ER5" s="19">
        <f>+IF('Datos delta'!EA5&gt;0,REASIGN(0,'Datos Protegidos'!$I5,PARTIDOS!EB$11),0)</f>
        <v>0</v>
      </c>
      <c r="ES5" s="24">
        <v>0</v>
      </c>
      <c r="ET5" s="19">
        <f>+IF('Datos delta'!EC5&gt;0,REASIGN(0,'Datos Protegidos'!$I5,PARTIDOS!ED$11),0)</f>
        <v>0</v>
      </c>
      <c r="EU5" s="24">
        <v>0</v>
      </c>
    </row>
    <row r="6" spans="1:151" x14ac:dyDescent="0.25">
      <c r="A6" s="24" t="s">
        <v>17</v>
      </c>
      <c r="B6" s="25">
        <v>21</v>
      </c>
      <c r="C6" s="24" t="s">
        <v>22</v>
      </c>
      <c r="D6" s="24">
        <v>519932</v>
      </c>
      <c r="E6" s="26">
        <v>650</v>
      </c>
      <c r="F6" s="26">
        <v>391497</v>
      </c>
      <c r="G6" s="26">
        <v>7522</v>
      </c>
      <c r="H6" s="26">
        <v>399019</v>
      </c>
      <c r="I6">
        <v>914</v>
      </c>
      <c r="J6" s="19">
        <f>+INT(([1]Hoja1!M6/[1]Hoja1!O6)*M6)</f>
        <v>250681</v>
      </c>
      <c r="K6" s="19">
        <f>+INT(([1]Hoja1!N6/[1]Hoja1!O6)*M6)</f>
        <v>247336</v>
      </c>
      <c r="L6" s="19">
        <f t="shared" si="1"/>
        <v>7993</v>
      </c>
      <c r="M6" s="19">
        <f t="shared" si="2"/>
        <v>3345</v>
      </c>
      <c r="N6" s="22">
        <f t="shared" si="0"/>
        <v>0</v>
      </c>
      <c r="O6" s="26">
        <v>3345</v>
      </c>
      <c r="P6" s="26">
        <v>4648</v>
      </c>
      <c r="Q6" s="22">
        <f t="shared" si="3"/>
        <v>5</v>
      </c>
      <c r="R6" s="19">
        <f>+IF('Datos delta'!A6&gt;0,REASIGN(0,'Datos Protegidos'!$I6,PARTIDOS!B$11),0)</f>
        <v>0</v>
      </c>
      <c r="S6" s="24">
        <v>3</v>
      </c>
      <c r="T6" s="19">
        <f>+IF('Datos delta'!C6&gt;0,REASIGN(0,'Datos Protegidos'!$I6,PARTIDOS!D$11),0)</f>
        <v>0</v>
      </c>
      <c r="U6" s="24">
        <v>1</v>
      </c>
      <c r="V6" s="19">
        <f>+IF('Datos delta'!E6&gt;0,REASIGN(0,'Datos Protegidos'!$I6,PARTIDOS!F$11),0)</f>
        <v>0</v>
      </c>
      <c r="W6" s="24">
        <v>1</v>
      </c>
      <c r="X6" s="19">
        <f>+IF('Datos delta'!G6&gt;0,REASIGN(0,'Datos Protegidos'!$I6,PARTIDOS!H$11),0)</f>
        <v>0</v>
      </c>
      <c r="Y6" s="24">
        <v>0</v>
      </c>
      <c r="Z6" s="19">
        <f>+IF('Datos delta'!I6&gt;0,REASIGN(0,'Datos Protegidos'!$I6,PARTIDOS!J$11),0)</f>
        <v>0</v>
      </c>
      <c r="AA6" s="24">
        <v>0</v>
      </c>
      <c r="AB6" s="19">
        <f>+IF('Datos delta'!K6&gt;0,REASIGN(0,'Datos Protegidos'!$I6,PARTIDOS!L$11),0)</f>
        <v>0</v>
      </c>
      <c r="AC6" s="24">
        <v>0</v>
      </c>
      <c r="AD6" s="19">
        <f>+IF('Datos delta'!M6&gt;0,REASIGN(0,'Datos Protegidos'!$I6,PARTIDOS!N$11),0)</f>
        <v>0</v>
      </c>
      <c r="AE6" s="24">
        <v>0</v>
      </c>
      <c r="AF6" s="19">
        <f>+IF('Datos delta'!O6&gt;0,REASIGN(0,'Datos Protegidos'!$I6,PARTIDOS!P$11),0)</f>
        <v>0</v>
      </c>
      <c r="AG6" s="24">
        <v>0</v>
      </c>
      <c r="AH6" s="19">
        <f>+IF('Datos delta'!Q6&gt;0,REASIGN(0,'Datos Protegidos'!$I6,PARTIDOS!R$11),0)</f>
        <v>0</v>
      </c>
      <c r="AI6" s="24">
        <v>0</v>
      </c>
      <c r="AJ6" s="19">
        <f>+IF('Datos delta'!S6&gt;0,REASIGN(0,'Datos Protegidos'!$I6,PARTIDOS!T$11),0)</f>
        <v>0</v>
      </c>
      <c r="AK6" s="24">
        <v>0</v>
      </c>
      <c r="AL6" s="19">
        <f>+IF('Datos delta'!U6&gt;0,REASIGN(0,'Datos Protegidos'!$I6,PARTIDOS!V$11),0)</f>
        <v>0</v>
      </c>
      <c r="AM6" s="24">
        <v>0</v>
      </c>
      <c r="AN6" s="19">
        <f>+IF('Datos delta'!W6&gt;0,REASIGN(0,'Datos Protegidos'!$I6,PARTIDOS!X$11),0)</f>
        <v>0</v>
      </c>
      <c r="AO6" s="24">
        <v>0</v>
      </c>
      <c r="AP6" s="19">
        <f>+IF('Datos delta'!Y6&gt;0,REASIGN(0,'Datos Protegidos'!$I6,PARTIDOS!Z$11),0)</f>
        <v>0</v>
      </c>
      <c r="AQ6" s="24">
        <v>0</v>
      </c>
      <c r="AR6" s="19">
        <f>+IF('Datos delta'!AA6&gt;0,REASIGN(0,'Datos Protegidos'!$I6,PARTIDOS!AB$11),0)</f>
        <v>0</v>
      </c>
      <c r="AS6" s="24">
        <v>0</v>
      </c>
      <c r="AT6" s="19">
        <f>+IF('Datos delta'!AC6&gt;0,REASIGN(0,'Datos Protegidos'!$I6,PARTIDOS!AD$11),0)</f>
        <v>0</v>
      </c>
      <c r="AU6" s="24">
        <v>0</v>
      </c>
      <c r="AV6" s="19">
        <f>+IF('Datos delta'!AE6&gt;0,REASIGN(0,'Datos Protegidos'!$I6,PARTIDOS!AF$11),0)</f>
        <v>0</v>
      </c>
      <c r="AW6" s="24">
        <v>0</v>
      </c>
      <c r="AX6" s="19">
        <f>+IF('Datos delta'!AG6&gt;0,REASIGN(0,'Datos Protegidos'!$I6,PARTIDOS!AH$11),0)</f>
        <v>0</v>
      </c>
      <c r="AY6" s="24">
        <v>0</v>
      </c>
      <c r="AZ6" s="19">
        <f>+IF('Datos delta'!AI6&gt;0,REASIGN(0,'Datos Protegidos'!$I6,PARTIDOS!AJ$11),0)</f>
        <v>0</v>
      </c>
      <c r="BA6" s="24">
        <v>0</v>
      </c>
      <c r="BB6" s="19">
        <f>+IF('Datos delta'!AK6&gt;0,REASIGN(0,'Datos Protegidos'!$I6,PARTIDOS!AL$11),0)</f>
        <v>0</v>
      </c>
      <c r="BC6" s="24">
        <v>0</v>
      </c>
      <c r="BD6" s="19">
        <f>+IF('Datos delta'!AM6&gt;0,REASIGN(0,'Datos Protegidos'!$I6,PARTIDOS!AN$11),0)</f>
        <v>0</v>
      </c>
      <c r="BE6" s="24">
        <v>0</v>
      </c>
      <c r="BF6" s="19">
        <f>+IF('Datos delta'!AO6&gt;0,REASIGN(0,'Datos Protegidos'!$I6,PARTIDOS!AP$11),0)</f>
        <v>0</v>
      </c>
      <c r="BG6" s="24">
        <v>0</v>
      </c>
      <c r="BH6" s="19">
        <f>+IF('Datos delta'!AQ6&gt;0,REASIGN(0,'Datos Protegidos'!$I6,PARTIDOS!AR$11),0)</f>
        <v>0</v>
      </c>
      <c r="BI6" s="24">
        <v>0</v>
      </c>
      <c r="BJ6" s="19">
        <f>+IF('Datos delta'!AS6&gt;0,REASIGN(0,'Datos Protegidos'!$I6,PARTIDOS!AT$11),0)</f>
        <v>0</v>
      </c>
      <c r="BK6" s="24">
        <v>0</v>
      </c>
      <c r="BL6" s="19">
        <f>+IF('Datos delta'!AU6&gt;0,REASIGN(0,'Datos Protegidos'!$I6,PARTIDOS!AV$11),0)</f>
        <v>0</v>
      </c>
      <c r="BM6" s="24">
        <v>0</v>
      </c>
      <c r="BN6" s="19">
        <f>+IF('Datos delta'!AW6&gt;0,REASIGN(0,'Datos Protegidos'!$I6,PARTIDOS!AX$11),0)</f>
        <v>0</v>
      </c>
      <c r="BO6" s="24">
        <v>0</v>
      </c>
      <c r="BP6" s="19">
        <f>+IF('Datos delta'!AY6&gt;0,REASIGN(0,'Datos Protegidos'!$I6,PARTIDOS!AZ$11),0)</f>
        <v>0</v>
      </c>
      <c r="BQ6" s="24">
        <v>0</v>
      </c>
      <c r="BR6" s="19">
        <f>+IF('Datos delta'!BA6&gt;0,REASIGN(0,'Datos Protegidos'!$I6,PARTIDOS!BB$11),0)</f>
        <v>0</v>
      </c>
      <c r="BS6" s="24">
        <v>0</v>
      </c>
      <c r="BT6" s="19">
        <f>+IF('Datos delta'!BC6&gt;0,REASIGN(0,'Datos Protegidos'!$I6,PARTIDOS!BD$11),0)</f>
        <v>0</v>
      </c>
      <c r="BU6" s="24">
        <v>0</v>
      </c>
      <c r="BV6" s="19">
        <f>+IF('Datos delta'!BE6&gt;0,REASIGN(0,'Datos Protegidos'!$I6,PARTIDOS!BF$11),0)</f>
        <v>0</v>
      </c>
      <c r="BW6" s="24">
        <v>0</v>
      </c>
      <c r="BX6" s="19">
        <f>+IF('Datos delta'!BG6&gt;0,REASIGN(0,'Datos Protegidos'!$I6,PARTIDOS!BH$11),0)</f>
        <v>0</v>
      </c>
      <c r="BY6" s="24">
        <v>0</v>
      </c>
      <c r="BZ6" s="19">
        <f>+IF('Datos delta'!BI6&gt;0,REASIGN(0,'Datos Protegidos'!$I6,PARTIDOS!BJ$11),0)</f>
        <v>0</v>
      </c>
      <c r="CA6" s="24">
        <v>0</v>
      </c>
      <c r="CB6" s="19">
        <f>+IF('Datos delta'!BK6&gt;0,REASIGN(0,'Datos Protegidos'!$I6,PARTIDOS!BL$11),0)</f>
        <v>0</v>
      </c>
      <c r="CC6" s="24">
        <v>0</v>
      </c>
      <c r="CD6" s="19">
        <f>+IF('Datos delta'!BM6&gt;0,REASIGN(0,'Datos Protegidos'!$I6,PARTIDOS!BN$11),0)</f>
        <v>0</v>
      </c>
      <c r="CE6" s="24">
        <v>0</v>
      </c>
      <c r="CF6" s="19">
        <f>+IF('Datos delta'!BO6&gt;0,REASIGN(0,'Datos Protegidos'!$I6,PARTIDOS!BP$11),0)</f>
        <v>0</v>
      </c>
      <c r="CG6" s="24">
        <v>0</v>
      </c>
      <c r="CH6" s="19">
        <f>+IF('Datos delta'!BQ6&gt;0,REASIGN(0,'Datos Protegidos'!$I6,PARTIDOS!BR$11),0)</f>
        <v>0</v>
      </c>
      <c r="CI6" s="24">
        <v>0</v>
      </c>
      <c r="CJ6" s="19">
        <f>+IF('Datos delta'!BS6&gt;0,REASIGN(0,'Datos Protegidos'!$I6,PARTIDOS!BT$11),0)</f>
        <v>0</v>
      </c>
      <c r="CK6" s="24">
        <v>0</v>
      </c>
      <c r="CL6" s="19">
        <f>+IF('Datos delta'!BU6&gt;0,REASIGN(0,'Datos Protegidos'!$I6,PARTIDOS!BV$11),0)</f>
        <v>0</v>
      </c>
      <c r="CM6" s="24">
        <v>0</v>
      </c>
      <c r="CN6" s="19">
        <f>+IF('Datos delta'!BW6&gt;0,REASIGN(0,'Datos Protegidos'!$I6,PARTIDOS!BX$11),0)</f>
        <v>0</v>
      </c>
      <c r="CO6" s="24">
        <v>0</v>
      </c>
      <c r="CP6" s="19">
        <f>+IF('Datos delta'!BY6&gt;0,REASIGN(0,'Datos Protegidos'!$I6,PARTIDOS!BZ$11),0)</f>
        <v>0</v>
      </c>
      <c r="CQ6" s="24">
        <v>0</v>
      </c>
      <c r="CR6" s="19">
        <f>+IF('Datos delta'!CA6&gt;0,REASIGN(0,'Datos Protegidos'!$I6,PARTIDOS!CB$11),0)</f>
        <v>0</v>
      </c>
      <c r="CS6" s="24">
        <v>0</v>
      </c>
      <c r="CT6" s="19">
        <f>+IF('Datos delta'!CC6&gt;0,REASIGN(0,'Datos Protegidos'!$I6,PARTIDOS!CD$11),0)</f>
        <v>0</v>
      </c>
      <c r="CU6" s="24">
        <v>0</v>
      </c>
      <c r="CV6" s="19">
        <f>+IF('Datos delta'!CE6&gt;0,REASIGN(0,'Datos Protegidos'!$I6,PARTIDOS!CF$11),0)</f>
        <v>0</v>
      </c>
      <c r="CW6" s="24">
        <v>0</v>
      </c>
      <c r="CX6" s="19">
        <f>+IF('Datos delta'!CG6&gt;0,REASIGN(0,'Datos Protegidos'!$I6,PARTIDOS!CH$11),0)</f>
        <v>0</v>
      </c>
      <c r="CY6" s="24">
        <v>0</v>
      </c>
      <c r="CZ6" s="19">
        <f>+IF('Datos delta'!CI6&gt;0,REASIGN(0,'Datos Protegidos'!$I6,PARTIDOS!CJ$11),0)</f>
        <v>0</v>
      </c>
      <c r="DA6" s="24">
        <v>0</v>
      </c>
      <c r="DB6" s="19">
        <f>+IF('Datos delta'!CK6&gt;0,REASIGN(0,'Datos Protegidos'!$I6,PARTIDOS!CL$11),0)</f>
        <v>0</v>
      </c>
      <c r="DC6" s="24">
        <v>0</v>
      </c>
      <c r="DD6" s="19">
        <f>+IF('Datos delta'!CM6&gt;0,REASIGN(0,'Datos Protegidos'!$I6,PARTIDOS!CN$11),0)</f>
        <v>0</v>
      </c>
      <c r="DE6" s="24">
        <v>0</v>
      </c>
      <c r="DF6" s="19">
        <f>+IF('Datos delta'!CO6&gt;0,REASIGN(0,'Datos Protegidos'!$I6,PARTIDOS!CP$11),0)</f>
        <v>0</v>
      </c>
      <c r="DG6" s="24">
        <v>0</v>
      </c>
      <c r="DH6" s="19">
        <f>+IF('Datos delta'!CQ6&gt;0,REASIGN(0,'Datos Protegidos'!$I6,PARTIDOS!CR$11),0)</f>
        <v>0</v>
      </c>
      <c r="DI6" s="24">
        <v>0</v>
      </c>
      <c r="DJ6" s="19">
        <f>+IF('Datos delta'!CS6&gt;0,REASIGN(0,'Datos Protegidos'!$I6,PARTIDOS!CT$11),0)</f>
        <v>0</v>
      </c>
      <c r="DK6" s="24">
        <v>0</v>
      </c>
      <c r="DL6" s="19">
        <f>+IF('Datos delta'!CU6&gt;0,REASIGN(0,'Datos Protegidos'!$I6,PARTIDOS!CV$11),0)</f>
        <v>0</v>
      </c>
      <c r="DM6" s="24">
        <v>0</v>
      </c>
      <c r="DN6" s="19">
        <f>+IF('Datos delta'!CW6&gt;0,REASIGN(0,'Datos Protegidos'!$I6,PARTIDOS!CX$11),0)</f>
        <v>0</v>
      </c>
      <c r="DO6" s="24">
        <v>0</v>
      </c>
      <c r="DP6" s="19">
        <f>+IF('Datos delta'!CY6&gt;0,REASIGN(0,'Datos Protegidos'!$I6,PARTIDOS!CZ$11),0)</f>
        <v>0</v>
      </c>
      <c r="DQ6" s="24">
        <v>0</v>
      </c>
      <c r="DR6" s="19">
        <f>+IF('Datos delta'!DA6&gt;0,REASIGN(0,'Datos Protegidos'!$I6,PARTIDOS!DB$11),0)</f>
        <v>0</v>
      </c>
      <c r="DS6" s="24">
        <v>0</v>
      </c>
      <c r="DT6" s="19">
        <f>+IF('Datos delta'!DC6&gt;0,REASIGN(0,'Datos Protegidos'!$I6,PARTIDOS!DD$11),0)</f>
        <v>0</v>
      </c>
      <c r="DU6" s="24">
        <v>0</v>
      </c>
      <c r="DV6" s="19">
        <f>+IF('Datos delta'!DE6&gt;0,REASIGN(0,'Datos Protegidos'!$I6,PARTIDOS!DF$11),0)</f>
        <v>0</v>
      </c>
      <c r="DW6" s="24">
        <v>0</v>
      </c>
      <c r="DX6" s="19">
        <f>+IF('Datos delta'!DG6&gt;0,REASIGN(0,'Datos Protegidos'!$I6,PARTIDOS!DH$11),0)</f>
        <v>0</v>
      </c>
      <c r="DY6" s="24">
        <v>0</v>
      </c>
      <c r="DZ6" s="19">
        <f>+IF('Datos delta'!DI6&gt;0,REASIGN(0,'Datos Protegidos'!$I6,PARTIDOS!DJ$11),0)</f>
        <v>0</v>
      </c>
      <c r="EA6" s="24">
        <v>0</v>
      </c>
      <c r="EB6" s="19">
        <f>+IF('Datos delta'!DK6&gt;0,REASIGN(0,'Datos Protegidos'!$I6,PARTIDOS!DL$11),0)</f>
        <v>0</v>
      </c>
      <c r="EC6" s="24">
        <v>0</v>
      </c>
      <c r="ED6" s="19">
        <f>+IF('Datos delta'!DM6&gt;0,REASIGN(0,'Datos Protegidos'!$I6,PARTIDOS!DN$11),0)</f>
        <v>0</v>
      </c>
      <c r="EE6" s="24">
        <v>0</v>
      </c>
      <c r="EF6" s="19">
        <f>+IF('Datos delta'!DO6&gt;0,REASIGN(0,'Datos Protegidos'!$I6,PARTIDOS!DP$11),0)</f>
        <v>0</v>
      </c>
      <c r="EG6" s="24">
        <v>0</v>
      </c>
      <c r="EH6" s="19">
        <f>+IF('Datos delta'!DQ6&gt;0,REASIGN(0,'Datos Protegidos'!$I6,PARTIDOS!DR$11),0)</f>
        <v>0</v>
      </c>
      <c r="EI6" s="24">
        <v>0</v>
      </c>
      <c r="EJ6" s="19">
        <f>+IF('Datos delta'!DS6&gt;0,REASIGN(0,'Datos Protegidos'!$I6,PARTIDOS!DT$11),0)</f>
        <v>0</v>
      </c>
      <c r="EK6" s="24">
        <v>0</v>
      </c>
      <c r="EL6" s="19">
        <f>+IF('Datos delta'!DU6&gt;0,REASIGN(0,'Datos Protegidos'!$I6,PARTIDOS!DV$11),0)</f>
        <v>0</v>
      </c>
      <c r="EM6" s="24">
        <v>0</v>
      </c>
      <c r="EN6" s="19">
        <f>+IF('Datos delta'!DW6&gt;0,REASIGN(0,'Datos Protegidos'!$I6,PARTIDOS!DX$11),0)</f>
        <v>0</v>
      </c>
      <c r="EO6" s="24">
        <v>0</v>
      </c>
      <c r="EP6" s="19">
        <f>+IF('Datos delta'!DY6&gt;0,REASIGN(0,'Datos Protegidos'!$I6,PARTIDOS!DZ$11),0)</f>
        <v>0</v>
      </c>
      <c r="EQ6" s="24">
        <v>0</v>
      </c>
      <c r="ER6" s="19">
        <f>+IF('Datos delta'!EA6&gt;0,REASIGN(0,'Datos Protegidos'!$I6,PARTIDOS!EB$11),0)</f>
        <v>0</v>
      </c>
      <c r="ES6" s="24">
        <v>0</v>
      </c>
      <c r="ET6" s="19">
        <f>+IF('Datos delta'!EC6&gt;0,REASIGN(0,'Datos Protegidos'!$I6,PARTIDOS!ED$11),0)</f>
        <v>0</v>
      </c>
      <c r="EU6" s="24">
        <v>0</v>
      </c>
    </row>
    <row r="7" spans="1:151" x14ac:dyDescent="0.25">
      <c r="A7" s="24" t="s">
        <v>17</v>
      </c>
      <c r="B7" s="25">
        <v>23</v>
      </c>
      <c r="C7" s="24" t="s">
        <v>23</v>
      </c>
      <c r="D7" s="24">
        <v>638099</v>
      </c>
      <c r="E7" s="26">
        <v>892</v>
      </c>
      <c r="F7" s="26">
        <v>513915</v>
      </c>
      <c r="G7" s="26">
        <v>12744</v>
      </c>
      <c r="H7" s="26">
        <v>526659</v>
      </c>
      <c r="I7" s="1">
        <v>1498</v>
      </c>
      <c r="J7" s="19">
        <f>+INT(([1]Hoja1!M7/[1]Hoja1!O7)*M7)</f>
        <v>365106</v>
      </c>
      <c r="K7" s="19">
        <f>+INT(([1]Hoja1!N7/[1]Hoja1!O7)*M7)</f>
        <v>361745</v>
      </c>
      <c r="L7" s="19">
        <f t="shared" si="1"/>
        <v>9298</v>
      </c>
      <c r="M7" s="19">
        <f t="shared" si="2"/>
        <v>3361</v>
      </c>
      <c r="N7" s="22">
        <f t="shared" si="0"/>
        <v>0</v>
      </c>
      <c r="O7" s="26">
        <v>3361</v>
      </c>
      <c r="P7" s="26">
        <v>5937</v>
      </c>
      <c r="Q7" s="22">
        <f t="shared" si="3"/>
        <v>5</v>
      </c>
      <c r="R7" s="19">
        <f>+IF('Datos delta'!A7&gt;0,REASIGN(0,'Datos Protegidos'!$I7,PARTIDOS!B$11),0)</f>
        <v>0</v>
      </c>
      <c r="S7" s="24">
        <v>3</v>
      </c>
      <c r="T7" s="19">
        <f>+IF('Datos delta'!C7&gt;0,REASIGN(0,'Datos Protegidos'!$I7,PARTIDOS!D$11),0)</f>
        <v>0</v>
      </c>
      <c r="U7" s="24">
        <v>1</v>
      </c>
      <c r="V7" s="19">
        <f>+IF('Datos delta'!E7&gt;0,REASIGN(0,'Datos Protegidos'!$I7,PARTIDOS!F$11),0)</f>
        <v>0</v>
      </c>
      <c r="W7" s="24">
        <v>1</v>
      </c>
      <c r="X7" s="19">
        <f>+IF('Datos delta'!G7&gt;0,REASIGN(0,'Datos Protegidos'!$I7,PARTIDOS!H$11),0)</f>
        <v>0</v>
      </c>
      <c r="Y7" s="24">
        <v>0</v>
      </c>
      <c r="Z7" s="19">
        <f>+IF('Datos delta'!I7&gt;0,REASIGN(0,'Datos Protegidos'!$I7,PARTIDOS!J$11),0)</f>
        <v>0</v>
      </c>
      <c r="AA7" s="24">
        <v>0</v>
      </c>
      <c r="AB7" s="19">
        <f>+IF('Datos delta'!K7&gt;0,REASIGN(0,'Datos Protegidos'!$I7,PARTIDOS!L$11),0)</f>
        <v>0</v>
      </c>
      <c r="AC7" s="24">
        <v>0</v>
      </c>
      <c r="AD7" s="19">
        <f>+IF('Datos delta'!M7&gt;0,REASIGN(0,'Datos Protegidos'!$I7,PARTIDOS!N$11),0)</f>
        <v>0</v>
      </c>
      <c r="AE7" s="24">
        <v>0</v>
      </c>
      <c r="AF7" s="19">
        <f>+IF('Datos delta'!O7&gt;0,REASIGN(0,'Datos Protegidos'!$I7,PARTIDOS!P$11),0)</f>
        <v>0</v>
      </c>
      <c r="AG7" s="24">
        <v>0</v>
      </c>
      <c r="AH7" s="19">
        <f>+IF('Datos delta'!Q7&gt;0,REASIGN(0,'Datos Protegidos'!$I7,PARTIDOS!R$11),0)</f>
        <v>0</v>
      </c>
      <c r="AI7" s="24">
        <v>0</v>
      </c>
      <c r="AJ7" s="19">
        <f>+IF('Datos delta'!S7&gt;0,REASIGN(0,'Datos Protegidos'!$I7,PARTIDOS!T$11),0)</f>
        <v>0</v>
      </c>
      <c r="AK7" s="24">
        <v>0</v>
      </c>
      <c r="AL7" s="19">
        <f>+IF('Datos delta'!U7&gt;0,REASIGN(0,'Datos Protegidos'!$I7,PARTIDOS!V$11),0)</f>
        <v>0</v>
      </c>
      <c r="AM7" s="24">
        <v>0</v>
      </c>
      <c r="AN7" s="19">
        <f>+IF('Datos delta'!W7&gt;0,REASIGN(0,'Datos Protegidos'!$I7,PARTIDOS!X$11),0)</f>
        <v>0</v>
      </c>
      <c r="AO7" s="24">
        <v>0</v>
      </c>
      <c r="AP7" s="19">
        <f>+IF('Datos delta'!Y7&gt;0,REASIGN(0,'Datos Protegidos'!$I7,PARTIDOS!Z$11),0)</f>
        <v>0</v>
      </c>
      <c r="AQ7" s="24">
        <v>0</v>
      </c>
      <c r="AR7" s="19">
        <f>+IF('Datos delta'!AA7&gt;0,REASIGN(0,'Datos Protegidos'!$I7,PARTIDOS!AB$11),0)</f>
        <v>0</v>
      </c>
      <c r="AS7" s="24">
        <v>0</v>
      </c>
      <c r="AT7" s="19">
        <f>+IF('Datos delta'!AC7&gt;0,REASIGN(0,'Datos Protegidos'!$I7,PARTIDOS!AD$11),0)</f>
        <v>0</v>
      </c>
      <c r="AU7" s="24">
        <v>0</v>
      </c>
      <c r="AV7" s="19">
        <f>+IF('Datos delta'!AE7&gt;0,REASIGN(0,'Datos Protegidos'!$I7,PARTIDOS!AF$11),0)</f>
        <v>0</v>
      </c>
      <c r="AW7" s="24">
        <v>0</v>
      </c>
      <c r="AX7" s="19">
        <f>+IF('Datos delta'!AG7&gt;0,REASIGN(0,'Datos Protegidos'!$I7,PARTIDOS!AH$11),0)</f>
        <v>0</v>
      </c>
      <c r="AY7" s="24">
        <v>0</v>
      </c>
      <c r="AZ7" s="19">
        <f>+IF('Datos delta'!AI7&gt;0,REASIGN(0,'Datos Protegidos'!$I7,PARTIDOS!AJ$11),0)</f>
        <v>0</v>
      </c>
      <c r="BA7" s="24">
        <v>0</v>
      </c>
      <c r="BB7" s="19">
        <f>+IF('Datos delta'!AK7&gt;0,REASIGN(0,'Datos Protegidos'!$I7,PARTIDOS!AL$11),0)</f>
        <v>0</v>
      </c>
      <c r="BC7" s="24">
        <v>0</v>
      </c>
      <c r="BD7" s="19">
        <f>+IF('Datos delta'!AM7&gt;0,REASIGN(0,'Datos Protegidos'!$I7,PARTIDOS!AN$11),0)</f>
        <v>0</v>
      </c>
      <c r="BE7" s="24">
        <v>0</v>
      </c>
      <c r="BF7" s="19">
        <f>+IF('Datos delta'!AO7&gt;0,REASIGN(0,'Datos Protegidos'!$I7,PARTIDOS!AP$11),0)</f>
        <v>0</v>
      </c>
      <c r="BG7" s="24">
        <v>0</v>
      </c>
      <c r="BH7" s="19">
        <f>+IF('Datos delta'!AQ7&gt;0,REASIGN(0,'Datos Protegidos'!$I7,PARTIDOS!AR$11),0)</f>
        <v>0</v>
      </c>
      <c r="BI7" s="24">
        <v>0</v>
      </c>
      <c r="BJ7" s="19">
        <f>+IF('Datos delta'!AS7&gt;0,REASIGN(0,'Datos Protegidos'!$I7,PARTIDOS!AT$11),0)</f>
        <v>0</v>
      </c>
      <c r="BK7" s="24">
        <v>0</v>
      </c>
      <c r="BL7" s="19">
        <f>+IF('Datos delta'!AU7&gt;0,REASIGN(0,'Datos Protegidos'!$I7,PARTIDOS!AV$11),0)</f>
        <v>0</v>
      </c>
      <c r="BM7" s="24">
        <v>0</v>
      </c>
      <c r="BN7" s="19">
        <f>+IF('Datos delta'!AW7&gt;0,REASIGN(0,'Datos Protegidos'!$I7,PARTIDOS!AX$11),0)</f>
        <v>0</v>
      </c>
      <c r="BO7" s="24">
        <v>0</v>
      </c>
      <c r="BP7" s="19">
        <f>+IF('Datos delta'!AY7&gt;0,REASIGN(0,'Datos Protegidos'!$I7,PARTIDOS!AZ$11),0)</f>
        <v>0</v>
      </c>
      <c r="BQ7" s="24">
        <v>0</v>
      </c>
      <c r="BR7" s="19">
        <f>+IF('Datos delta'!BA7&gt;0,REASIGN(0,'Datos Protegidos'!$I7,PARTIDOS!BB$11),0)</f>
        <v>0</v>
      </c>
      <c r="BS7" s="24">
        <v>0</v>
      </c>
      <c r="BT7" s="19">
        <f>+IF('Datos delta'!BC7&gt;0,REASIGN(0,'Datos Protegidos'!$I7,PARTIDOS!BD$11),0)</f>
        <v>0</v>
      </c>
      <c r="BU7" s="24">
        <v>0</v>
      </c>
      <c r="BV7" s="19">
        <f>+IF('Datos delta'!BE7&gt;0,REASIGN(0,'Datos Protegidos'!$I7,PARTIDOS!BF$11),0)</f>
        <v>0</v>
      </c>
      <c r="BW7" s="24">
        <v>0</v>
      </c>
      <c r="BX7" s="19">
        <f>+IF('Datos delta'!BG7&gt;0,REASIGN(0,'Datos Protegidos'!$I7,PARTIDOS!BH$11),0)</f>
        <v>0</v>
      </c>
      <c r="BY7" s="24">
        <v>0</v>
      </c>
      <c r="BZ7" s="19">
        <f>+IF('Datos delta'!BI7&gt;0,REASIGN(0,'Datos Protegidos'!$I7,PARTIDOS!BJ$11),0)</f>
        <v>0</v>
      </c>
      <c r="CA7" s="24">
        <v>0</v>
      </c>
      <c r="CB7" s="19">
        <f>+IF('Datos delta'!BK7&gt;0,REASIGN(0,'Datos Protegidos'!$I7,PARTIDOS!BL$11),0)</f>
        <v>0</v>
      </c>
      <c r="CC7" s="24">
        <v>0</v>
      </c>
      <c r="CD7" s="19">
        <f>+IF('Datos delta'!BM7&gt;0,REASIGN(0,'Datos Protegidos'!$I7,PARTIDOS!BN$11),0)</f>
        <v>0</v>
      </c>
      <c r="CE7" s="24">
        <v>0</v>
      </c>
      <c r="CF7" s="19">
        <f>+IF('Datos delta'!BO7&gt;0,REASIGN(0,'Datos Protegidos'!$I7,PARTIDOS!BP$11),0)</f>
        <v>0</v>
      </c>
      <c r="CG7" s="24">
        <v>0</v>
      </c>
      <c r="CH7" s="19">
        <f>+IF('Datos delta'!BQ7&gt;0,REASIGN(0,'Datos Protegidos'!$I7,PARTIDOS!BR$11),0)</f>
        <v>0</v>
      </c>
      <c r="CI7" s="24">
        <v>0</v>
      </c>
      <c r="CJ7" s="19">
        <f>+IF('Datos delta'!BS7&gt;0,REASIGN(0,'Datos Protegidos'!$I7,PARTIDOS!BT$11),0)</f>
        <v>0</v>
      </c>
      <c r="CK7" s="24">
        <v>0</v>
      </c>
      <c r="CL7" s="19">
        <f>+IF('Datos delta'!BU7&gt;0,REASIGN(0,'Datos Protegidos'!$I7,PARTIDOS!BV$11),0)</f>
        <v>0</v>
      </c>
      <c r="CM7" s="24">
        <v>0</v>
      </c>
      <c r="CN7" s="19">
        <f>+IF('Datos delta'!BW7&gt;0,REASIGN(0,'Datos Protegidos'!$I7,PARTIDOS!BX$11),0)</f>
        <v>0</v>
      </c>
      <c r="CO7" s="24">
        <v>0</v>
      </c>
      <c r="CP7" s="19">
        <f>+IF('Datos delta'!BY7&gt;0,REASIGN(0,'Datos Protegidos'!$I7,PARTIDOS!BZ$11),0)</f>
        <v>0</v>
      </c>
      <c r="CQ7" s="24">
        <v>0</v>
      </c>
      <c r="CR7" s="19">
        <f>+IF('Datos delta'!CA7&gt;0,REASIGN(0,'Datos Protegidos'!$I7,PARTIDOS!CB$11),0)</f>
        <v>0</v>
      </c>
      <c r="CS7" s="24">
        <v>0</v>
      </c>
      <c r="CT7" s="19">
        <f>+IF('Datos delta'!CC7&gt;0,REASIGN(0,'Datos Protegidos'!$I7,PARTIDOS!CD$11),0)</f>
        <v>0</v>
      </c>
      <c r="CU7" s="24">
        <v>0</v>
      </c>
      <c r="CV7" s="19">
        <f>+IF('Datos delta'!CE7&gt;0,REASIGN(0,'Datos Protegidos'!$I7,PARTIDOS!CF$11),0)</f>
        <v>0</v>
      </c>
      <c r="CW7" s="24">
        <v>0</v>
      </c>
      <c r="CX7" s="19">
        <f>+IF('Datos delta'!CG7&gt;0,REASIGN(0,'Datos Protegidos'!$I7,PARTIDOS!CH$11),0)</f>
        <v>0</v>
      </c>
      <c r="CY7" s="24">
        <v>0</v>
      </c>
      <c r="CZ7" s="19">
        <f>+IF('Datos delta'!CI7&gt;0,REASIGN(0,'Datos Protegidos'!$I7,PARTIDOS!CJ$11),0)</f>
        <v>0</v>
      </c>
      <c r="DA7" s="24">
        <v>0</v>
      </c>
      <c r="DB7" s="19">
        <f>+IF('Datos delta'!CK7&gt;0,REASIGN(0,'Datos Protegidos'!$I7,PARTIDOS!CL$11),0)</f>
        <v>0</v>
      </c>
      <c r="DC7" s="24">
        <v>0</v>
      </c>
      <c r="DD7" s="19">
        <f>+IF('Datos delta'!CM7&gt;0,REASIGN(0,'Datos Protegidos'!$I7,PARTIDOS!CN$11),0)</f>
        <v>0</v>
      </c>
      <c r="DE7" s="24">
        <v>0</v>
      </c>
      <c r="DF7" s="19">
        <f>+IF('Datos delta'!CO7&gt;0,REASIGN(0,'Datos Protegidos'!$I7,PARTIDOS!CP$11),0)</f>
        <v>0</v>
      </c>
      <c r="DG7" s="24">
        <v>0</v>
      </c>
      <c r="DH7" s="19">
        <f>+IF('Datos delta'!CQ7&gt;0,REASIGN(0,'Datos Protegidos'!$I7,PARTIDOS!CR$11),0)</f>
        <v>0</v>
      </c>
      <c r="DI7" s="24">
        <v>0</v>
      </c>
      <c r="DJ7" s="19">
        <f>+IF('Datos delta'!CS7&gt;0,REASIGN(0,'Datos Protegidos'!$I7,PARTIDOS!CT$11),0)</f>
        <v>0</v>
      </c>
      <c r="DK7" s="24">
        <v>0</v>
      </c>
      <c r="DL7" s="19">
        <f>+IF('Datos delta'!CU7&gt;0,REASIGN(0,'Datos Protegidos'!$I7,PARTIDOS!CV$11),0)</f>
        <v>0</v>
      </c>
      <c r="DM7" s="24">
        <v>0</v>
      </c>
      <c r="DN7" s="19">
        <f>+IF('Datos delta'!CW7&gt;0,REASIGN(0,'Datos Protegidos'!$I7,PARTIDOS!CX$11),0)</f>
        <v>0</v>
      </c>
      <c r="DO7" s="24">
        <v>0</v>
      </c>
      <c r="DP7" s="19">
        <f>+IF('Datos delta'!CY7&gt;0,REASIGN(0,'Datos Protegidos'!$I7,PARTIDOS!CZ$11),0)</f>
        <v>0</v>
      </c>
      <c r="DQ7" s="24">
        <v>0</v>
      </c>
      <c r="DR7" s="19">
        <f>+IF('Datos delta'!DA7&gt;0,REASIGN(0,'Datos Protegidos'!$I7,PARTIDOS!DB$11),0)</f>
        <v>0</v>
      </c>
      <c r="DS7" s="24">
        <v>0</v>
      </c>
      <c r="DT7" s="19">
        <f>+IF('Datos delta'!DC7&gt;0,REASIGN(0,'Datos Protegidos'!$I7,PARTIDOS!DD$11),0)</f>
        <v>0</v>
      </c>
      <c r="DU7" s="24">
        <v>0</v>
      </c>
      <c r="DV7" s="19">
        <f>+IF('Datos delta'!DE7&gt;0,REASIGN(0,'Datos Protegidos'!$I7,PARTIDOS!DF$11),0)</f>
        <v>0</v>
      </c>
      <c r="DW7" s="24">
        <v>0</v>
      </c>
      <c r="DX7" s="19">
        <f>+IF('Datos delta'!DG7&gt;0,REASIGN(0,'Datos Protegidos'!$I7,PARTIDOS!DH$11),0)</f>
        <v>0</v>
      </c>
      <c r="DY7" s="24">
        <v>0</v>
      </c>
      <c r="DZ7" s="19">
        <f>+IF('Datos delta'!DI7&gt;0,REASIGN(0,'Datos Protegidos'!$I7,PARTIDOS!DJ$11),0)</f>
        <v>0</v>
      </c>
      <c r="EA7" s="24">
        <v>0</v>
      </c>
      <c r="EB7" s="19">
        <f>+IF('Datos delta'!DK7&gt;0,REASIGN(0,'Datos Protegidos'!$I7,PARTIDOS!DL$11),0)</f>
        <v>0</v>
      </c>
      <c r="EC7" s="24">
        <v>0</v>
      </c>
      <c r="ED7" s="19">
        <f>+IF('Datos delta'!DM7&gt;0,REASIGN(0,'Datos Protegidos'!$I7,PARTIDOS!DN$11),0)</f>
        <v>0</v>
      </c>
      <c r="EE7" s="24">
        <v>0</v>
      </c>
      <c r="EF7" s="19">
        <f>+IF('Datos delta'!DO7&gt;0,REASIGN(0,'Datos Protegidos'!$I7,PARTIDOS!DP$11),0)</f>
        <v>0</v>
      </c>
      <c r="EG7" s="24">
        <v>0</v>
      </c>
      <c r="EH7" s="19">
        <f>+IF('Datos delta'!DQ7&gt;0,REASIGN(0,'Datos Protegidos'!$I7,PARTIDOS!DR$11),0)</f>
        <v>0</v>
      </c>
      <c r="EI7" s="24">
        <v>0</v>
      </c>
      <c r="EJ7" s="19">
        <f>+IF('Datos delta'!DS7&gt;0,REASIGN(0,'Datos Protegidos'!$I7,PARTIDOS!DT$11),0)</f>
        <v>0</v>
      </c>
      <c r="EK7" s="24">
        <v>0</v>
      </c>
      <c r="EL7" s="19">
        <f>+IF('Datos delta'!DU7&gt;0,REASIGN(0,'Datos Protegidos'!$I7,PARTIDOS!DV$11),0)</f>
        <v>0</v>
      </c>
      <c r="EM7" s="24">
        <v>0</v>
      </c>
      <c r="EN7" s="19">
        <f>+IF('Datos delta'!DW7&gt;0,REASIGN(0,'Datos Protegidos'!$I7,PARTIDOS!DX$11),0)</f>
        <v>0</v>
      </c>
      <c r="EO7" s="24">
        <v>0</v>
      </c>
      <c r="EP7" s="19">
        <f>+IF('Datos delta'!DY7&gt;0,REASIGN(0,'Datos Protegidos'!$I7,PARTIDOS!DZ$11),0)</f>
        <v>0</v>
      </c>
      <c r="EQ7" s="24">
        <v>0</v>
      </c>
      <c r="ER7" s="19">
        <f>+IF('Datos delta'!EA7&gt;0,REASIGN(0,'Datos Protegidos'!$I7,PARTIDOS!EB$11),0)</f>
        <v>0</v>
      </c>
      <c r="ES7" s="24">
        <v>0</v>
      </c>
      <c r="ET7" s="19">
        <f>+IF('Datos delta'!EC7&gt;0,REASIGN(0,'Datos Protegidos'!$I7,PARTIDOS!ED$11),0)</f>
        <v>0</v>
      </c>
      <c r="EU7" s="24">
        <v>0</v>
      </c>
    </row>
    <row r="8" spans="1:151" x14ac:dyDescent="0.25">
      <c r="A8" s="24" t="s">
        <v>17</v>
      </c>
      <c r="B8" s="25">
        <v>29</v>
      </c>
      <c r="C8" s="24" t="s">
        <v>24</v>
      </c>
      <c r="D8" s="24">
        <v>1641121</v>
      </c>
      <c r="E8" s="26">
        <v>1662</v>
      </c>
      <c r="F8" s="26">
        <v>1143262</v>
      </c>
      <c r="G8" s="26">
        <v>54426</v>
      </c>
      <c r="H8" s="26">
        <v>1197688</v>
      </c>
      <c r="I8" s="1">
        <v>5845</v>
      </c>
      <c r="J8" s="19">
        <f>+INT(([1]Hoja1!M8/[1]Hoja1!O8)*M8)</f>
        <v>756721</v>
      </c>
      <c r="K8" s="19">
        <f>+INT(([1]Hoja1!N8/[1]Hoja1!O8)*M8)</f>
        <v>748363</v>
      </c>
      <c r="L8" s="19">
        <f t="shared" si="1"/>
        <v>18456</v>
      </c>
      <c r="M8" s="19">
        <f t="shared" si="2"/>
        <v>8358</v>
      </c>
      <c r="N8" s="22">
        <f t="shared" si="0"/>
        <v>0</v>
      </c>
      <c r="O8" s="26">
        <v>8358</v>
      </c>
      <c r="P8" s="26">
        <v>10098</v>
      </c>
      <c r="Q8" s="22">
        <f t="shared" si="3"/>
        <v>11</v>
      </c>
      <c r="R8" s="19">
        <f>+IF('Datos delta'!A8&gt;0,REASIGN(0,'Datos Protegidos'!$I8,PARTIDOS!B$11),0)</f>
        <v>0</v>
      </c>
      <c r="S8" s="24">
        <v>4</v>
      </c>
      <c r="T8" s="19">
        <f>+IF('Datos delta'!C8&gt;0,REASIGN(0,'Datos Protegidos'!$I8,PARTIDOS!D$11),0)</f>
        <v>0</v>
      </c>
      <c r="U8" s="24">
        <v>3</v>
      </c>
      <c r="V8" s="19">
        <f>+IF('Datos delta'!E8&gt;0,REASIGN(0,'Datos Protegidos'!$I8,PARTIDOS!F$11),0)</f>
        <v>0</v>
      </c>
      <c r="W8" s="24">
        <v>2</v>
      </c>
      <c r="X8" s="19">
        <f>+IF('Datos delta'!G8&gt;0,REASIGN(0,'Datos Protegidos'!$I8,PARTIDOS!H$11),0)</f>
        <v>0</v>
      </c>
      <c r="Y8" s="24">
        <v>1</v>
      </c>
      <c r="Z8" s="19">
        <f>+IF('Datos delta'!I8&gt;0,REASIGN(0,'Datos Protegidos'!$I8,PARTIDOS!J$11),0)</f>
        <v>0</v>
      </c>
      <c r="AA8" s="24">
        <v>0</v>
      </c>
      <c r="AB8" s="19">
        <f>+IF('Datos delta'!K8&gt;0,REASIGN(0,'Datos Protegidos'!$I8,PARTIDOS!L$11),0)</f>
        <v>0</v>
      </c>
      <c r="AC8" s="24">
        <v>1</v>
      </c>
      <c r="AD8" s="19">
        <f>+IF('Datos delta'!M8&gt;0,REASIGN(0,'Datos Protegidos'!$I8,PARTIDOS!N$11),0)</f>
        <v>0</v>
      </c>
      <c r="AE8" s="24">
        <v>0</v>
      </c>
      <c r="AF8" s="19">
        <f>+IF('Datos delta'!O8&gt;0,REASIGN(0,'Datos Protegidos'!$I8,PARTIDOS!P$11),0)</f>
        <v>0</v>
      </c>
      <c r="AG8" s="24">
        <v>0</v>
      </c>
      <c r="AH8" s="19">
        <f>+IF('Datos delta'!Q8&gt;0,REASIGN(0,'Datos Protegidos'!$I8,PARTIDOS!R$11),0)</f>
        <v>0</v>
      </c>
      <c r="AI8" s="24">
        <v>0</v>
      </c>
      <c r="AJ8" s="19">
        <f>+IF('Datos delta'!S8&gt;0,REASIGN(0,'Datos Protegidos'!$I8,PARTIDOS!T$11),0)</f>
        <v>0</v>
      </c>
      <c r="AK8" s="24">
        <v>0</v>
      </c>
      <c r="AL8" s="19">
        <f>+IF('Datos delta'!U8&gt;0,REASIGN(0,'Datos Protegidos'!$I8,PARTIDOS!V$11),0)</f>
        <v>0</v>
      </c>
      <c r="AM8" s="24">
        <v>0</v>
      </c>
      <c r="AN8" s="19">
        <f>+IF('Datos delta'!W8&gt;0,REASIGN(0,'Datos Protegidos'!$I8,PARTIDOS!X$11),0)</f>
        <v>0</v>
      </c>
      <c r="AO8" s="24">
        <v>0</v>
      </c>
      <c r="AP8" s="19">
        <f>+IF('Datos delta'!Y8&gt;0,REASIGN(0,'Datos Protegidos'!$I8,PARTIDOS!Z$11),0)</f>
        <v>0</v>
      </c>
      <c r="AQ8" s="24">
        <v>0</v>
      </c>
      <c r="AR8" s="19">
        <f>+IF('Datos delta'!AA8&gt;0,REASIGN(0,'Datos Protegidos'!$I8,PARTIDOS!AB$11),0)</f>
        <v>0</v>
      </c>
      <c r="AS8" s="24">
        <v>0</v>
      </c>
      <c r="AT8" s="19">
        <f>+IF('Datos delta'!AC8&gt;0,REASIGN(0,'Datos Protegidos'!$I8,PARTIDOS!AD$11),0)</f>
        <v>0</v>
      </c>
      <c r="AU8" s="24">
        <v>0</v>
      </c>
      <c r="AV8" s="19">
        <f>+IF('Datos delta'!AE8&gt;0,REASIGN(0,'Datos Protegidos'!$I8,PARTIDOS!AF$11),0)</f>
        <v>0</v>
      </c>
      <c r="AW8" s="24">
        <v>0</v>
      </c>
      <c r="AX8" s="19">
        <f>+IF('Datos delta'!AG8&gt;0,REASIGN(0,'Datos Protegidos'!$I8,PARTIDOS!AH$11),0)</f>
        <v>0</v>
      </c>
      <c r="AY8" s="24">
        <v>0</v>
      </c>
      <c r="AZ8" s="19">
        <f>+IF('Datos delta'!AI8&gt;0,REASIGN(0,'Datos Protegidos'!$I8,PARTIDOS!AJ$11),0)</f>
        <v>0</v>
      </c>
      <c r="BA8" s="24">
        <v>0</v>
      </c>
      <c r="BB8" s="19">
        <f>+IF('Datos delta'!AK8&gt;0,REASIGN(0,'Datos Protegidos'!$I8,PARTIDOS!AL$11),0)</f>
        <v>0</v>
      </c>
      <c r="BC8" s="24">
        <v>0</v>
      </c>
      <c r="BD8" s="19">
        <f>+IF('Datos delta'!AM8&gt;0,REASIGN(0,'Datos Protegidos'!$I8,PARTIDOS!AN$11),0)</f>
        <v>0</v>
      </c>
      <c r="BE8" s="24">
        <v>0</v>
      </c>
      <c r="BF8" s="19">
        <f>+IF('Datos delta'!AO8&gt;0,REASIGN(0,'Datos Protegidos'!$I8,PARTIDOS!AP$11),0)</f>
        <v>0</v>
      </c>
      <c r="BG8" s="24">
        <v>0</v>
      </c>
      <c r="BH8" s="19">
        <f>+IF('Datos delta'!AQ8&gt;0,REASIGN(0,'Datos Protegidos'!$I8,PARTIDOS!AR$11),0)</f>
        <v>0</v>
      </c>
      <c r="BI8" s="24">
        <v>0</v>
      </c>
      <c r="BJ8" s="19">
        <f>+IF('Datos delta'!AS8&gt;0,REASIGN(0,'Datos Protegidos'!$I8,PARTIDOS!AT$11),0)</f>
        <v>0</v>
      </c>
      <c r="BK8" s="24">
        <v>0</v>
      </c>
      <c r="BL8" s="19">
        <f>+IF('Datos delta'!AU8&gt;0,REASIGN(0,'Datos Protegidos'!$I8,PARTIDOS!AV$11),0)</f>
        <v>0</v>
      </c>
      <c r="BM8" s="24">
        <v>0</v>
      </c>
      <c r="BN8" s="19">
        <f>+IF('Datos delta'!AW8&gt;0,REASIGN(0,'Datos Protegidos'!$I8,PARTIDOS!AX$11),0)</f>
        <v>0</v>
      </c>
      <c r="BO8" s="24">
        <v>0</v>
      </c>
      <c r="BP8" s="19">
        <f>+IF('Datos delta'!AY8&gt;0,REASIGN(0,'Datos Protegidos'!$I8,PARTIDOS!AZ$11),0)</f>
        <v>0</v>
      </c>
      <c r="BQ8" s="24">
        <v>0</v>
      </c>
      <c r="BR8" s="19">
        <f>+IF('Datos delta'!BA8&gt;0,REASIGN(0,'Datos Protegidos'!$I8,PARTIDOS!BB$11),0)</f>
        <v>0</v>
      </c>
      <c r="BS8" s="24">
        <v>0</v>
      </c>
      <c r="BT8" s="19">
        <f>+IF('Datos delta'!BC8&gt;0,REASIGN(0,'Datos Protegidos'!$I8,PARTIDOS!BD$11),0)</f>
        <v>0</v>
      </c>
      <c r="BU8" s="24">
        <v>0</v>
      </c>
      <c r="BV8" s="19">
        <f>+IF('Datos delta'!BE8&gt;0,REASIGN(0,'Datos Protegidos'!$I8,PARTIDOS!BF$11),0)</f>
        <v>0</v>
      </c>
      <c r="BW8" s="24">
        <v>0</v>
      </c>
      <c r="BX8" s="19">
        <f>+IF('Datos delta'!BG8&gt;0,REASIGN(0,'Datos Protegidos'!$I8,PARTIDOS!BH$11),0)</f>
        <v>0</v>
      </c>
      <c r="BY8" s="24">
        <v>0</v>
      </c>
      <c r="BZ8" s="19">
        <f>+IF('Datos delta'!BI8&gt;0,REASIGN(0,'Datos Protegidos'!$I8,PARTIDOS!BJ$11),0)</f>
        <v>0</v>
      </c>
      <c r="CA8" s="24">
        <v>0</v>
      </c>
      <c r="CB8" s="19">
        <f>+IF('Datos delta'!BK8&gt;0,REASIGN(0,'Datos Protegidos'!$I8,PARTIDOS!BL$11),0)</f>
        <v>0</v>
      </c>
      <c r="CC8" s="24">
        <v>0</v>
      </c>
      <c r="CD8" s="19">
        <f>+IF('Datos delta'!BM8&gt;0,REASIGN(0,'Datos Protegidos'!$I8,PARTIDOS!BN$11),0)</f>
        <v>0</v>
      </c>
      <c r="CE8" s="24">
        <v>0</v>
      </c>
      <c r="CF8" s="19">
        <f>+IF('Datos delta'!BO8&gt;0,REASIGN(0,'Datos Protegidos'!$I8,PARTIDOS!BP$11),0)</f>
        <v>0</v>
      </c>
      <c r="CG8" s="24">
        <v>0</v>
      </c>
      <c r="CH8" s="19">
        <f>+IF('Datos delta'!BQ8&gt;0,REASIGN(0,'Datos Protegidos'!$I8,PARTIDOS!BR$11),0)</f>
        <v>0</v>
      </c>
      <c r="CI8" s="24">
        <v>0</v>
      </c>
      <c r="CJ8" s="19">
        <f>+IF('Datos delta'!BS8&gt;0,REASIGN(0,'Datos Protegidos'!$I8,PARTIDOS!BT$11),0)</f>
        <v>0</v>
      </c>
      <c r="CK8" s="24">
        <v>0</v>
      </c>
      <c r="CL8" s="19">
        <f>+IF('Datos delta'!BU8&gt;0,REASIGN(0,'Datos Protegidos'!$I8,PARTIDOS!BV$11),0)</f>
        <v>0</v>
      </c>
      <c r="CM8" s="24">
        <v>0</v>
      </c>
      <c r="CN8" s="19">
        <f>+IF('Datos delta'!BW8&gt;0,REASIGN(0,'Datos Protegidos'!$I8,PARTIDOS!BX$11),0)</f>
        <v>0</v>
      </c>
      <c r="CO8" s="24">
        <v>0</v>
      </c>
      <c r="CP8" s="19">
        <f>+IF('Datos delta'!BY8&gt;0,REASIGN(0,'Datos Protegidos'!$I8,PARTIDOS!BZ$11),0)</f>
        <v>0</v>
      </c>
      <c r="CQ8" s="24">
        <v>0</v>
      </c>
      <c r="CR8" s="19">
        <f>+IF('Datos delta'!CA8&gt;0,REASIGN(0,'Datos Protegidos'!$I8,PARTIDOS!CB$11),0)</f>
        <v>0</v>
      </c>
      <c r="CS8" s="24">
        <v>0</v>
      </c>
      <c r="CT8" s="19">
        <f>+IF('Datos delta'!CC8&gt;0,REASIGN(0,'Datos Protegidos'!$I8,PARTIDOS!CD$11),0)</f>
        <v>0</v>
      </c>
      <c r="CU8" s="24">
        <v>0</v>
      </c>
      <c r="CV8" s="19">
        <f>+IF('Datos delta'!CE8&gt;0,REASIGN(0,'Datos Protegidos'!$I8,PARTIDOS!CF$11),0)</f>
        <v>0</v>
      </c>
      <c r="CW8" s="24">
        <v>0</v>
      </c>
      <c r="CX8" s="19">
        <f>+IF('Datos delta'!CG8&gt;0,REASIGN(0,'Datos Protegidos'!$I8,PARTIDOS!CH$11),0)</f>
        <v>0</v>
      </c>
      <c r="CY8" s="24">
        <v>0</v>
      </c>
      <c r="CZ8" s="19">
        <f>+IF('Datos delta'!CI8&gt;0,REASIGN(0,'Datos Protegidos'!$I8,PARTIDOS!CJ$11),0)</f>
        <v>0</v>
      </c>
      <c r="DA8" s="24">
        <v>0</v>
      </c>
      <c r="DB8" s="19">
        <f>+IF('Datos delta'!CK8&gt;0,REASIGN(0,'Datos Protegidos'!$I8,PARTIDOS!CL$11),0)</f>
        <v>0</v>
      </c>
      <c r="DC8" s="24">
        <v>0</v>
      </c>
      <c r="DD8" s="19">
        <f>+IF('Datos delta'!CM8&gt;0,REASIGN(0,'Datos Protegidos'!$I8,PARTIDOS!CN$11),0)</f>
        <v>0</v>
      </c>
      <c r="DE8" s="24">
        <v>0</v>
      </c>
      <c r="DF8" s="19">
        <f>+IF('Datos delta'!CO8&gt;0,REASIGN(0,'Datos Protegidos'!$I8,PARTIDOS!CP$11),0)</f>
        <v>0</v>
      </c>
      <c r="DG8" s="24">
        <v>0</v>
      </c>
      <c r="DH8" s="19">
        <f>+IF('Datos delta'!CQ8&gt;0,REASIGN(0,'Datos Protegidos'!$I8,PARTIDOS!CR$11),0)</f>
        <v>0</v>
      </c>
      <c r="DI8" s="24">
        <v>0</v>
      </c>
      <c r="DJ8" s="19">
        <f>+IF('Datos delta'!CS8&gt;0,REASIGN(0,'Datos Protegidos'!$I8,PARTIDOS!CT$11),0)</f>
        <v>0</v>
      </c>
      <c r="DK8" s="24">
        <v>0</v>
      </c>
      <c r="DL8" s="19">
        <f>+IF('Datos delta'!CU8&gt;0,REASIGN(0,'Datos Protegidos'!$I8,PARTIDOS!CV$11),0)</f>
        <v>0</v>
      </c>
      <c r="DM8" s="24">
        <v>0</v>
      </c>
      <c r="DN8" s="19">
        <f>+IF('Datos delta'!CW8&gt;0,REASIGN(0,'Datos Protegidos'!$I8,PARTIDOS!CX$11),0)</f>
        <v>0</v>
      </c>
      <c r="DO8" s="24">
        <v>0</v>
      </c>
      <c r="DP8" s="19">
        <f>+IF('Datos delta'!CY8&gt;0,REASIGN(0,'Datos Protegidos'!$I8,PARTIDOS!CZ$11),0)</f>
        <v>0</v>
      </c>
      <c r="DQ8" s="24">
        <v>0</v>
      </c>
      <c r="DR8" s="19">
        <f>+IF('Datos delta'!DA8&gt;0,REASIGN(0,'Datos Protegidos'!$I8,PARTIDOS!DB$11),0)</f>
        <v>0</v>
      </c>
      <c r="DS8" s="24">
        <v>0</v>
      </c>
      <c r="DT8" s="19">
        <f>+IF('Datos delta'!DC8&gt;0,REASIGN(0,'Datos Protegidos'!$I8,PARTIDOS!DD$11),0)</f>
        <v>0</v>
      </c>
      <c r="DU8" s="24">
        <v>0</v>
      </c>
      <c r="DV8" s="19">
        <f>+IF('Datos delta'!DE8&gt;0,REASIGN(0,'Datos Protegidos'!$I8,PARTIDOS!DF$11),0)</f>
        <v>0</v>
      </c>
      <c r="DW8" s="24">
        <v>0</v>
      </c>
      <c r="DX8" s="19">
        <f>+IF('Datos delta'!DG8&gt;0,REASIGN(0,'Datos Protegidos'!$I8,PARTIDOS!DH$11),0)</f>
        <v>0</v>
      </c>
      <c r="DY8" s="24">
        <v>0</v>
      </c>
      <c r="DZ8" s="19">
        <f>+IF('Datos delta'!DI8&gt;0,REASIGN(0,'Datos Protegidos'!$I8,PARTIDOS!DJ$11),0)</f>
        <v>0</v>
      </c>
      <c r="EA8" s="24">
        <v>0</v>
      </c>
      <c r="EB8" s="19">
        <f>+IF('Datos delta'!DK8&gt;0,REASIGN(0,'Datos Protegidos'!$I8,PARTIDOS!DL$11),0)</f>
        <v>0</v>
      </c>
      <c r="EC8" s="24">
        <v>0</v>
      </c>
      <c r="ED8" s="19">
        <f>+IF('Datos delta'!DM8&gt;0,REASIGN(0,'Datos Protegidos'!$I8,PARTIDOS!DN$11),0)</f>
        <v>0</v>
      </c>
      <c r="EE8" s="24">
        <v>0</v>
      </c>
      <c r="EF8" s="19">
        <f>+IF('Datos delta'!DO8&gt;0,REASIGN(0,'Datos Protegidos'!$I8,PARTIDOS!DP$11),0)</f>
        <v>0</v>
      </c>
      <c r="EG8" s="24">
        <v>0</v>
      </c>
      <c r="EH8" s="19">
        <f>+IF('Datos delta'!DQ8&gt;0,REASIGN(0,'Datos Protegidos'!$I8,PARTIDOS!DR$11),0)</f>
        <v>0</v>
      </c>
      <c r="EI8" s="24">
        <v>0</v>
      </c>
      <c r="EJ8" s="19">
        <f>+IF('Datos delta'!DS8&gt;0,REASIGN(0,'Datos Protegidos'!$I8,PARTIDOS!DT$11),0)</f>
        <v>0</v>
      </c>
      <c r="EK8" s="24">
        <v>0</v>
      </c>
      <c r="EL8" s="19">
        <f>+IF('Datos delta'!DU8&gt;0,REASIGN(0,'Datos Protegidos'!$I8,PARTIDOS!DV$11),0)</f>
        <v>0</v>
      </c>
      <c r="EM8" s="24">
        <v>0</v>
      </c>
      <c r="EN8" s="19">
        <f>+IF('Datos delta'!DW8&gt;0,REASIGN(0,'Datos Protegidos'!$I8,PARTIDOS!DX$11),0)</f>
        <v>0</v>
      </c>
      <c r="EO8" s="24">
        <v>0</v>
      </c>
      <c r="EP8" s="19">
        <f>+IF('Datos delta'!DY8&gt;0,REASIGN(0,'Datos Protegidos'!$I8,PARTIDOS!DZ$11),0)</f>
        <v>0</v>
      </c>
      <c r="EQ8" s="24">
        <v>0</v>
      </c>
      <c r="ER8" s="19">
        <f>+IF('Datos delta'!EA8&gt;0,REASIGN(0,'Datos Protegidos'!$I8,PARTIDOS!EB$11),0)</f>
        <v>0</v>
      </c>
      <c r="ES8" s="24">
        <v>0</v>
      </c>
      <c r="ET8" s="19">
        <f>+IF('Datos delta'!EC8&gt;0,REASIGN(0,'Datos Protegidos'!$I8,PARTIDOS!ED$11),0)</f>
        <v>0</v>
      </c>
      <c r="EU8" s="24">
        <v>0</v>
      </c>
    </row>
    <row r="9" spans="1:151" x14ac:dyDescent="0.25">
      <c r="A9" s="24" t="s">
        <v>17</v>
      </c>
      <c r="B9" s="25">
        <v>41</v>
      </c>
      <c r="C9" s="24" t="s">
        <v>25</v>
      </c>
      <c r="D9" s="24">
        <v>1939887</v>
      </c>
      <c r="E9" s="26">
        <v>2560</v>
      </c>
      <c r="F9" s="26">
        <v>1512436</v>
      </c>
      <c r="G9" s="26">
        <v>35308</v>
      </c>
      <c r="H9" s="26">
        <v>1547744</v>
      </c>
      <c r="I9" s="1">
        <v>5435</v>
      </c>
      <c r="J9" s="19">
        <f>+INT(([1]Hoja1!M9/[1]Hoja1!O9)*M9)</f>
        <v>1053518</v>
      </c>
      <c r="K9" s="19">
        <f>+INT(([1]Hoja1!N9/[1]Hoja1!O9)*M9)</f>
        <v>1039725</v>
      </c>
      <c r="L9" s="19">
        <f t="shared" si="1"/>
        <v>31522</v>
      </c>
      <c r="M9" s="19">
        <f t="shared" si="2"/>
        <v>13793</v>
      </c>
      <c r="N9" s="22">
        <f t="shared" si="0"/>
        <v>0</v>
      </c>
      <c r="O9" s="26">
        <v>13793</v>
      </c>
      <c r="P9" s="26">
        <v>17729</v>
      </c>
      <c r="Q9" s="22">
        <f t="shared" si="3"/>
        <v>12</v>
      </c>
      <c r="R9" s="19">
        <f>+IF('Datos delta'!A9&gt;0,REASIGN(0,'Datos Protegidos'!$I9,PARTIDOS!B$11),0)</f>
        <v>0</v>
      </c>
      <c r="S9" s="24">
        <v>5</v>
      </c>
      <c r="T9" s="19">
        <f>+IF('Datos delta'!C9&gt;0,REASIGN(0,'Datos Protegidos'!$I9,PARTIDOS!D$11),0)</f>
        <v>0</v>
      </c>
      <c r="U9" s="24">
        <v>2</v>
      </c>
      <c r="V9" s="19">
        <f>+IF('Datos delta'!E9&gt;0,REASIGN(0,'Datos Protegidos'!$I9,PARTIDOS!F$11),0)</f>
        <v>0</v>
      </c>
      <c r="W9" s="24">
        <v>2</v>
      </c>
      <c r="X9" s="19">
        <f>+IF('Datos delta'!G9&gt;0,REASIGN(0,'Datos Protegidos'!$I9,PARTIDOS!H$11),0)</f>
        <v>0</v>
      </c>
      <c r="Y9" s="24">
        <v>2</v>
      </c>
      <c r="Z9" s="19">
        <f>+IF('Datos delta'!I9&gt;0,REASIGN(0,'Datos Protegidos'!$I9,PARTIDOS!J$11),0)</f>
        <v>0</v>
      </c>
      <c r="AA9" s="24">
        <v>0</v>
      </c>
      <c r="AB9" s="19">
        <f>+IF('Datos delta'!K9&gt;0,REASIGN(0,'Datos Protegidos'!$I9,PARTIDOS!L$11),0)</f>
        <v>0</v>
      </c>
      <c r="AC9" s="24">
        <v>1</v>
      </c>
      <c r="AD9" s="19">
        <f>+IF('Datos delta'!M9&gt;0,REASIGN(0,'Datos Protegidos'!$I9,PARTIDOS!N$11),0)</f>
        <v>0</v>
      </c>
      <c r="AE9" s="24">
        <v>0</v>
      </c>
      <c r="AF9" s="19">
        <f>+IF('Datos delta'!O9&gt;0,REASIGN(0,'Datos Protegidos'!$I9,PARTIDOS!P$11),0)</f>
        <v>0</v>
      </c>
      <c r="AG9" s="24">
        <v>0</v>
      </c>
      <c r="AH9" s="19">
        <f>+IF('Datos delta'!Q9&gt;0,REASIGN(0,'Datos Protegidos'!$I9,PARTIDOS!R$11),0)</f>
        <v>0</v>
      </c>
      <c r="AI9" s="24">
        <v>0</v>
      </c>
      <c r="AJ9" s="19">
        <f>+IF('Datos delta'!S9&gt;0,REASIGN(0,'Datos Protegidos'!$I9,PARTIDOS!T$11),0)</f>
        <v>0</v>
      </c>
      <c r="AK9" s="24">
        <v>0</v>
      </c>
      <c r="AL9" s="19">
        <f>+IF('Datos delta'!U9&gt;0,REASIGN(0,'Datos Protegidos'!$I9,PARTIDOS!V$11),0)</f>
        <v>0</v>
      </c>
      <c r="AM9" s="24">
        <v>0</v>
      </c>
      <c r="AN9" s="19">
        <f>+IF('Datos delta'!W9&gt;0,REASIGN(0,'Datos Protegidos'!$I9,PARTIDOS!X$11),0)</f>
        <v>0</v>
      </c>
      <c r="AO9" s="24">
        <v>0</v>
      </c>
      <c r="AP9" s="19">
        <f>+IF('Datos delta'!Y9&gt;0,REASIGN(0,'Datos Protegidos'!$I9,PARTIDOS!Z$11),0)</f>
        <v>0</v>
      </c>
      <c r="AQ9" s="24">
        <v>0</v>
      </c>
      <c r="AR9" s="19">
        <f>+IF('Datos delta'!AA9&gt;0,REASIGN(0,'Datos Protegidos'!$I9,PARTIDOS!AB$11),0)</f>
        <v>0</v>
      </c>
      <c r="AS9" s="24">
        <v>0</v>
      </c>
      <c r="AT9" s="19">
        <f>+IF('Datos delta'!AC9&gt;0,REASIGN(0,'Datos Protegidos'!$I9,PARTIDOS!AD$11),0)</f>
        <v>0</v>
      </c>
      <c r="AU9" s="24">
        <v>0</v>
      </c>
      <c r="AV9" s="19">
        <f>+IF('Datos delta'!AE9&gt;0,REASIGN(0,'Datos Protegidos'!$I9,PARTIDOS!AF$11),0)</f>
        <v>0</v>
      </c>
      <c r="AW9" s="24">
        <v>0</v>
      </c>
      <c r="AX9" s="19">
        <f>+IF('Datos delta'!AG9&gt;0,REASIGN(0,'Datos Protegidos'!$I9,PARTIDOS!AH$11),0)</f>
        <v>0</v>
      </c>
      <c r="AY9" s="24">
        <v>0</v>
      </c>
      <c r="AZ9" s="19">
        <f>+IF('Datos delta'!AI9&gt;0,REASIGN(0,'Datos Protegidos'!$I9,PARTIDOS!AJ$11),0)</f>
        <v>0</v>
      </c>
      <c r="BA9" s="24">
        <v>0</v>
      </c>
      <c r="BB9" s="19">
        <f>+IF('Datos delta'!AK9&gt;0,REASIGN(0,'Datos Protegidos'!$I9,PARTIDOS!AL$11),0)</f>
        <v>0</v>
      </c>
      <c r="BC9" s="24">
        <v>0</v>
      </c>
      <c r="BD9" s="19">
        <f>+IF('Datos delta'!AM9&gt;0,REASIGN(0,'Datos Protegidos'!$I9,PARTIDOS!AN$11),0)</f>
        <v>0</v>
      </c>
      <c r="BE9" s="24">
        <v>0</v>
      </c>
      <c r="BF9" s="19">
        <f>+IF('Datos delta'!AO9&gt;0,REASIGN(0,'Datos Protegidos'!$I9,PARTIDOS!AP$11),0)</f>
        <v>0</v>
      </c>
      <c r="BG9" s="24">
        <v>0</v>
      </c>
      <c r="BH9" s="19">
        <f>+IF('Datos delta'!AQ9&gt;0,REASIGN(0,'Datos Protegidos'!$I9,PARTIDOS!AR$11),0)</f>
        <v>0</v>
      </c>
      <c r="BI9" s="24">
        <v>0</v>
      </c>
      <c r="BJ9" s="19">
        <f>+IF('Datos delta'!AS9&gt;0,REASIGN(0,'Datos Protegidos'!$I9,PARTIDOS!AT$11),0)</f>
        <v>0</v>
      </c>
      <c r="BK9" s="24">
        <v>0</v>
      </c>
      <c r="BL9" s="19">
        <f>+IF('Datos delta'!AU9&gt;0,REASIGN(0,'Datos Protegidos'!$I9,PARTIDOS!AV$11),0)</f>
        <v>0</v>
      </c>
      <c r="BM9" s="24">
        <v>0</v>
      </c>
      <c r="BN9" s="19">
        <f>+IF('Datos delta'!AW9&gt;0,REASIGN(0,'Datos Protegidos'!$I9,PARTIDOS!AX$11),0)</f>
        <v>0</v>
      </c>
      <c r="BO9" s="24">
        <v>0</v>
      </c>
      <c r="BP9" s="19">
        <f>+IF('Datos delta'!AY9&gt;0,REASIGN(0,'Datos Protegidos'!$I9,PARTIDOS!AZ$11),0)</f>
        <v>0</v>
      </c>
      <c r="BQ9" s="24">
        <v>0</v>
      </c>
      <c r="BR9" s="19">
        <f>+IF('Datos delta'!BA9&gt;0,REASIGN(0,'Datos Protegidos'!$I9,PARTIDOS!BB$11),0)</f>
        <v>0</v>
      </c>
      <c r="BS9" s="24">
        <v>0</v>
      </c>
      <c r="BT9" s="19">
        <f>+IF('Datos delta'!BC9&gt;0,REASIGN(0,'Datos Protegidos'!$I9,PARTIDOS!BD$11),0)</f>
        <v>0</v>
      </c>
      <c r="BU9" s="24">
        <v>0</v>
      </c>
      <c r="BV9" s="19">
        <f>+IF('Datos delta'!BE9&gt;0,REASIGN(0,'Datos Protegidos'!$I9,PARTIDOS!BF$11),0)</f>
        <v>0</v>
      </c>
      <c r="BW9" s="24">
        <v>0</v>
      </c>
      <c r="BX9" s="19">
        <f>+IF('Datos delta'!BG9&gt;0,REASIGN(0,'Datos Protegidos'!$I9,PARTIDOS!BH$11),0)</f>
        <v>0</v>
      </c>
      <c r="BY9" s="24">
        <v>0</v>
      </c>
      <c r="BZ9" s="19">
        <f>+IF('Datos delta'!BI9&gt;0,REASIGN(0,'Datos Protegidos'!$I9,PARTIDOS!BJ$11),0)</f>
        <v>0</v>
      </c>
      <c r="CA9" s="24">
        <v>0</v>
      </c>
      <c r="CB9" s="19">
        <f>+IF('Datos delta'!BK9&gt;0,REASIGN(0,'Datos Protegidos'!$I9,PARTIDOS!BL$11),0)</f>
        <v>0</v>
      </c>
      <c r="CC9" s="24">
        <v>0</v>
      </c>
      <c r="CD9" s="19">
        <f>+IF('Datos delta'!BM9&gt;0,REASIGN(0,'Datos Protegidos'!$I9,PARTIDOS!BN$11),0)</f>
        <v>0</v>
      </c>
      <c r="CE9" s="24">
        <v>0</v>
      </c>
      <c r="CF9" s="19">
        <f>+IF('Datos delta'!BO9&gt;0,REASIGN(0,'Datos Protegidos'!$I9,PARTIDOS!BP$11),0)</f>
        <v>0</v>
      </c>
      <c r="CG9" s="24">
        <v>0</v>
      </c>
      <c r="CH9" s="19">
        <f>+IF('Datos delta'!BQ9&gt;0,REASIGN(0,'Datos Protegidos'!$I9,PARTIDOS!BR$11),0)</f>
        <v>0</v>
      </c>
      <c r="CI9" s="24">
        <v>0</v>
      </c>
      <c r="CJ9" s="19">
        <f>+IF('Datos delta'!BS9&gt;0,REASIGN(0,'Datos Protegidos'!$I9,PARTIDOS!BT$11),0)</f>
        <v>0</v>
      </c>
      <c r="CK9" s="24">
        <v>0</v>
      </c>
      <c r="CL9" s="19">
        <f>+IF('Datos delta'!BU9&gt;0,REASIGN(0,'Datos Protegidos'!$I9,PARTIDOS!BV$11),0)</f>
        <v>0</v>
      </c>
      <c r="CM9" s="24">
        <v>0</v>
      </c>
      <c r="CN9" s="19">
        <f>+IF('Datos delta'!BW9&gt;0,REASIGN(0,'Datos Protegidos'!$I9,PARTIDOS!BX$11),0)</f>
        <v>0</v>
      </c>
      <c r="CO9" s="24">
        <v>0</v>
      </c>
      <c r="CP9" s="19">
        <f>+IF('Datos delta'!BY9&gt;0,REASIGN(0,'Datos Protegidos'!$I9,PARTIDOS!BZ$11),0)</f>
        <v>0</v>
      </c>
      <c r="CQ9" s="24">
        <v>0</v>
      </c>
      <c r="CR9" s="19">
        <f>+IF('Datos delta'!CA9&gt;0,REASIGN(0,'Datos Protegidos'!$I9,PARTIDOS!CB$11),0)</f>
        <v>0</v>
      </c>
      <c r="CS9" s="24">
        <v>0</v>
      </c>
      <c r="CT9" s="19">
        <f>+IF('Datos delta'!CC9&gt;0,REASIGN(0,'Datos Protegidos'!$I9,PARTIDOS!CD$11),0)</f>
        <v>0</v>
      </c>
      <c r="CU9" s="24">
        <v>0</v>
      </c>
      <c r="CV9" s="19">
        <f>+IF('Datos delta'!CE9&gt;0,REASIGN(0,'Datos Protegidos'!$I9,PARTIDOS!CF$11),0)</f>
        <v>0</v>
      </c>
      <c r="CW9" s="24">
        <v>0</v>
      </c>
      <c r="CX9" s="19">
        <f>+IF('Datos delta'!CG9&gt;0,REASIGN(0,'Datos Protegidos'!$I9,PARTIDOS!CH$11),0)</f>
        <v>0</v>
      </c>
      <c r="CY9" s="24">
        <v>0</v>
      </c>
      <c r="CZ9" s="19">
        <f>+IF('Datos delta'!CI9&gt;0,REASIGN(0,'Datos Protegidos'!$I9,PARTIDOS!CJ$11),0)</f>
        <v>0</v>
      </c>
      <c r="DA9" s="24">
        <v>0</v>
      </c>
      <c r="DB9" s="19">
        <f>+IF('Datos delta'!CK9&gt;0,REASIGN(0,'Datos Protegidos'!$I9,PARTIDOS!CL$11),0)</f>
        <v>0</v>
      </c>
      <c r="DC9" s="24">
        <v>0</v>
      </c>
      <c r="DD9" s="19">
        <f>+IF('Datos delta'!CM9&gt;0,REASIGN(0,'Datos Protegidos'!$I9,PARTIDOS!CN$11),0)</f>
        <v>0</v>
      </c>
      <c r="DE9" s="24">
        <v>0</v>
      </c>
      <c r="DF9" s="19">
        <f>+IF('Datos delta'!CO9&gt;0,REASIGN(0,'Datos Protegidos'!$I9,PARTIDOS!CP$11),0)</f>
        <v>0</v>
      </c>
      <c r="DG9" s="24">
        <v>0</v>
      </c>
      <c r="DH9" s="19">
        <f>+IF('Datos delta'!CQ9&gt;0,REASIGN(0,'Datos Protegidos'!$I9,PARTIDOS!CR$11),0)</f>
        <v>0</v>
      </c>
      <c r="DI9" s="24">
        <v>0</v>
      </c>
      <c r="DJ9" s="19">
        <f>+IF('Datos delta'!CS9&gt;0,REASIGN(0,'Datos Protegidos'!$I9,PARTIDOS!CT$11),0)</f>
        <v>0</v>
      </c>
      <c r="DK9" s="24">
        <v>0</v>
      </c>
      <c r="DL9" s="19">
        <f>+IF('Datos delta'!CU9&gt;0,REASIGN(0,'Datos Protegidos'!$I9,PARTIDOS!CV$11),0)</f>
        <v>0</v>
      </c>
      <c r="DM9" s="24">
        <v>0</v>
      </c>
      <c r="DN9" s="19">
        <f>+IF('Datos delta'!CW9&gt;0,REASIGN(0,'Datos Protegidos'!$I9,PARTIDOS!CX$11),0)</f>
        <v>0</v>
      </c>
      <c r="DO9" s="24">
        <v>0</v>
      </c>
      <c r="DP9" s="19">
        <f>+IF('Datos delta'!CY9&gt;0,REASIGN(0,'Datos Protegidos'!$I9,PARTIDOS!CZ$11),0)</f>
        <v>0</v>
      </c>
      <c r="DQ9" s="24">
        <v>0</v>
      </c>
      <c r="DR9" s="19">
        <f>+IF('Datos delta'!DA9&gt;0,REASIGN(0,'Datos Protegidos'!$I9,PARTIDOS!DB$11),0)</f>
        <v>0</v>
      </c>
      <c r="DS9" s="24">
        <v>0</v>
      </c>
      <c r="DT9" s="19">
        <f>+IF('Datos delta'!DC9&gt;0,REASIGN(0,'Datos Protegidos'!$I9,PARTIDOS!DD$11),0)</f>
        <v>0</v>
      </c>
      <c r="DU9" s="24">
        <v>0</v>
      </c>
      <c r="DV9" s="19">
        <f>+IF('Datos delta'!DE9&gt;0,REASIGN(0,'Datos Protegidos'!$I9,PARTIDOS!DF$11),0)</f>
        <v>0</v>
      </c>
      <c r="DW9" s="24">
        <v>0</v>
      </c>
      <c r="DX9" s="19">
        <f>+IF('Datos delta'!DG9&gt;0,REASIGN(0,'Datos Protegidos'!$I9,PARTIDOS!DH$11),0)</f>
        <v>0</v>
      </c>
      <c r="DY9" s="24">
        <v>0</v>
      </c>
      <c r="DZ9" s="19">
        <f>+IF('Datos delta'!DI9&gt;0,REASIGN(0,'Datos Protegidos'!$I9,PARTIDOS!DJ$11),0)</f>
        <v>0</v>
      </c>
      <c r="EA9" s="24">
        <v>0</v>
      </c>
      <c r="EB9" s="19">
        <f>+IF('Datos delta'!DK9&gt;0,REASIGN(0,'Datos Protegidos'!$I9,PARTIDOS!DL$11),0)</f>
        <v>0</v>
      </c>
      <c r="EC9" s="24">
        <v>0</v>
      </c>
      <c r="ED9" s="19">
        <f>+IF('Datos delta'!DM9&gt;0,REASIGN(0,'Datos Protegidos'!$I9,PARTIDOS!DN$11),0)</f>
        <v>0</v>
      </c>
      <c r="EE9" s="24">
        <v>0</v>
      </c>
      <c r="EF9" s="19">
        <f>+IF('Datos delta'!DO9&gt;0,REASIGN(0,'Datos Protegidos'!$I9,PARTIDOS!DP$11),0)</f>
        <v>0</v>
      </c>
      <c r="EG9" s="24">
        <v>0</v>
      </c>
      <c r="EH9" s="19">
        <f>+IF('Datos delta'!DQ9&gt;0,REASIGN(0,'Datos Protegidos'!$I9,PARTIDOS!DR$11),0)</f>
        <v>0</v>
      </c>
      <c r="EI9" s="24">
        <v>0</v>
      </c>
      <c r="EJ9" s="19">
        <f>+IF('Datos delta'!DS9&gt;0,REASIGN(0,'Datos Protegidos'!$I9,PARTIDOS!DT$11),0)</f>
        <v>0</v>
      </c>
      <c r="EK9" s="24">
        <v>0</v>
      </c>
      <c r="EL9" s="19">
        <f>+IF('Datos delta'!DU9&gt;0,REASIGN(0,'Datos Protegidos'!$I9,PARTIDOS!DV$11),0)</f>
        <v>0</v>
      </c>
      <c r="EM9" s="24">
        <v>0</v>
      </c>
      <c r="EN9" s="19">
        <f>+IF('Datos delta'!DW9&gt;0,REASIGN(0,'Datos Protegidos'!$I9,PARTIDOS!DX$11),0)</f>
        <v>0</v>
      </c>
      <c r="EO9" s="24">
        <v>0</v>
      </c>
      <c r="EP9" s="19">
        <f>+IF('Datos delta'!DY9&gt;0,REASIGN(0,'Datos Protegidos'!$I9,PARTIDOS!DZ$11),0)</f>
        <v>0</v>
      </c>
      <c r="EQ9" s="24">
        <v>0</v>
      </c>
      <c r="ER9" s="19">
        <f>+IF('Datos delta'!EA9&gt;0,REASIGN(0,'Datos Protegidos'!$I9,PARTIDOS!EB$11),0)</f>
        <v>0</v>
      </c>
      <c r="ES9" s="24">
        <v>0</v>
      </c>
      <c r="ET9" s="19">
        <f>+IF('Datos delta'!EC9&gt;0,REASIGN(0,'Datos Protegidos'!$I9,PARTIDOS!ED$11),0)</f>
        <v>0</v>
      </c>
      <c r="EU9" s="24">
        <v>0</v>
      </c>
    </row>
    <row r="10" spans="1:151" x14ac:dyDescent="0.25">
      <c r="A10" s="24" t="s">
        <v>26</v>
      </c>
      <c r="B10" s="25">
        <v>22</v>
      </c>
      <c r="C10" s="24" t="s">
        <v>27</v>
      </c>
      <c r="D10" s="24">
        <v>219345</v>
      </c>
      <c r="E10" s="26">
        <v>399</v>
      </c>
      <c r="F10" s="26">
        <v>165099</v>
      </c>
      <c r="G10" s="26">
        <v>7623</v>
      </c>
      <c r="H10" s="26">
        <v>172722</v>
      </c>
      <c r="I10" s="1">
        <v>1173</v>
      </c>
      <c r="J10" s="19">
        <f>+INT(([1]Hoja1!M10/[1]Hoja1!O10)*M10)</f>
        <v>113597</v>
      </c>
      <c r="K10" s="19">
        <f>+INT(([1]Hoja1!N10/[1]Hoja1!O10)*M10)</f>
        <v>112234</v>
      </c>
      <c r="L10" s="19">
        <f t="shared" si="1"/>
        <v>2557</v>
      </c>
      <c r="M10" s="19">
        <f t="shared" si="2"/>
        <v>1363</v>
      </c>
      <c r="N10" s="22">
        <f t="shared" si="0"/>
        <v>0</v>
      </c>
      <c r="O10" s="26">
        <v>1363</v>
      </c>
      <c r="P10" s="26">
        <v>1194</v>
      </c>
      <c r="Q10" s="22">
        <f t="shared" si="3"/>
        <v>3</v>
      </c>
      <c r="R10" s="19">
        <f>+IF('Datos delta'!A10&gt;0,REASIGN(0,'Datos Protegidos'!$I10,PARTIDOS!B$11),0)</f>
        <v>0</v>
      </c>
      <c r="S10" s="24">
        <v>2</v>
      </c>
      <c r="T10" s="19">
        <f>+IF('Datos delta'!C10&gt;0,REASIGN(0,'Datos Protegidos'!$I10,PARTIDOS!D$11),0)</f>
        <v>0</v>
      </c>
      <c r="U10" s="24">
        <v>1</v>
      </c>
      <c r="V10" s="19">
        <f>+IF('Datos delta'!E10&gt;0,REASIGN(0,'Datos Protegidos'!$I10,PARTIDOS!F$11),0)</f>
        <v>0</v>
      </c>
      <c r="W10" s="24">
        <v>0</v>
      </c>
      <c r="X10" s="19">
        <f>+IF('Datos delta'!G10&gt;0,REASIGN(0,'Datos Protegidos'!$I10,PARTIDOS!H$11),0)</f>
        <v>0</v>
      </c>
      <c r="Y10" s="24">
        <v>0</v>
      </c>
      <c r="Z10" s="19">
        <f>+IF('Datos delta'!I10&gt;0,REASIGN(0,'Datos Protegidos'!$I10,PARTIDOS!J$11),0)</f>
        <v>0</v>
      </c>
      <c r="AA10" s="24">
        <v>0</v>
      </c>
      <c r="AB10" s="19">
        <f>+IF('Datos delta'!K10&gt;0,REASIGN(0,'Datos Protegidos'!$I10,PARTIDOS!L$11),0)</f>
        <v>0</v>
      </c>
      <c r="AC10" s="24">
        <v>0</v>
      </c>
      <c r="AD10" s="19">
        <f>+IF('Datos delta'!M10&gt;0,REASIGN(0,'Datos Protegidos'!$I10,PARTIDOS!N$11),0)</f>
        <v>0</v>
      </c>
      <c r="AE10" s="24">
        <v>0</v>
      </c>
      <c r="AF10" s="19">
        <f>+IF('Datos delta'!O10&gt;0,REASIGN(0,'Datos Protegidos'!$I10,PARTIDOS!P$11),0)</f>
        <v>0</v>
      </c>
      <c r="AG10" s="24">
        <v>0</v>
      </c>
      <c r="AH10" s="19">
        <f>+IF('Datos delta'!Q10&gt;0,REASIGN(0,'Datos Protegidos'!$I10,PARTIDOS!R$11),0)</f>
        <v>0</v>
      </c>
      <c r="AI10" s="24">
        <v>0</v>
      </c>
      <c r="AJ10" s="19">
        <f>+IF('Datos delta'!S10&gt;0,REASIGN(0,'Datos Protegidos'!$I10,PARTIDOS!T$11),0)</f>
        <v>0</v>
      </c>
      <c r="AK10" s="24">
        <v>0</v>
      </c>
      <c r="AL10" s="19">
        <f>+IF('Datos delta'!U10&gt;0,REASIGN(0,'Datos Protegidos'!$I10,PARTIDOS!V$11),0)</f>
        <v>0</v>
      </c>
      <c r="AM10" s="24">
        <v>0</v>
      </c>
      <c r="AN10" s="19">
        <f>+IF('Datos delta'!W10&gt;0,REASIGN(0,'Datos Protegidos'!$I10,PARTIDOS!X$11),0)</f>
        <v>0</v>
      </c>
      <c r="AO10" s="24">
        <v>0</v>
      </c>
      <c r="AP10" s="19">
        <f>+IF('Datos delta'!Y10&gt;0,REASIGN(0,'Datos Protegidos'!$I10,PARTIDOS!Z$11),0)</f>
        <v>0</v>
      </c>
      <c r="AQ10" s="24">
        <v>0</v>
      </c>
      <c r="AR10" s="19">
        <f>+IF('Datos delta'!AA10&gt;0,REASIGN(0,'Datos Protegidos'!$I10,PARTIDOS!AB$11),0)</f>
        <v>0</v>
      </c>
      <c r="AS10" s="24">
        <v>0</v>
      </c>
      <c r="AT10" s="19">
        <f>+IF('Datos delta'!AC10&gt;0,REASIGN(0,'Datos Protegidos'!$I10,PARTIDOS!AD$11),0)</f>
        <v>0</v>
      </c>
      <c r="AU10" s="24">
        <v>0</v>
      </c>
      <c r="AV10" s="19">
        <f>+IF('Datos delta'!AE10&gt;0,REASIGN(0,'Datos Protegidos'!$I10,PARTIDOS!AF$11),0)</f>
        <v>0</v>
      </c>
      <c r="AW10" s="24">
        <v>0</v>
      </c>
      <c r="AX10" s="19">
        <f>+IF('Datos delta'!AG10&gt;0,REASIGN(0,'Datos Protegidos'!$I10,PARTIDOS!AH$11),0)</f>
        <v>0</v>
      </c>
      <c r="AY10" s="24">
        <v>0</v>
      </c>
      <c r="AZ10" s="19">
        <f>+IF('Datos delta'!AI10&gt;0,REASIGN(0,'Datos Protegidos'!$I10,PARTIDOS!AJ$11),0)</f>
        <v>0</v>
      </c>
      <c r="BA10" s="24">
        <v>0</v>
      </c>
      <c r="BB10" s="19">
        <f>+IF('Datos delta'!AK10&gt;0,REASIGN(0,'Datos Protegidos'!$I10,PARTIDOS!AL$11),0)</f>
        <v>0</v>
      </c>
      <c r="BC10" s="24">
        <v>0</v>
      </c>
      <c r="BD10" s="19">
        <f>+IF('Datos delta'!AM10&gt;0,REASIGN(0,'Datos Protegidos'!$I10,PARTIDOS!AN$11),0)</f>
        <v>0</v>
      </c>
      <c r="BE10" s="24">
        <v>0</v>
      </c>
      <c r="BF10" s="19">
        <f>+IF('Datos delta'!AO10&gt;0,REASIGN(0,'Datos Protegidos'!$I10,PARTIDOS!AP$11),0)</f>
        <v>0</v>
      </c>
      <c r="BG10" s="24">
        <v>0</v>
      </c>
      <c r="BH10" s="19">
        <f>+IF('Datos delta'!AQ10&gt;0,REASIGN(0,'Datos Protegidos'!$I10,PARTIDOS!AR$11),0)</f>
        <v>0</v>
      </c>
      <c r="BI10" s="24">
        <v>0</v>
      </c>
      <c r="BJ10" s="19">
        <f>+IF('Datos delta'!AS10&gt;0,REASIGN(0,'Datos Protegidos'!$I10,PARTIDOS!AT$11),0)</f>
        <v>0</v>
      </c>
      <c r="BK10" s="24">
        <v>0</v>
      </c>
      <c r="BL10" s="19">
        <f>+IF('Datos delta'!AU10&gt;0,REASIGN(0,'Datos Protegidos'!$I10,PARTIDOS!AV$11),0)</f>
        <v>0</v>
      </c>
      <c r="BM10" s="24">
        <v>0</v>
      </c>
      <c r="BN10" s="19">
        <f>+IF('Datos delta'!AW10&gt;0,REASIGN(0,'Datos Protegidos'!$I10,PARTIDOS!AX$11),0)</f>
        <v>0</v>
      </c>
      <c r="BO10" s="24">
        <v>0</v>
      </c>
      <c r="BP10" s="19">
        <f>+IF('Datos delta'!AY10&gt;0,REASIGN(0,'Datos Protegidos'!$I10,PARTIDOS!AZ$11),0)</f>
        <v>0</v>
      </c>
      <c r="BQ10" s="24">
        <v>0</v>
      </c>
      <c r="BR10" s="19">
        <f>+IF('Datos delta'!BA10&gt;0,REASIGN(0,'Datos Protegidos'!$I10,PARTIDOS!BB$11),0)</f>
        <v>0</v>
      </c>
      <c r="BS10" s="24">
        <v>0</v>
      </c>
      <c r="BT10" s="19">
        <f>+IF('Datos delta'!BC10&gt;0,REASIGN(0,'Datos Protegidos'!$I10,PARTIDOS!BD$11),0)</f>
        <v>0</v>
      </c>
      <c r="BU10" s="24">
        <v>0</v>
      </c>
      <c r="BV10" s="19">
        <f>+IF('Datos delta'!BE10&gt;0,REASIGN(0,'Datos Protegidos'!$I10,PARTIDOS!BF$11),0)</f>
        <v>0</v>
      </c>
      <c r="BW10" s="24">
        <v>0</v>
      </c>
      <c r="BX10" s="19">
        <f>+IF('Datos delta'!BG10&gt;0,REASIGN(0,'Datos Protegidos'!$I10,PARTIDOS!BH$11),0)</f>
        <v>0</v>
      </c>
      <c r="BY10" s="24">
        <v>0</v>
      </c>
      <c r="BZ10" s="19">
        <f>+IF('Datos delta'!BI10&gt;0,REASIGN(0,'Datos Protegidos'!$I10,PARTIDOS!BJ$11),0)</f>
        <v>0</v>
      </c>
      <c r="CA10" s="24">
        <v>0</v>
      </c>
      <c r="CB10" s="19">
        <f>+IF('Datos delta'!BK10&gt;0,REASIGN(0,'Datos Protegidos'!$I10,PARTIDOS!BL$11),0)</f>
        <v>0</v>
      </c>
      <c r="CC10" s="24">
        <v>0</v>
      </c>
      <c r="CD10" s="19">
        <f>+IF('Datos delta'!BM10&gt;0,REASIGN(0,'Datos Protegidos'!$I10,PARTIDOS!BN$11),0)</f>
        <v>0</v>
      </c>
      <c r="CE10" s="24">
        <v>0</v>
      </c>
      <c r="CF10" s="19">
        <f>+IF('Datos delta'!BO10&gt;0,REASIGN(0,'Datos Protegidos'!$I10,PARTIDOS!BP$11),0)</f>
        <v>0</v>
      </c>
      <c r="CG10" s="24">
        <v>0</v>
      </c>
      <c r="CH10" s="19">
        <f>+IF('Datos delta'!BQ10&gt;0,REASIGN(0,'Datos Protegidos'!$I10,PARTIDOS!BR$11),0)</f>
        <v>0</v>
      </c>
      <c r="CI10" s="24">
        <v>0</v>
      </c>
      <c r="CJ10" s="19">
        <f>+IF('Datos delta'!BS10&gt;0,REASIGN(0,'Datos Protegidos'!$I10,PARTIDOS!BT$11),0)</f>
        <v>0</v>
      </c>
      <c r="CK10" s="24">
        <v>0</v>
      </c>
      <c r="CL10" s="19">
        <f>+IF('Datos delta'!BU10&gt;0,REASIGN(0,'Datos Protegidos'!$I10,PARTIDOS!BV$11),0)</f>
        <v>0</v>
      </c>
      <c r="CM10" s="24">
        <v>0</v>
      </c>
      <c r="CN10" s="19">
        <f>+IF('Datos delta'!BW10&gt;0,REASIGN(0,'Datos Protegidos'!$I10,PARTIDOS!BX$11),0)</f>
        <v>0</v>
      </c>
      <c r="CO10" s="24">
        <v>0</v>
      </c>
      <c r="CP10" s="19">
        <f>+IF('Datos delta'!BY10&gt;0,REASIGN(0,'Datos Protegidos'!$I10,PARTIDOS!BZ$11),0)</f>
        <v>0</v>
      </c>
      <c r="CQ10" s="24">
        <v>0</v>
      </c>
      <c r="CR10" s="19">
        <f>+IF('Datos delta'!CA10&gt;0,REASIGN(0,'Datos Protegidos'!$I10,PARTIDOS!CB$11),0)</f>
        <v>0</v>
      </c>
      <c r="CS10" s="24">
        <v>0</v>
      </c>
      <c r="CT10" s="19">
        <f>+IF('Datos delta'!CC10&gt;0,REASIGN(0,'Datos Protegidos'!$I10,PARTIDOS!CD$11),0)</f>
        <v>0</v>
      </c>
      <c r="CU10" s="24">
        <v>0</v>
      </c>
      <c r="CV10" s="19">
        <f>+IF('Datos delta'!CE10&gt;0,REASIGN(0,'Datos Protegidos'!$I10,PARTIDOS!CF$11),0)</f>
        <v>0</v>
      </c>
      <c r="CW10" s="24">
        <v>0</v>
      </c>
      <c r="CX10" s="19">
        <f>+IF('Datos delta'!CG10&gt;0,REASIGN(0,'Datos Protegidos'!$I10,PARTIDOS!CH$11),0)</f>
        <v>0</v>
      </c>
      <c r="CY10" s="24">
        <v>0</v>
      </c>
      <c r="CZ10" s="19">
        <f>+IF('Datos delta'!CI10&gt;0,REASIGN(0,'Datos Protegidos'!$I10,PARTIDOS!CJ$11),0)</f>
        <v>0</v>
      </c>
      <c r="DA10" s="24">
        <v>0</v>
      </c>
      <c r="DB10" s="19">
        <f>+IF('Datos delta'!CK10&gt;0,REASIGN(0,'Datos Protegidos'!$I10,PARTIDOS!CL$11),0)</f>
        <v>0</v>
      </c>
      <c r="DC10" s="24">
        <v>0</v>
      </c>
      <c r="DD10" s="19">
        <f>+IF('Datos delta'!CM10&gt;0,REASIGN(0,'Datos Protegidos'!$I10,PARTIDOS!CN$11),0)</f>
        <v>0</v>
      </c>
      <c r="DE10" s="24">
        <v>0</v>
      </c>
      <c r="DF10" s="19">
        <f>+IF('Datos delta'!CO10&gt;0,REASIGN(0,'Datos Protegidos'!$I10,PARTIDOS!CP$11),0)</f>
        <v>0</v>
      </c>
      <c r="DG10" s="24">
        <v>0</v>
      </c>
      <c r="DH10" s="19">
        <f>+IF('Datos delta'!CQ10&gt;0,REASIGN(0,'Datos Protegidos'!$I10,PARTIDOS!CR$11),0)</f>
        <v>0</v>
      </c>
      <c r="DI10" s="24">
        <v>0</v>
      </c>
      <c r="DJ10" s="19">
        <f>+IF('Datos delta'!CS10&gt;0,REASIGN(0,'Datos Protegidos'!$I10,PARTIDOS!CT$11),0)</f>
        <v>0</v>
      </c>
      <c r="DK10" s="24">
        <v>0</v>
      </c>
      <c r="DL10" s="19">
        <f>+IF('Datos delta'!CU10&gt;0,REASIGN(0,'Datos Protegidos'!$I10,PARTIDOS!CV$11),0)</f>
        <v>0</v>
      </c>
      <c r="DM10" s="24">
        <v>0</v>
      </c>
      <c r="DN10" s="19">
        <f>+IF('Datos delta'!CW10&gt;0,REASIGN(0,'Datos Protegidos'!$I10,PARTIDOS!CX$11),0)</f>
        <v>0</v>
      </c>
      <c r="DO10" s="24">
        <v>0</v>
      </c>
      <c r="DP10" s="19">
        <f>+IF('Datos delta'!CY10&gt;0,REASIGN(0,'Datos Protegidos'!$I10,PARTIDOS!CZ$11),0)</f>
        <v>0</v>
      </c>
      <c r="DQ10" s="24">
        <v>0</v>
      </c>
      <c r="DR10" s="19">
        <f>+IF('Datos delta'!DA10&gt;0,REASIGN(0,'Datos Protegidos'!$I10,PARTIDOS!DB$11),0)</f>
        <v>0</v>
      </c>
      <c r="DS10" s="24">
        <v>0</v>
      </c>
      <c r="DT10" s="19">
        <f>+IF('Datos delta'!DC10&gt;0,REASIGN(0,'Datos Protegidos'!$I10,PARTIDOS!DD$11),0)</f>
        <v>0</v>
      </c>
      <c r="DU10" s="24">
        <v>0</v>
      </c>
      <c r="DV10" s="19">
        <f>+IF('Datos delta'!DE10&gt;0,REASIGN(0,'Datos Protegidos'!$I10,PARTIDOS!DF$11),0)</f>
        <v>0</v>
      </c>
      <c r="DW10" s="24">
        <v>0</v>
      </c>
      <c r="DX10" s="19">
        <f>+IF('Datos delta'!DG10&gt;0,REASIGN(0,'Datos Protegidos'!$I10,PARTIDOS!DH$11),0)</f>
        <v>0</v>
      </c>
      <c r="DY10" s="24">
        <v>0</v>
      </c>
      <c r="DZ10" s="19">
        <f>+IF('Datos delta'!DI10&gt;0,REASIGN(0,'Datos Protegidos'!$I10,PARTIDOS!DJ$11),0)</f>
        <v>0</v>
      </c>
      <c r="EA10" s="24">
        <v>0</v>
      </c>
      <c r="EB10" s="19">
        <f>+IF('Datos delta'!DK10&gt;0,REASIGN(0,'Datos Protegidos'!$I10,PARTIDOS!DL$11),0)</f>
        <v>0</v>
      </c>
      <c r="EC10" s="24">
        <v>0</v>
      </c>
      <c r="ED10" s="19">
        <f>+IF('Datos delta'!DM10&gt;0,REASIGN(0,'Datos Protegidos'!$I10,PARTIDOS!DN$11),0)</f>
        <v>0</v>
      </c>
      <c r="EE10" s="24">
        <v>0</v>
      </c>
      <c r="EF10" s="19">
        <f>+IF('Datos delta'!DO10&gt;0,REASIGN(0,'Datos Protegidos'!$I10,PARTIDOS!DP$11),0)</f>
        <v>0</v>
      </c>
      <c r="EG10" s="24">
        <v>0</v>
      </c>
      <c r="EH10" s="19">
        <f>+IF('Datos delta'!DQ10&gt;0,REASIGN(0,'Datos Protegidos'!$I10,PARTIDOS!DR$11),0)</f>
        <v>0</v>
      </c>
      <c r="EI10" s="24">
        <v>0</v>
      </c>
      <c r="EJ10" s="19">
        <f>+IF('Datos delta'!DS10&gt;0,REASIGN(0,'Datos Protegidos'!$I10,PARTIDOS!DT$11),0)</f>
        <v>0</v>
      </c>
      <c r="EK10" s="24">
        <v>0</v>
      </c>
      <c r="EL10" s="19">
        <f>+IF('Datos delta'!DU10&gt;0,REASIGN(0,'Datos Protegidos'!$I10,PARTIDOS!DV$11),0)</f>
        <v>0</v>
      </c>
      <c r="EM10" s="24">
        <v>0</v>
      </c>
      <c r="EN10" s="19">
        <f>+IF('Datos delta'!DW10&gt;0,REASIGN(0,'Datos Protegidos'!$I10,PARTIDOS!DX$11),0)</f>
        <v>0</v>
      </c>
      <c r="EO10" s="24">
        <v>0</v>
      </c>
      <c r="EP10" s="19">
        <f>+IF('Datos delta'!DY10&gt;0,REASIGN(0,'Datos Protegidos'!$I10,PARTIDOS!DZ$11),0)</f>
        <v>0</v>
      </c>
      <c r="EQ10" s="24">
        <v>0</v>
      </c>
      <c r="ER10" s="19">
        <f>+IF('Datos delta'!EA10&gt;0,REASIGN(0,'Datos Protegidos'!$I10,PARTIDOS!EB$11),0)</f>
        <v>0</v>
      </c>
      <c r="ES10" s="24">
        <v>0</v>
      </c>
      <c r="ET10" s="19">
        <f>+IF('Datos delta'!EC10&gt;0,REASIGN(0,'Datos Protegidos'!$I10,PARTIDOS!ED$11),0)</f>
        <v>0</v>
      </c>
      <c r="EU10" s="24">
        <v>0</v>
      </c>
    </row>
    <row r="11" spans="1:151" x14ac:dyDescent="0.25">
      <c r="A11" s="24" t="s">
        <v>26</v>
      </c>
      <c r="B11" s="25">
        <v>44</v>
      </c>
      <c r="C11" s="24" t="s">
        <v>28</v>
      </c>
      <c r="D11" s="24">
        <v>134572</v>
      </c>
      <c r="E11" s="26">
        <v>333</v>
      </c>
      <c r="F11" s="26">
        <v>102585</v>
      </c>
      <c r="G11" s="26">
        <v>4882</v>
      </c>
      <c r="H11" s="26">
        <v>107467</v>
      </c>
      <c r="I11">
        <v>519</v>
      </c>
      <c r="J11" s="19">
        <f>+INT(([1]Hoja1!M11/[1]Hoja1!O11)*M11)</f>
        <v>74130</v>
      </c>
      <c r="K11" s="19">
        <f>+INT(([1]Hoja1!N11/[1]Hoja1!O11)*M11)</f>
        <v>73727</v>
      </c>
      <c r="L11" s="19">
        <f t="shared" si="1"/>
        <v>934</v>
      </c>
      <c r="M11" s="19">
        <f t="shared" si="2"/>
        <v>403</v>
      </c>
      <c r="N11" s="22">
        <f t="shared" si="0"/>
        <v>0</v>
      </c>
      <c r="O11" s="26">
        <v>403</v>
      </c>
      <c r="P11" s="26">
        <v>531</v>
      </c>
      <c r="Q11" s="22">
        <f t="shared" si="3"/>
        <v>3</v>
      </c>
      <c r="R11" s="19">
        <f>+IF('Datos delta'!A11&gt;0,REASIGN(0,'Datos Protegidos'!$I11,PARTIDOS!B$11),0)</f>
        <v>0</v>
      </c>
      <c r="S11" s="24">
        <v>1</v>
      </c>
      <c r="T11" s="19">
        <f>+IF('Datos delta'!C11&gt;0,REASIGN(0,'Datos Protegidos'!$I11,PARTIDOS!D$11),0)</f>
        <v>0</v>
      </c>
      <c r="U11" s="24">
        <v>1</v>
      </c>
      <c r="V11" s="19">
        <f>+IF('Datos delta'!E11&gt;0,REASIGN(0,'Datos Protegidos'!$I11,PARTIDOS!F$11),0)</f>
        <v>0</v>
      </c>
      <c r="W11" s="24">
        <v>0</v>
      </c>
      <c r="X11" s="19">
        <f>+IF('Datos delta'!G11&gt;0,REASIGN(0,'Datos Protegidos'!$I11,PARTIDOS!H$11),0)</f>
        <v>0</v>
      </c>
      <c r="Y11" s="24">
        <v>0</v>
      </c>
      <c r="Z11" s="19">
        <f>+IF('Datos delta'!I11&gt;0,REASIGN(0,'Datos Protegidos'!$I11,PARTIDOS!J$11),0)</f>
        <v>0</v>
      </c>
      <c r="AA11" s="24">
        <v>0</v>
      </c>
      <c r="AB11" s="19">
        <f>+IF('Datos delta'!K11&gt;0,REASIGN(0,'Datos Protegidos'!$I11,PARTIDOS!L$11),0)</f>
        <v>0</v>
      </c>
      <c r="AC11" s="24">
        <v>0</v>
      </c>
      <c r="AD11" s="19">
        <f>+IF('Datos delta'!M11&gt;0,REASIGN(0,'Datos Protegidos'!$I11,PARTIDOS!N$11),0)</f>
        <v>0</v>
      </c>
      <c r="AE11" s="24">
        <v>0</v>
      </c>
      <c r="AF11" s="19">
        <f>+IF('Datos delta'!O11&gt;0,REASIGN(0,'Datos Protegidos'!$I11,PARTIDOS!P$11),0)</f>
        <v>0</v>
      </c>
      <c r="AG11" s="24">
        <v>0</v>
      </c>
      <c r="AH11" s="19">
        <f>+IF('Datos delta'!Q11&gt;0,REASIGN(0,'Datos Protegidos'!$I11,PARTIDOS!R$11),0)</f>
        <v>0</v>
      </c>
      <c r="AI11" s="24">
        <v>0</v>
      </c>
      <c r="AJ11" s="19">
        <f>+IF('Datos delta'!S11&gt;0,REASIGN(0,'Datos Protegidos'!$I11,PARTIDOS!T$11),0)</f>
        <v>0</v>
      </c>
      <c r="AK11" s="24">
        <v>0</v>
      </c>
      <c r="AL11" s="19">
        <f>+IF('Datos delta'!U11&gt;0,REASIGN(0,'Datos Protegidos'!$I11,PARTIDOS!V$11),0)</f>
        <v>0</v>
      </c>
      <c r="AM11" s="24">
        <v>0</v>
      </c>
      <c r="AN11" s="19">
        <f>+IF('Datos delta'!W11&gt;0,REASIGN(0,'Datos Protegidos'!$I11,PARTIDOS!X$11),0)</f>
        <v>0</v>
      </c>
      <c r="AO11" s="24">
        <v>0</v>
      </c>
      <c r="AP11" s="19">
        <f>+IF('Datos delta'!Y11&gt;0,REASIGN(0,'Datos Protegidos'!$I11,PARTIDOS!Z$11),0)</f>
        <v>0</v>
      </c>
      <c r="AQ11" s="24">
        <v>0</v>
      </c>
      <c r="AR11" s="19">
        <f>+IF('Datos delta'!AA11&gt;0,REASIGN(0,'Datos Protegidos'!$I11,PARTIDOS!AB$11),0)</f>
        <v>0</v>
      </c>
      <c r="AS11" s="24">
        <v>0</v>
      </c>
      <c r="AT11" s="19">
        <f>+IF('Datos delta'!AC11&gt;0,REASIGN(0,'Datos Protegidos'!$I11,PARTIDOS!AD$11),0)</f>
        <v>0</v>
      </c>
      <c r="AU11" s="24">
        <v>0</v>
      </c>
      <c r="AV11" s="19">
        <f>+IF('Datos delta'!AE11&gt;0,REASIGN(0,'Datos Protegidos'!$I11,PARTIDOS!AF$11),0)</f>
        <v>0</v>
      </c>
      <c r="AW11" s="24">
        <v>0</v>
      </c>
      <c r="AX11" s="19">
        <f>+IF('Datos delta'!AG11&gt;0,REASIGN(0,'Datos Protegidos'!$I11,PARTIDOS!AH$11),0)</f>
        <v>0</v>
      </c>
      <c r="AY11" s="24">
        <v>0</v>
      </c>
      <c r="AZ11" s="19">
        <f>+IF('Datos delta'!AI11&gt;0,REASIGN(0,'Datos Protegidos'!$I11,PARTIDOS!AJ$11),0)</f>
        <v>0</v>
      </c>
      <c r="BA11" s="24">
        <v>0</v>
      </c>
      <c r="BB11" s="19">
        <f>+IF('Datos delta'!AK11&gt;0,REASIGN(0,'Datos Protegidos'!$I11,PARTIDOS!AL$11),0)</f>
        <v>0</v>
      </c>
      <c r="BC11" s="24">
        <v>1</v>
      </c>
      <c r="BD11" s="19">
        <f>+IF('Datos delta'!AM11&gt;0,REASIGN(0,'Datos Protegidos'!$I11,PARTIDOS!AN$11),0)</f>
        <v>0</v>
      </c>
      <c r="BE11" s="24">
        <v>0</v>
      </c>
      <c r="BF11" s="19">
        <f>+IF('Datos delta'!AO11&gt;0,REASIGN(0,'Datos Protegidos'!$I11,PARTIDOS!AP$11),0)</f>
        <v>0</v>
      </c>
      <c r="BG11" s="24">
        <v>0</v>
      </c>
      <c r="BH11" s="19">
        <f>+IF('Datos delta'!AQ11&gt;0,REASIGN(0,'Datos Protegidos'!$I11,PARTIDOS!AR$11),0)</f>
        <v>0</v>
      </c>
      <c r="BI11" s="24">
        <v>0</v>
      </c>
      <c r="BJ11" s="19">
        <f>+IF('Datos delta'!AS11&gt;0,REASIGN(0,'Datos Protegidos'!$I11,PARTIDOS!AT$11),0)</f>
        <v>0</v>
      </c>
      <c r="BK11" s="24">
        <v>0</v>
      </c>
      <c r="BL11" s="19">
        <f>+IF('Datos delta'!AU11&gt;0,REASIGN(0,'Datos Protegidos'!$I11,PARTIDOS!AV$11),0)</f>
        <v>0</v>
      </c>
      <c r="BM11" s="24">
        <v>0</v>
      </c>
      <c r="BN11" s="19">
        <f>+IF('Datos delta'!AW11&gt;0,REASIGN(0,'Datos Protegidos'!$I11,PARTIDOS!AX$11),0)</f>
        <v>0</v>
      </c>
      <c r="BO11" s="24">
        <v>0</v>
      </c>
      <c r="BP11" s="19">
        <f>+IF('Datos delta'!AY11&gt;0,REASIGN(0,'Datos Protegidos'!$I11,PARTIDOS!AZ$11),0)</f>
        <v>0</v>
      </c>
      <c r="BQ11" s="24">
        <v>0</v>
      </c>
      <c r="BR11" s="19">
        <f>+IF('Datos delta'!BA11&gt;0,REASIGN(0,'Datos Protegidos'!$I11,PARTIDOS!BB$11),0)</f>
        <v>0</v>
      </c>
      <c r="BS11" s="24">
        <v>0</v>
      </c>
      <c r="BT11" s="19">
        <f>+IF('Datos delta'!BC11&gt;0,REASIGN(0,'Datos Protegidos'!$I11,PARTIDOS!BD$11),0)</f>
        <v>0</v>
      </c>
      <c r="BU11" s="24">
        <v>0</v>
      </c>
      <c r="BV11" s="19">
        <f>+IF('Datos delta'!BE11&gt;0,REASIGN(0,'Datos Protegidos'!$I11,PARTIDOS!BF$11),0)</f>
        <v>0</v>
      </c>
      <c r="BW11" s="24">
        <v>0</v>
      </c>
      <c r="BX11" s="19">
        <f>+IF('Datos delta'!BG11&gt;0,REASIGN(0,'Datos Protegidos'!$I11,PARTIDOS!BH$11),0)</f>
        <v>0</v>
      </c>
      <c r="BY11" s="24">
        <v>0</v>
      </c>
      <c r="BZ11" s="19">
        <f>+IF('Datos delta'!BI11&gt;0,REASIGN(0,'Datos Protegidos'!$I11,PARTIDOS!BJ$11),0)</f>
        <v>0</v>
      </c>
      <c r="CA11" s="24">
        <v>0</v>
      </c>
      <c r="CB11" s="19">
        <f>+IF('Datos delta'!BK11&gt;0,REASIGN(0,'Datos Protegidos'!$I11,PARTIDOS!BL$11),0)</f>
        <v>0</v>
      </c>
      <c r="CC11" s="24">
        <v>0</v>
      </c>
      <c r="CD11" s="19">
        <f>+IF('Datos delta'!BM11&gt;0,REASIGN(0,'Datos Protegidos'!$I11,PARTIDOS!BN$11),0)</f>
        <v>0</v>
      </c>
      <c r="CE11" s="24">
        <v>0</v>
      </c>
      <c r="CF11" s="19">
        <f>+IF('Datos delta'!BO11&gt;0,REASIGN(0,'Datos Protegidos'!$I11,PARTIDOS!BP$11),0)</f>
        <v>0</v>
      </c>
      <c r="CG11" s="24">
        <v>0</v>
      </c>
      <c r="CH11" s="19">
        <f>+IF('Datos delta'!BQ11&gt;0,REASIGN(0,'Datos Protegidos'!$I11,PARTIDOS!BR$11),0)</f>
        <v>0</v>
      </c>
      <c r="CI11" s="24">
        <v>0</v>
      </c>
      <c r="CJ11" s="19">
        <f>+IF('Datos delta'!BS11&gt;0,REASIGN(0,'Datos Protegidos'!$I11,PARTIDOS!BT$11),0)</f>
        <v>0</v>
      </c>
      <c r="CK11" s="24">
        <v>0</v>
      </c>
      <c r="CL11" s="19">
        <f>+IF('Datos delta'!BU11&gt;0,REASIGN(0,'Datos Protegidos'!$I11,PARTIDOS!BV$11),0)</f>
        <v>0</v>
      </c>
      <c r="CM11" s="24">
        <v>0</v>
      </c>
      <c r="CN11" s="19">
        <f>+IF('Datos delta'!BW11&gt;0,REASIGN(0,'Datos Protegidos'!$I11,PARTIDOS!BX$11),0)</f>
        <v>0</v>
      </c>
      <c r="CO11" s="24">
        <v>0</v>
      </c>
      <c r="CP11" s="19">
        <f>+IF('Datos delta'!BY11&gt;0,REASIGN(0,'Datos Protegidos'!$I11,PARTIDOS!BZ$11),0)</f>
        <v>0</v>
      </c>
      <c r="CQ11" s="24">
        <v>0</v>
      </c>
      <c r="CR11" s="19">
        <f>+IF('Datos delta'!CA11&gt;0,REASIGN(0,'Datos Protegidos'!$I11,PARTIDOS!CB$11),0)</f>
        <v>0</v>
      </c>
      <c r="CS11" s="24">
        <v>0</v>
      </c>
      <c r="CT11" s="19">
        <f>+IF('Datos delta'!CC11&gt;0,REASIGN(0,'Datos Protegidos'!$I11,PARTIDOS!CD$11),0)</f>
        <v>0</v>
      </c>
      <c r="CU11" s="24">
        <v>0</v>
      </c>
      <c r="CV11" s="19">
        <f>+IF('Datos delta'!CE11&gt;0,REASIGN(0,'Datos Protegidos'!$I11,PARTIDOS!CF$11),0)</f>
        <v>0</v>
      </c>
      <c r="CW11" s="24">
        <v>0</v>
      </c>
      <c r="CX11" s="19">
        <f>+IF('Datos delta'!CG11&gt;0,REASIGN(0,'Datos Protegidos'!$I11,PARTIDOS!CH$11),0)</f>
        <v>0</v>
      </c>
      <c r="CY11" s="24">
        <v>0</v>
      </c>
      <c r="CZ11" s="19">
        <f>+IF('Datos delta'!CI11&gt;0,REASIGN(0,'Datos Protegidos'!$I11,PARTIDOS!CJ$11),0)</f>
        <v>0</v>
      </c>
      <c r="DA11" s="24">
        <v>0</v>
      </c>
      <c r="DB11" s="19">
        <f>+IF('Datos delta'!CK11&gt;0,REASIGN(0,'Datos Protegidos'!$I11,PARTIDOS!CL$11),0)</f>
        <v>0</v>
      </c>
      <c r="DC11" s="24">
        <v>0</v>
      </c>
      <c r="DD11" s="19">
        <f>+IF('Datos delta'!CM11&gt;0,REASIGN(0,'Datos Protegidos'!$I11,PARTIDOS!CN$11),0)</f>
        <v>0</v>
      </c>
      <c r="DE11" s="24">
        <v>0</v>
      </c>
      <c r="DF11" s="19">
        <f>+IF('Datos delta'!CO11&gt;0,REASIGN(0,'Datos Protegidos'!$I11,PARTIDOS!CP$11),0)</f>
        <v>0</v>
      </c>
      <c r="DG11" s="24">
        <v>0</v>
      </c>
      <c r="DH11" s="19">
        <f>+IF('Datos delta'!CQ11&gt;0,REASIGN(0,'Datos Protegidos'!$I11,PARTIDOS!CR$11),0)</f>
        <v>0</v>
      </c>
      <c r="DI11" s="24">
        <v>0</v>
      </c>
      <c r="DJ11" s="19">
        <f>+IF('Datos delta'!CS11&gt;0,REASIGN(0,'Datos Protegidos'!$I11,PARTIDOS!CT$11),0)</f>
        <v>0</v>
      </c>
      <c r="DK11" s="24">
        <v>0</v>
      </c>
      <c r="DL11" s="19">
        <f>+IF('Datos delta'!CU11&gt;0,REASIGN(0,'Datos Protegidos'!$I11,PARTIDOS!CV$11),0)</f>
        <v>0</v>
      </c>
      <c r="DM11" s="24">
        <v>0</v>
      </c>
      <c r="DN11" s="19">
        <f>+IF('Datos delta'!CW11&gt;0,REASIGN(0,'Datos Protegidos'!$I11,PARTIDOS!CX$11),0)</f>
        <v>0</v>
      </c>
      <c r="DO11" s="24">
        <v>0</v>
      </c>
      <c r="DP11" s="19">
        <f>+IF('Datos delta'!CY11&gt;0,REASIGN(0,'Datos Protegidos'!$I11,PARTIDOS!CZ$11),0)</f>
        <v>0</v>
      </c>
      <c r="DQ11" s="24">
        <v>0</v>
      </c>
      <c r="DR11" s="19">
        <f>+IF('Datos delta'!DA11&gt;0,REASIGN(0,'Datos Protegidos'!$I11,PARTIDOS!DB$11),0)</f>
        <v>0</v>
      </c>
      <c r="DS11" s="24">
        <v>0</v>
      </c>
      <c r="DT11" s="19">
        <f>+IF('Datos delta'!DC11&gt;0,REASIGN(0,'Datos Protegidos'!$I11,PARTIDOS!DD$11),0)</f>
        <v>0</v>
      </c>
      <c r="DU11" s="24">
        <v>0</v>
      </c>
      <c r="DV11" s="19">
        <f>+IF('Datos delta'!DE11&gt;0,REASIGN(0,'Datos Protegidos'!$I11,PARTIDOS!DF$11),0)</f>
        <v>0</v>
      </c>
      <c r="DW11" s="24">
        <v>0</v>
      </c>
      <c r="DX11" s="19">
        <f>+IF('Datos delta'!DG11&gt;0,REASIGN(0,'Datos Protegidos'!$I11,PARTIDOS!DH$11),0)</f>
        <v>0</v>
      </c>
      <c r="DY11" s="24">
        <v>0</v>
      </c>
      <c r="DZ11" s="19">
        <f>+IF('Datos delta'!DI11&gt;0,REASIGN(0,'Datos Protegidos'!$I11,PARTIDOS!DJ$11),0)</f>
        <v>0</v>
      </c>
      <c r="EA11" s="24">
        <v>0</v>
      </c>
      <c r="EB11" s="19">
        <f>+IF('Datos delta'!DK11&gt;0,REASIGN(0,'Datos Protegidos'!$I11,PARTIDOS!DL$11),0)</f>
        <v>0</v>
      </c>
      <c r="EC11" s="24">
        <v>0</v>
      </c>
      <c r="ED11" s="19">
        <f>+IF('Datos delta'!DM11&gt;0,REASIGN(0,'Datos Protegidos'!$I11,PARTIDOS!DN$11),0)</f>
        <v>0</v>
      </c>
      <c r="EE11" s="24">
        <v>0</v>
      </c>
      <c r="EF11" s="19">
        <f>+IF('Datos delta'!DO11&gt;0,REASIGN(0,'Datos Protegidos'!$I11,PARTIDOS!DP$11),0)</f>
        <v>0</v>
      </c>
      <c r="EG11" s="24">
        <v>0</v>
      </c>
      <c r="EH11" s="19">
        <f>+IF('Datos delta'!DQ11&gt;0,REASIGN(0,'Datos Protegidos'!$I11,PARTIDOS!DR$11),0)</f>
        <v>0</v>
      </c>
      <c r="EI11" s="24">
        <v>0</v>
      </c>
      <c r="EJ11" s="19">
        <f>+IF('Datos delta'!DS11&gt;0,REASIGN(0,'Datos Protegidos'!$I11,PARTIDOS!DT$11),0)</f>
        <v>0</v>
      </c>
      <c r="EK11" s="24">
        <v>0</v>
      </c>
      <c r="EL11" s="19">
        <f>+IF('Datos delta'!DU11&gt;0,REASIGN(0,'Datos Protegidos'!$I11,PARTIDOS!DV$11),0)</f>
        <v>0</v>
      </c>
      <c r="EM11" s="24">
        <v>0</v>
      </c>
      <c r="EN11" s="19">
        <f>+IF('Datos delta'!DW11&gt;0,REASIGN(0,'Datos Protegidos'!$I11,PARTIDOS!DX$11),0)</f>
        <v>0</v>
      </c>
      <c r="EO11" s="24">
        <v>0</v>
      </c>
      <c r="EP11" s="19">
        <f>+IF('Datos delta'!DY11&gt;0,REASIGN(0,'Datos Protegidos'!$I11,PARTIDOS!DZ$11),0)</f>
        <v>0</v>
      </c>
      <c r="EQ11" s="24">
        <v>0</v>
      </c>
      <c r="ER11" s="19">
        <f>+IF('Datos delta'!EA11&gt;0,REASIGN(0,'Datos Protegidos'!$I11,PARTIDOS!EB$11),0)</f>
        <v>0</v>
      </c>
      <c r="ES11" s="24">
        <v>0</v>
      </c>
      <c r="ET11" s="19">
        <f>+IF('Datos delta'!EC11&gt;0,REASIGN(0,'Datos Protegidos'!$I11,PARTIDOS!ED$11),0)</f>
        <v>0</v>
      </c>
      <c r="EU11" s="24">
        <v>0</v>
      </c>
    </row>
    <row r="12" spans="1:151" x14ac:dyDescent="0.25">
      <c r="A12" s="24" t="s">
        <v>26</v>
      </c>
      <c r="B12" s="25">
        <v>50</v>
      </c>
      <c r="C12" s="24" t="s">
        <v>29</v>
      </c>
      <c r="D12" s="24">
        <v>954811</v>
      </c>
      <c r="E12" s="26">
        <v>1435</v>
      </c>
      <c r="F12" s="26">
        <v>715389</v>
      </c>
      <c r="G12" s="26">
        <v>24184</v>
      </c>
      <c r="H12" s="26">
        <v>739573</v>
      </c>
      <c r="I12" s="1">
        <v>4159</v>
      </c>
      <c r="J12" s="19">
        <f>+INT(([1]Hoja1!M12/[1]Hoja1!O12)*M12)</f>
        <v>513284</v>
      </c>
      <c r="K12" s="19">
        <f>+INT(([1]Hoja1!N12/[1]Hoja1!O12)*M12)</f>
        <v>508295</v>
      </c>
      <c r="L12" s="19">
        <f t="shared" si="1"/>
        <v>9344</v>
      </c>
      <c r="M12" s="19">
        <f t="shared" si="2"/>
        <v>4989</v>
      </c>
      <c r="N12" s="22">
        <f t="shared" si="0"/>
        <v>0</v>
      </c>
      <c r="O12" s="26">
        <v>4989</v>
      </c>
      <c r="P12" s="26">
        <v>4355</v>
      </c>
      <c r="Q12" s="22">
        <f t="shared" si="3"/>
        <v>7</v>
      </c>
      <c r="R12" s="19">
        <f>+IF('Datos delta'!A12&gt;0,REASIGN(0,'Datos Protegidos'!$I12,PARTIDOS!B$11),0)</f>
        <v>0</v>
      </c>
      <c r="S12" s="24">
        <v>3</v>
      </c>
      <c r="T12" s="19">
        <f>+IF('Datos delta'!C12&gt;0,REASIGN(0,'Datos Protegidos'!$I12,PARTIDOS!D$11),0)</f>
        <v>0</v>
      </c>
      <c r="U12" s="24">
        <v>2</v>
      </c>
      <c r="V12" s="19">
        <f>+IF('Datos delta'!E12&gt;0,REASIGN(0,'Datos Protegidos'!$I12,PARTIDOS!F$11),0)</f>
        <v>0</v>
      </c>
      <c r="W12" s="24">
        <v>1</v>
      </c>
      <c r="X12" s="19">
        <f>+IF('Datos delta'!G12&gt;0,REASIGN(0,'Datos Protegidos'!$I12,PARTIDOS!H$11),0)</f>
        <v>0</v>
      </c>
      <c r="Y12" s="24">
        <v>1</v>
      </c>
      <c r="Z12" s="19">
        <f>+IF('Datos delta'!I12&gt;0,REASIGN(0,'Datos Protegidos'!$I12,PARTIDOS!J$11),0)</f>
        <v>0</v>
      </c>
      <c r="AA12" s="24">
        <v>0</v>
      </c>
      <c r="AB12" s="19">
        <f>+IF('Datos delta'!K12&gt;0,REASIGN(0,'Datos Protegidos'!$I12,PARTIDOS!L$11),0)</f>
        <v>0</v>
      </c>
      <c r="AC12" s="24">
        <v>0</v>
      </c>
      <c r="AD12" s="19">
        <f>+IF('Datos delta'!M12&gt;0,REASIGN(0,'Datos Protegidos'!$I12,PARTIDOS!N$11),0)</f>
        <v>0</v>
      </c>
      <c r="AE12" s="24">
        <v>0</v>
      </c>
      <c r="AF12" s="19">
        <f>+IF('Datos delta'!O12&gt;0,REASIGN(0,'Datos Protegidos'!$I12,PARTIDOS!P$11),0)</f>
        <v>0</v>
      </c>
      <c r="AG12" s="24">
        <v>0</v>
      </c>
      <c r="AH12" s="19">
        <f>+IF('Datos delta'!Q12&gt;0,REASIGN(0,'Datos Protegidos'!$I12,PARTIDOS!R$11),0)</f>
        <v>0</v>
      </c>
      <c r="AI12" s="24">
        <v>0</v>
      </c>
      <c r="AJ12" s="19">
        <f>+IF('Datos delta'!S12&gt;0,REASIGN(0,'Datos Protegidos'!$I12,PARTIDOS!T$11),0)</f>
        <v>0</v>
      </c>
      <c r="AK12" s="24">
        <v>0</v>
      </c>
      <c r="AL12" s="19">
        <f>+IF('Datos delta'!U12&gt;0,REASIGN(0,'Datos Protegidos'!$I12,PARTIDOS!V$11),0)</f>
        <v>0</v>
      </c>
      <c r="AM12" s="24">
        <v>0</v>
      </c>
      <c r="AN12" s="19">
        <f>+IF('Datos delta'!W12&gt;0,REASIGN(0,'Datos Protegidos'!$I12,PARTIDOS!X$11),0)</f>
        <v>0</v>
      </c>
      <c r="AO12" s="24">
        <v>0</v>
      </c>
      <c r="AP12" s="19">
        <f>+IF('Datos delta'!Y12&gt;0,REASIGN(0,'Datos Protegidos'!$I12,PARTIDOS!Z$11),0)</f>
        <v>0</v>
      </c>
      <c r="AQ12" s="24">
        <v>0</v>
      </c>
      <c r="AR12" s="19">
        <f>+IF('Datos delta'!AA12&gt;0,REASIGN(0,'Datos Protegidos'!$I12,PARTIDOS!AB$11),0)</f>
        <v>0</v>
      </c>
      <c r="AS12" s="24">
        <v>0</v>
      </c>
      <c r="AT12" s="19">
        <f>+IF('Datos delta'!AC12&gt;0,REASIGN(0,'Datos Protegidos'!$I12,PARTIDOS!AD$11),0)</f>
        <v>0</v>
      </c>
      <c r="AU12" s="24">
        <v>0</v>
      </c>
      <c r="AV12" s="19">
        <f>+IF('Datos delta'!AE12&gt;0,REASIGN(0,'Datos Protegidos'!$I12,PARTIDOS!AF$11),0)</f>
        <v>0</v>
      </c>
      <c r="AW12" s="24">
        <v>0</v>
      </c>
      <c r="AX12" s="19">
        <f>+IF('Datos delta'!AG12&gt;0,REASIGN(0,'Datos Protegidos'!$I12,PARTIDOS!AH$11),0)</f>
        <v>0</v>
      </c>
      <c r="AY12" s="24">
        <v>0</v>
      </c>
      <c r="AZ12" s="19">
        <f>+IF('Datos delta'!AI12&gt;0,REASIGN(0,'Datos Protegidos'!$I12,PARTIDOS!AJ$11),0)</f>
        <v>0</v>
      </c>
      <c r="BA12" s="24">
        <v>0</v>
      </c>
      <c r="BB12" s="19">
        <f>+IF('Datos delta'!AK12&gt;0,REASIGN(0,'Datos Protegidos'!$I12,PARTIDOS!AL$11),0)</f>
        <v>0</v>
      </c>
      <c r="BC12" s="24">
        <v>0</v>
      </c>
      <c r="BD12" s="19">
        <f>+IF('Datos delta'!AM12&gt;0,REASIGN(0,'Datos Protegidos'!$I12,PARTIDOS!AN$11),0)</f>
        <v>0</v>
      </c>
      <c r="BE12" s="24">
        <v>0</v>
      </c>
      <c r="BF12" s="19">
        <f>+IF('Datos delta'!AO12&gt;0,REASIGN(0,'Datos Protegidos'!$I12,PARTIDOS!AP$11),0)</f>
        <v>0</v>
      </c>
      <c r="BG12" s="24">
        <v>0</v>
      </c>
      <c r="BH12" s="19">
        <f>+IF('Datos delta'!AQ12&gt;0,REASIGN(0,'Datos Protegidos'!$I12,PARTIDOS!AR$11),0)</f>
        <v>0</v>
      </c>
      <c r="BI12" s="24">
        <v>0</v>
      </c>
      <c r="BJ12" s="19">
        <f>+IF('Datos delta'!AS12&gt;0,REASIGN(0,'Datos Protegidos'!$I12,PARTIDOS!AT$11),0)</f>
        <v>0</v>
      </c>
      <c r="BK12" s="24">
        <v>0</v>
      </c>
      <c r="BL12" s="19">
        <f>+IF('Datos delta'!AU12&gt;0,REASIGN(0,'Datos Protegidos'!$I12,PARTIDOS!AV$11),0)</f>
        <v>0</v>
      </c>
      <c r="BM12" s="24">
        <v>0</v>
      </c>
      <c r="BN12" s="19">
        <f>+IF('Datos delta'!AW12&gt;0,REASIGN(0,'Datos Protegidos'!$I12,PARTIDOS!AX$11),0)</f>
        <v>0</v>
      </c>
      <c r="BO12" s="24">
        <v>0</v>
      </c>
      <c r="BP12" s="19">
        <f>+IF('Datos delta'!AY12&gt;0,REASIGN(0,'Datos Protegidos'!$I12,PARTIDOS!AZ$11),0)</f>
        <v>0</v>
      </c>
      <c r="BQ12" s="24">
        <v>0</v>
      </c>
      <c r="BR12" s="19">
        <f>+IF('Datos delta'!BA12&gt;0,REASIGN(0,'Datos Protegidos'!$I12,PARTIDOS!BB$11),0)</f>
        <v>0</v>
      </c>
      <c r="BS12" s="24">
        <v>0</v>
      </c>
      <c r="BT12" s="19">
        <f>+IF('Datos delta'!BC12&gt;0,REASIGN(0,'Datos Protegidos'!$I12,PARTIDOS!BD$11),0)</f>
        <v>0</v>
      </c>
      <c r="BU12" s="24">
        <v>0</v>
      </c>
      <c r="BV12" s="19">
        <f>+IF('Datos delta'!BE12&gt;0,REASIGN(0,'Datos Protegidos'!$I12,PARTIDOS!BF$11),0)</f>
        <v>0</v>
      </c>
      <c r="BW12" s="24">
        <v>0</v>
      </c>
      <c r="BX12" s="19">
        <f>+IF('Datos delta'!BG12&gt;0,REASIGN(0,'Datos Protegidos'!$I12,PARTIDOS!BH$11),0)</f>
        <v>0</v>
      </c>
      <c r="BY12" s="24">
        <v>0</v>
      </c>
      <c r="BZ12" s="19">
        <f>+IF('Datos delta'!BI12&gt;0,REASIGN(0,'Datos Protegidos'!$I12,PARTIDOS!BJ$11),0)</f>
        <v>0</v>
      </c>
      <c r="CA12" s="24">
        <v>0</v>
      </c>
      <c r="CB12" s="19">
        <f>+IF('Datos delta'!BK12&gt;0,REASIGN(0,'Datos Protegidos'!$I12,PARTIDOS!BL$11),0)</f>
        <v>0</v>
      </c>
      <c r="CC12" s="24">
        <v>0</v>
      </c>
      <c r="CD12" s="19">
        <f>+IF('Datos delta'!BM12&gt;0,REASIGN(0,'Datos Protegidos'!$I12,PARTIDOS!BN$11),0)</f>
        <v>0</v>
      </c>
      <c r="CE12" s="24">
        <v>0</v>
      </c>
      <c r="CF12" s="19">
        <f>+IF('Datos delta'!BO12&gt;0,REASIGN(0,'Datos Protegidos'!$I12,PARTIDOS!BP$11),0)</f>
        <v>0</v>
      </c>
      <c r="CG12" s="24">
        <v>0</v>
      </c>
      <c r="CH12" s="19">
        <f>+IF('Datos delta'!BQ12&gt;0,REASIGN(0,'Datos Protegidos'!$I12,PARTIDOS!BR$11),0)</f>
        <v>0</v>
      </c>
      <c r="CI12" s="24">
        <v>0</v>
      </c>
      <c r="CJ12" s="19">
        <f>+IF('Datos delta'!BS12&gt;0,REASIGN(0,'Datos Protegidos'!$I12,PARTIDOS!BT$11),0)</f>
        <v>0</v>
      </c>
      <c r="CK12" s="24">
        <v>0</v>
      </c>
      <c r="CL12" s="19">
        <f>+IF('Datos delta'!BU12&gt;0,REASIGN(0,'Datos Protegidos'!$I12,PARTIDOS!BV$11),0)</f>
        <v>0</v>
      </c>
      <c r="CM12" s="24">
        <v>0</v>
      </c>
      <c r="CN12" s="19">
        <f>+IF('Datos delta'!BW12&gt;0,REASIGN(0,'Datos Protegidos'!$I12,PARTIDOS!BX$11),0)</f>
        <v>0</v>
      </c>
      <c r="CO12" s="24">
        <v>0</v>
      </c>
      <c r="CP12" s="19">
        <f>+IF('Datos delta'!BY12&gt;0,REASIGN(0,'Datos Protegidos'!$I12,PARTIDOS!BZ$11),0)</f>
        <v>0</v>
      </c>
      <c r="CQ12" s="24">
        <v>0</v>
      </c>
      <c r="CR12" s="19">
        <f>+IF('Datos delta'!CA12&gt;0,REASIGN(0,'Datos Protegidos'!$I12,PARTIDOS!CB$11),0)</f>
        <v>0</v>
      </c>
      <c r="CS12" s="24">
        <v>0</v>
      </c>
      <c r="CT12" s="19">
        <f>+IF('Datos delta'!CC12&gt;0,REASIGN(0,'Datos Protegidos'!$I12,PARTIDOS!CD$11),0)</f>
        <v>0</v>
      </c>
      <c r="CU12" s="24">
        <v>0</v>
      </c>
      <c r="CV12" s="19">
        <f>+IF('Datos delta'!CE12&gt;0,REASIGN(0,'Datos Protegidos'!$I12,PARTIDOS!CF$11),0)</f>
        <v>0</v>
      </c>
      <c r="CW12" s="24">
        <v>0</v>
      </c>
      <c r="CX12" s="19">
        <f>+IF('Datos delta'!CG12&gt;0,REASIGN(0,'Datos Protegidos'!$I12,PARTIDOS!CH$11),0)</f>
        <v>0</v>
      </c>
      <c r="CY12" s="24">
        <v>0</v>
      </c>
      <c r="CZ12" s="19">
        <f>+IF('Datos delta'!CI12&gt;0,REASIGN(0,'Datos Protegidos'!$I12,PARTIDOS!CJ$11),0)</f>
        <v>0</v>
      </c>
      <c r="DA12" s="24">
        <v>0</v>
      </c>
      <c r="DB12" s="19">
        <f>+IF('Datos delta'!CK12&gt;0,REASIGN(0,'Datos Protegidos'!$I12,PARTIDOS!CL$11),0)</f>
        <v>0</v>
      </c>
      <c r="DC12" s="24">
        <v>0</v>
      </c>
      <c r="DD12" s="19">
        <f>+IF('Datos delta'!CM12&gt;0,REASIGN(0,'Datos Protegidos'!$I12,PARTIDOS!CN$11),0)</f>
        <v>0</v>
      </c>
      <c r="DE12" s="24">
        <v>0</v>
      </c>
      <c r="DF12" s="19">
        <f>+IF('Datos delta'!CO12&gt;0,REASIGN(0,'Datos Protegidos'!$I12,PARTIDOS!CP$11),0)</f>
        <v>0</v>
      </c>
      <c r="DG12" s="24">
        <v>0</v>
      </c>
      <c r="DH12" s="19">
        <f>+IF('Datos delta'!CQ12&gt;0,REASIGN(0,'Datos Protegidos'!$I12,PARTIDOS!CR$11),0)</f>
        <v>0</v>
      </c>
      <c r="DI12" s="24">
        <v>0</v>
      </c>
      <c r="DJ12" s="19">
        <f>+IF('Datos delta'!CS12&gt;0,REASIGN(0,'Datos Protegidos'!$I12,PARTIDOS!CT$11),0)</f>
        <v>0</v>
      </c>
      <c r="DK12" s="24">
        <v>0</v>
      </c>
      <c r="DL12" s="19">
        <f>+IF('Datos delta'!CU12&gt;0,REASIGN(0,'Datos Protegidos'!$I12,PARTIDOS!CV$11),0)</f>
        <v>0</v>
      </c>
      <c r="DM12" s="24">
        <v>0</v>
      </c>
      <c r="DN12" s="19">
        <f>+IF('Datos delta'!CW12&gt;0,REASIGN(0,'Datos Protegidos'!$I12,PARTIDOS!CX$11),0)</f>
        <v>0</v>
      </c>
      <c r="DO12" s="24">
        <v>0</v>
      </c>
      <c r="DP12" s="19">
        <f>+IF('Datos delta'!CY12&gt;0,REASIGN(0,'Datos Protegidos'!$I12,PARTIDOS!CZ$11),0)</f>
        <v>0</v>
      </c>
      <c r="DQ12" s="24">
        <v>0</v>
      </c>
      <c r="DR12" s="19">
        <f>+IF('Datos delta'!DA12&gt;0,REASIGN(0,'Datos Protegidos'!$I12,PARTIDOS!DB$11),0)</f>
        <v>0</v>
      </c>
      <c r="DS12" s="24">
        <v>0</v>
      </c>
      <c r="DT12" s="19">
        <f>+IF('Datos delta'!DC12&gt;0,REASIGN(0,'Datos Protegidos'!$I12,PARTIDOS!DD$11),0)</f>
        <v>0</v>
      </c>
      <c r="DU12" s="24">
        <v>0</v>
      </c>
      <c r="DV12" s="19">
        <f>+IF('Datos delta'!DE12&gt;0,REASIGN(0,'Datos Protegidos'!$I12,PARTIDOS!DF$11),0)</f>
        <v>0</v>
      </c>
      <c r="DW12" s="24">
        <v>0</v>
      </c>
      <c r="DX12" s="19">
        <f>+IF('Datos delta'!DG12&gt;0,REASIGN(0,'Datos Protegidos'!$I12,PARTIDOS!DH$11),0)</f>
        <v>0</v>
      </c>
      <c r="DY12" s="24">
        <v>0</v>
      </c>
      <c r="DZ12" s="19">
        <f>+IF('Datos delta'!DI12&gt;0,REASIGN(0,'Datos Protegidos'!$I12,PARTIDOS!DJ$11),0)</f>
        <v>0</v>
      </c>
      <c r="EA12" s="24">
        <v>0</v>
      </c>
      <c r="EB12" s="19">
        <f>+IF('Datos delta'!DK12&gt;0,REASIGN(0,'Datos Protegidos'!$I12,PARTIDOS!DL$11),0)</f>
        <v>0</v>
      </c>
      <c r="EC12" s="24">
        <v>0</v>
      </c>
      <c r="ED12" s="19">
        <f>+IF('Datos delta'!DM12&gt;0,REASIGN(0,'Datos Protegidos'!$I12,PARTIDOS!DN$11),0)</f>
        <v>0</v>
      </c>
      <c r="EE12" s="24">
        <v>0</v>
      </c>
      <c r="EF12" s="19">
        <f>+IF('Datos delta'!DO12&gt;0,REASIGN(0,'Datos Protegidos'!$I12,PARTIDOS!DP$11),0)</f>
        <v>0</v>
      </c>
      <c r="EG12" s="24">
        <v>0</v>
      </c>
      <c r="EH12" s="19">
        <f>+IF('Datos delta'!DQ12&gt;0,REASIGN(0,'Datos Protegidos'!$I12,PARTIDOS!DR$11),0)</f>
        <v>0</v>
      </c>
      <c r="EI12" s="24">
        <v>0</v>
      </c>
      <c r="EJ12" s="19">
        <f>+IF('Datos delta'!DS12&gt;0,REASIGN(0,'Datos Protegidos'!$I12,PARTIDOS!DT$11),0)</f>
        <v>0</v>
      </c>
      <c r="EK12" s="24">
        <v>0</v>
      </c>
      <c r="EL12" s="19">
        <f>+IF('Datos delta'!DU12&gt;0,REASIGN(0,'Datos Protegidos'!$I12,PARTIDOS!DV$11),0)</f>
        <v>0</v>
      </c>
      <c r="EM12" s="24">
        <v>0</v>
      </c>
      <c r="EN12" s="19">
        <f>+IF('Datos delta'!DW12&gt;0,REASIGN(0,'Datos Protegidos'!$I12,PARTIDOS!DX$11),0)</f>
        <v>0</v>
      </c>
      <c r="EO12" s="24">
        <v>0</v>
      </c>
      <c r="EP12" s="19">
        <f>+IF('Datos delta'!DY12&gt;0,REASIGN(0,'Datos Protegidos'!$I12,PARTIDOS!DZ$11),0)</f>
        <v>0</v>
      </c>
      <c r="EQ12" s="24">
        <v>0</v>
      </c>
      <c r="ER12" s="19">
        <f>+IF('Datos delta'!EA12&gt;0,REASIGN(0,'Datos Protegidos'!$I12,PARTIDOS!EB$11),0)</f>
        <v>0</v>
      </c>
      <c r="ES12" s="24">
        <v>0</v>
      </c>
      <c r="ET12" s="19">
        <f>+IF('Datos delta'!EC12&gt;0,REASIGN(0,'Datos Protegidos'!$I12,PARTIDOS!ED$11),0)</f>
        <v>0</v>
      </c>
      <c r="EU12" s="24">
        <v>0</v>
      </c>
    </row>
    <row r="13" spans="1:151" x14ac:dyDescent="0.25">
      <c r="A13" s="24" t="s">
        <v>30</v>
      </c>
      <c r="B13" s="25">
        <v>33</v>
      </c>
      <c r="C13" s="24" t="s">
        <v>31</v>
      </c>
      <c r="D13" s="24">
        <v>1028244</v>
      </c>
      <c r="E13" s="26">
        <v>1541</v>
      </c>
      <c r="F13" s="26">
        <v>853793</v>
      </c>
      <c r="G13" s="26">
        <v>118787</v>
      </c>
      <c r="H13" s="26">
        <v>972580</v>
      </c>
      <c r="I13" s="1">
        <v>9797</v>
      </c>
      <c r="J13" s="19">
        <f>+INT(([1]Hoja1!M13/[1]Hoja1!O13)*M13)</f>
        <v>559745</v>
      </c>
      <c r="K13" s="19">
        <f>+INT(([1]Hoja1!N13/[1]Hoja1!O13)*M13)</f>
        <v>552704</v>
      </c>
      <c r="L13" s="19">
        <f t="shared" si="1"/>
        <v>12527</v>
      </c>
      <c r="M13" s="19">
        <f t="shared" si="2"/>
        <v>7041</v>
      </c>
      <c r="N13" s="22">
        <f t="shared" si="0"/>
        <v>0</v>
      </c>
      <c r="O13" s="26">
        <v>7041</v>
      </c>
      <c r="P13" s="26">
        <v>5486</v>
      </c>
      <c r="Q13" s="22">
        <f t="shared" si="3"/>
        <v>7</v>
      </c>
      <c r="R13" s="19">
        <f>+IF('Datos delta'!A13&gt;0,REASIGN(0,'Datos Protegidos'!$I13,PARTIDOS!B$11),0)</f>
        <v>0</v>
      </c>
      <c r="S13" s="24">
        <v>3</v>
      </c>
      <c r="T13" s="19">
        <f>+IF('Datos delta'!C13&gt;0,REASIGN(0,'Datos Protegidos'!$I13,PARTIDOS!D$11),0)</f>
        <v>0</v>
      </c>
      <c r="U13" s="24">
        <v>2</v>
      </c>
      <c r="V13" s="19">
        <f>+IF('Datos delta'!E13&gt;0,REASIGN(0,'Datos Protegidos'!$I13,PARTIDOS!F$11),0)</f>
        <v>0</v>
      </c>
      <c r="W13" s="24">
        <v>1</v>
      </c>
      <c r="X13" s="19">
        <f>+IF('Datos delta'!G13&gt;0,REASIGN(0,'Datos Protegidos'!$I13,PARTIDOS!H$11),0)</f>
        <v>0</v>
      </c>
      <c r="Y13" s="24">
        <v>1</v>
      </c>
      <c r="Z13" s="19">
        <f>+IF('Datos delta'!I13&gt;0,REASIGN(0,'Datos Protegidos'!$I13,PARTIDOS!J$11),0)</f>
        <v>0</v>
      </c>
      <c r="AA13" s="24">
        <v>0</v>
      </c>
      <c r="AB13" s="19">
        <f>+IF('Datos delta'!K13&gt;0,REASIGN(0,'Datos Protegidos'!$I13,PARTIDOS!L$11),0)</f>
        <v>0</v>
      </c>
      <c r="AC13" s="24">
        <v>0</v>
      </c>
      <c r="AD13" s="19">
        <f>+IF('Datos delta'!M13&gt;0,REASIGN(0,'Datos Protegidos'!$I13,PARTIDOS!N$11),0)</f>
        <v>0</v>
      </c>
      <c r="AE13" s="24">
        <v>0</v>
      </c>
      <c r="AF13" s="19">
        <f>+IF('Datos delta'!O13&gt;0,REASIGN(0,'Datos Protegidos'!$I13,PARTIDOS!P$11),0)</f>
        <v>0</v>
      </c>
      <c r="AG13" s="24">
        <v>0</v>
      </c>
      <c r="AH13" s="19">
        <f>+IF('Datos delta'!Q13&gt;0,REASIGN(0,'Datos Protegidos'!$I13,PARTIDOS!R$11),0)</f>
        <v>0</v>
      </c>
      <c r="AI13" s="24">
        <v>0</v>
      </c>
      <c r="AJ13" s="19">
        <f>+IF('Datos delta'!S13&gt;0,REASIGN(0,'Datos Protegidos'!$I13,PARTIDOS!T$11),0)</f>
        <v>0</v>
      </c>
      <c r="AK13" s="24">
        <v>0</v>
      </c>
      <c r="AL13" s="19">
        <f>+IF('Datos delta'!U13&gt;0,REASIGN(0,'Datos Protegidos'!$I13,PARTIDOS!V$11),0)</f>
        <v>0</v>
      </c>
      <c r="AM13" s="24">
        <v>0</v>
      </c>
      <c r="AN13" s="19">
        <f>+IF('Datos delta'!W13&gt;0,REASIGN(0,'Datos Protegidos'!$I13,PARTIDOS!X$11),0)</f>
        <v>0</v>
      </c>
      <c r="AO13" s="24">
        <v>0</v>
      </c>
      <c r="AP13" s="19">
        <f>+IF('Datos delta'!Y13&gt;0,REASIGN(0,'Datos Protegidos'!$I13,PARTIDOS!Z$11),0)</f>
        <v>0</v>
      </c>
      <c r="AQ13" s="24">
        <v>0</v>
      </c>
      <c r="AR13" s="19">
        <f>+IF('Datos delta'!AA13&gt;0,REASIGN(0,'Datos Protegidos'!$I13,PARTIDOS!AB$11),0)</f>
        <v>0</v>
      </c>
      <c r="AS13" s="24">
        <v>0</v>
      </c>
      <c r="AT13" s="19">
        <f>+IF('Datos delta'!AC13&gt;0,REASIGN(0,'Datos Protegidos'!$I13,PARTIDOS!AD$11),0)</f>
        <v>0</v>
      </c>
      <c r="AU13" s="24">
        <v>0</v>
      </c>
      <c r="AV13" s="19">
        <f>+IF('Datos delta'!AE13&gt;0,REASIGN(0,'Datos Protegidos'!$I13,PARTIDOS!AF$11),0)</f>
        <v>0</v>
      </c>
      <c r="AW13" s="24">
        <v>0</v>
      </c>
      <c r="AX13" s="19">
        <f>+IF('Datos delta'!AG13&gt;0,REASIGN(0,'Datos Protegidos'!$I13,PARTIDOS!AH$11),0)</f>
        <v>0</v>
      </c>
      <c r="AY13" s="24">
        <v>0</v>
      </c>
      <c r="AZ13" s="19">
        <f>+IF('Datos delta'!AI13&gt;0,REASIGN(0,'Datos Protegidos'!$I13,PARTIDOS!AJ$11),0)</f>
        <v>0</v>
      </c>
      <c r="BA13" s="24">
        <v>0</v>
      </c>
      <c r="BB13" s="19">
        <f>+IF('Datos delta'!AK13&gt;0,REASIGN(0,'Datos Protegidos'!$I13,PARTIDOS!AL$11),0)</f>
        <v>0</v>
      </c>
      <c r="BC13" s="24">
        <v>0</v>
      </c>
      <c r="BD13" s="19">
        <f>+IF('Datos delta'!AM13&gt;0,REASIGN(0,'Datos Protegidos'!$I13,PARTIDOS!AN$11),0)</f>
        <v>0</v>
      </c>
      <c r="BE13" s="24">
        <v>0</v>
      </c>
      <c r="BF13" s="19">
        <f>+IF('Datos delta'!AO13&gt;0,REASIGN(0,'Datos Protegidos'!$I13,PARTIDOS!AP$11),0)</f>
        <v>0</v>
      </c>
      <c r="BG13" s="24">
        <v>0</v>
      </c>
      <c r="BH13" s="19">
        <f>+IF('Datos delta'!AQ13&gt;0,REASIGN(0,'Datos Protegidos'!$I13,PARTIDOS!AR$11),0)</f>
        <v>0</v>
      </c>
      <c r="BI13" s="24">
        <v>0</v>
      </c>
      <c r="BJ13" s="19">
        <f>+IF('Datos delta'!AS13&gt;0,REASIGN(0,'Datos Protegidos'!$I13,PARTIDOS!AT$11),0)</f>
        <v>0</v>
      </c>
      <c r="BK13" s="24">
        <v>0</v>
      </c>
      <c r="BL13" s="19">
        <f>+IF('Datos delta'!AU13&gt;0,REASIGN(0,'Datos Protegidos'!$I13,PARTIDOS!AV$11),0)</f>
        <v>0</v>
      </c>
      <c r="BM13" s="24">
        <v>0</v>
      </c>
      <c r="BN13" s="19">
        <f>+IF('Datos delta'!AW13&gt;0,REASIGN(0,'Datos Protegidos'!$I13,PARTIDOS!AX$11),0)</f>
        <v>0</v>
      </c>
      <c r="BO13" s="24">
        <v>0</v>
      </c>
      <c r="BP13" s="19">
        <f>+IF('Datos delta'!AY13&gt;0,REASIGN(0,'Datos Protegidos'!$I13,PARTIDOS!AZ$11),0)</f>
        <v>0</v>
      </c>
      <c r="BQ13" s="24">
        <v>0</v>
      </c>
      <c r="BR13" s="19">
        <f>+IF('Datos delta'!BA13&gt;0,REASIGN(0,'Datos Protegidos'!$I13,PARTIDOS!BB$11),0)</f>
        <v>0</v>
      </c>
      <c r="BS13" s="24">
        <v>0</v>
      </c>
      <c r="BT13" s="19">
        <f>+IF('Datos delta'!BC13&gt;0,REASIGN(0,'Datos Protegidos'!$I13,PARTIDOS!BD$11),0)</f>
        <v>0</v>
      </c>
      <c r="BU13" s="24">
        <v>0</v>
      </c>
      <c r="BV13" s="19">
        <f>+IF('Datos delta'!BE13&gt;0,REASIGN(0,'Datos Protegidos'!$I13,PARTIDOS!BF$11),0)</f>
        <v>0</v>
      </c>
      <c r="BW13" s="24">
        <v>0</v>
      </c>
      <c r="BX13" s="19">
        <f>+IF('Datos delta'!BG13&gt;0,REASIGN(0,'Datos Protegidos'!$I13,PARTIDOS!BH$11),0)</f>
        <v>0</v>
      </c>
      <c r="BY13" s="24">
        <v>0</v>
      </c>
      <c r="BZ13" s="19">
        <f>+IF('Datos delta'!BI13&gt;0,REASIGN(0,'Datos Protegidos'!$I13,PARTIDOS!BJ$11),0)</f>
        <v>0</v>
      </c>
      <c r="CA13" s="24">
        <v>0</v>
      </c>
      <c r="CB13" s="19">
        <f>+IF('Datos delta'!BK13&gt;0,REASIGN(0,'Datos Protegidos'!$I13,PARTIDOS!BL$11),0)</f>
        <v>0</v>
      </c>
      <c r="CC13" s="24">
        <v>0</v>
      </c>
      <c r="CD13" s="19">
        <f>+IF('Datos delta'!BM13&gt;0,REASIGN(0,'Datos Protegidos'!$I13,PARTIDOS!BN$11),0)</f>
        <v>0</v>
      </c>
      <c r="CE13" s="24">
        <v>0</v>
      </c>
      <c r="CF13" s="19">
        <f>+IF('Datos delta'!BO13&gt;0,REASIGN(0,'Datos Protegidos'!$I13,PARTIDOS!BP$11),0)</f>
        <v>0</v>
      </c>
      <c r="CG13" s="24">
        <v>0</v>
      </c>
      <c r="CH13" s="19">
        <f>+IF('Datos delta'!BQ13&gt;0,REASIGN(0,'Datos Protegidos'!$I13,PARTIDOS!BR$11),0)</f>
        <v>0</v>
      </c>
      <c r="CI13" s="24">
        <v>0</v>
      </c>
      <c r="CJ13" s="19">
        <f>+IF('Datos delta'!BS13&gt;0,REASIGN(0,'Datos Protegidos'!$I13,PARTIDOS!BT$11),0)</f>
        <v>0</v>
      </c>
      <c r="CK13" s="24">
        <v>0</v>
      </c>
      <c r="CL13" s="19">
        <f>+IF('Datos delta'!BU13&gt;0,REASIGN(0,'Datos Protegidos'!$I13,PARTIDOS!BV$11),0)</f>
        <v>0</v>
      </c>
      <c r="CM13" s="24">
        <v>0</v>
      </c>
      <c r="CN13" s="19">
        <f>+IF('Datos delta'!BW13&gt;0,REASIGN(0,'Datos Protegidos'!$I13,PARTIDOS!BX$11),0)</f>
        <v>0</v>
      </c>
      <c r="CO13" s="24">
        <v>0</v>
      </c>
      <c r="CP13" s="19">
        <f>+IF('Datos delta'!BY13&gt;0,REASIGN(0,'Datos Protegidos'!$I13,PARTIDOS!BZ$11),0)</f>
        <v>0</v>
      </c>
      <c r="CQ13" s="24">
        <v>0</v>
      </c>
      <c r="CR13" s="19">
        <f>+IF('Datos delta'!CA13&gt;0,REASIGN(0,'Datos Protegidos'!$I13,PARTIDOS!CB$11),0)</f>
        <v>0</v>
      </c>
      <c r="CS13" s="24">
        <v>0</v>
      </c>
      <c r="CT13" s="19">
        <f>+IF('Datos delta'!CC13&gt;0,REASIGN(0,'Datos Protegidos'!$I13,PARTIDOS!CD$11),0)</f>
        <v>0</v>
      </c>
      <c r="CU13" s="24">
        <v>0</v>
      </c>
      <c r="CV13" s="19">
        <f>+IF('Datos delta'!CE13&gt;0,REASIGN(0,'Datos Protegidos'!$I13,PARTIDOS!CF$11),0)</f>
        <v>0</v>
      </c>
      <c r="CW13" s="24">
        <v>0</v>
      </c>
      <c r="CX13" s="19">
        <f>+IF('Datos delta'!CG13&gt;0,REASIGN(0,'Datos Protegidos'!$I13,PARTIDOS!CH$11),0)</f>
        <v>0</v>
      </c>
      <c r="CY13" s="24">
        <v>0</v>
      </c>
      <c r="CZ13" s="19">
        <f>+IF('Datos delta'!CI13&gt;0,REASIGN(0,'Datos Protegidos'!$I13,PARTIDOS!CJ$11),0)</f>
        <v>0</v>
      </c>
      <c r="DA13" s="24">
        <v>0</v>
      </c>
      <c r="DB13" s="19">
        <f>+IF('Datos delta'!CK13&gt;0,REASIGN(0,'Datos Protegidos'!$I13,PARTIDOS!CL$11),0)</f>
        <v>0</v>
      </c>
      <c r="DC13" s="24">
        <v>0</v>
      </c>
      <c r="DD13" s="19">
        <f>+IF('Datos delta'!CM13&gt;0,REASIGN(0,'Datos Protegidos'!$I13,PARTIDOS!CN$11),0)</f>
        <v>0</v>
      </c>
      <c r="DE13" s="24">
        <v>0</v>
      </c>
      <c r="DF13" s="19">
        <f>+IF('Datos delta'!CO13&gt;0,REASIGN(0,'Datos Protegidos'!$I13,PARTIDOS!CP$11),0)</f>
        <v>0</v>
      </c>
      <c r="DG13" s="24">
        <v>0</v>
      </c>
      <c r="DH13" s="19">
        <f>+IF('Datos delta'!CQ13&gt;0,REASIGN(0,'Datos Protegidos'!$I13,PARTIDOS!CR$11),0)</f>
        <v>0</v>
      </c>
      <c r="DI13" s="24">
        <v>0</v>
      </c>
      <c r="DJ13" s="19">
        <f>+IF('Datos delta'!CS13&gt;0,REASIGN(0,'Datos Protegidos'!$I13,PARTIDOS!CT$11),0)</f>
        <v>0</v>
      </c>
      <c r="DK13" s="24">
        <v>0</v>
      </c>
      <c r="DL13" s="19">
        <f>+IF('Datos delta'!CU13&gt;0,REASIGN(0,'Datos Protegidos'!$I13,PARTIDOS!CV$11),0)</f>
        <v>0</v>
      </c>
      <c r="DM13" s="24">
        <v>0</v>
      </c>
      <c r="DN13" s="19">
        <f>+IF('Datos delta'!CW13&gt;0,REASIGN(0,'Datos Protegidos'!$I13,PARTIDOS!CX$11),0)</f>
        <v>0</v>
      </c>
      <c r="DO13" s="24">
        <v>0</v>
      </c>
      <c r="DP13" s="19">
        <f>+IF('Datos delta'!CY13&gt;0,REASIGN(0,'Datos Protegidos'!$I13,PARTIDOS!CZ$11),0)</f>
        <v>0</v>
      </c>
      <c r="DQ13" s="24">
        <v>0</v>
      </c>
      <c r="DR13" s="19">
        <f>+IF('Datos delta'!DA13&gt;0,REASIGN(0,'Datos Protegidos'!$I13,PARTIDOS!DB$11),0)</f>
        <v>0</v>
      </c>
      <c r="DS13" s="24">
        <v>0</v>
      </c>
      <c r="DT13" s="19">
        <f>+IF('Datos delta'!DC13&gt;0,REASIGN(0,'Datos Protegidos'!$I13,PARTIDOS!DD$11),0)</f>
        <v>0</v>
      </c>
      <c r="DU13" s="24">
        <v>0</v>
      </c>
      <c r="DV13" s="19">
        <f>+IF('Datos delta'!DE13&gt;0,REASIGN(0,'Datos Protegidos'!$I13,PARTIDOS!DF$11),0)</f>
        <v>0</v>
      </c>
      <c r="DW13" s="24">
        <v>0</v>
      </c>
      <c r="DX13" s="19">
        <f>+IF('Datos delta'!DG13&gt;0,REASIGN(0,'Datos Protegidos'!$I13,PARTIDOS!DH$11),0)</f>
        <v>0</v>
      </c>
      <c r="DY13" s="24">
        <v>0</v>
      </c>
      <c r="DZ13" s="19">
        <f>+IF('Datos delta'!DI13&gt;0,REASIGN(0,'Datos Protegidos'!$I13,PARTIDOS!DJ$11),0)</f>
        <v>0</v>
      </c>
      <c r="EA13" s="24">
        <v>0</v>
      </c>
      <c r="EB13" s="19">
        <f>+IF('Datos delta'!DK13&gt;0,REASIGN(0,'Datos Protegidos'!$I13,PARTIDOS!DL$11),0)</f>
        <v>0</v>
      </c>
      <c r="EC13" s="24">
        <v>0</v>
      </c>
      <c r="ED13" s="19">
        <f>+IF('Datos delta'!DM13&gt;0,REASIGN(0,'Datos Protegidos'!$I13,PARTIDOS!DN$11),0)</f>
        <v>0</v>
      </c>
      <c r="EE13" s="24">
        <v>0</v>
      </c>
      <c r="EF13" s="19">
        <f>+IF('Datos delta'!DO13&gt;0,REASIGN(0,'Datos Protegidos'!$I13,PARTIDOS!DP$11),0)</f>
        <v>0</v>
      </c>
      <c r="EG13" s="24">
        <v>0</v>
      </c>
      <c r="EH13" s="19">
        <f>+IF('Datos delta'!DQ13&gt;0,REASIGN(0,'Datos Protegidos'!$I13,PARTIDOS!DR$11),0)</f>
        <v>0</v>
      </c>
      <c r="EI13" s="24">
        <v>0</v>
      </c>
      <c r="EJ13" s="19">
        <f>+IF('Datos delta'!DS13&gt;0,REASIGN(0,'Datos Protegidos'!$I13,PARTIDOS!DT$11),0)</f>
        <v>0</v>
      </c>
      <c r="EK13" s="24">
        <v>0</v>
      </c>
      <c r="EL13" s="19">
        <f>+IF('Datos delta'!DU13&gt;0,REASIGN(0,'Datos Protegidos'!$I13,PARTIDOS!DV$11),0)</f>
        <v>0</v>
      </c>
      <c r="EM13" s="24">
        <v>0</v>
      </c>
      <c r="EN13" s="19">
        <f>+IF('Datos delta'!DW13&gt;0,REASIGN(0,'Datos Protegidos'!$I13,PARTIDOS!DX$11),0)</f>
        <v>0</v>
      </c>
      <c r="EO13" s="24">
        <v>0</v>
      </c>
      <c r="EP13" s="19">
        <f>+IF('Datos delta'!DY13&gt;0,REASIGN(0,'Datos Protegidos'!$I13,PARTIDOS!DZ$11),0)</f>
        <v>0</v>
      </c>
      <c r="EQ13" s="24">
        <v>0</v>
      </c>
      <c r="ER13" s="19">
        <f>+IF('Datos delta'!EA13&gt;0,REASIGN(0,'Datos Protegidos'!$I13,PARTIDOS!EB$11),0)</f>
        <v>0</v>
      </c>
      <c r="ES13" s="24">
        <v>0</v>
      </c>
      <c r="ET13" s="19">
        <f>+IF('Datos delta'!EC13&gt;0,REASIGN(0,'Datos Protegidos'!$I13,PARTIDOS!ED$11),0)</f>
        <v>0</v>
      </c>
      <c r="EU13" s="24">
        <v>0</v>
      </c>
    </row>
    <row r="14" spans="1:151" x14ac:dyDescent="0.25">
      <c r="A14" s="24" t="s">
        <v>32</v>
      </c>
      <c r="B14" s="25">
        <v>7</v>
      </c>
      <c r="C14" s="24" t="s">
        <v>32</v>
      </c>
      <c r="D14" s="24">
        <v>1128908</v>
      </c>
      <c r="E14" s="26">
        <v>1215</v>
      </c>
      <c r="F14" s="26">
        <v>778855</v>
      </c>
      <c r="G14" s="26">
        <v>28315</v>
      </c>
      <c r="H14" s="26">
        <v>807170</v>
      </c>
      <c r="I14" s="1">
        <v>2232</v>
      </c>
      <c r="J14" s="19">
        <f>+INT(([1]Hoja1!M14/[1]Hoja1!O14)*M14)</f>
        <v>454199</v>
      </c>
      <c r="K14" s="19">
        <f>+INT(([1]Hoja1!N14/[1]Hoja1!O14)*M14)</f>
        <v>449531</v>
      </c>
      <c r="L14" s="19">
        <f t="shared" si="1"/>
        <v>9061</v>
      </c>
      <c r="M14" s="19">
        <f t="shared" si="2"/>
        <v>4668</v>
      </c>
      <c r="N14" s="22">
        <f t="shared" si="0"/>
        <v>0</v>
      </c>
      <c r="O14" s="26">
        <v>4668</v>
      </c>
      <c r="P14" s="26">
        <v>4393</v>
      </c>
      <c r="Q14" s="22">
        <f t="shared" si="3"/>
        <v>8</v>
      </c>
      <c r="R14" s="19">
        <f>+IF('Datos delta'!A14&gt;0,REASIGN(0,'Datos Protegidos'!$I14,PARTIDOS!B$11),0)</f>
        <v>0</v>
      </c>
      <c r="S14" s="24">
        <v>2</v>
      </c>
      <c r="T14" s="19">
        <f>+IF('Datos delta'!C14&gt;0,REASIGN(0,'Datos Protegidos'!$I14,PARTIDOS!D$11),0)</f>
        <v>0</v>
      </c>
      <c r="U14" s="24">
        <v>2</v>
      </c>
      <c r="V14" s="19">
        <f>+IF('Datos delta'!E14&gt;0,REASIGN(0,'Datos Protegidos'!$I14,PARTIDOS!F$11),0)</f>
        <v>0</v>
      </c>
      <c r="W14" s="24">
        <v>2</v>
      </c>
      <c r="X14" s="19">
        <f>+IF('Datos delta'!G14&gt;0,REASIGN(0,'Datos Protegidos'!$I14,PARTIDOS!H$11),0)</f>
        <v>0</v>
      </c>
      <c r="Y14" s="24">
        <v>2</v>
      </c>
      <c r="Z14" s="19">
        <f>+IF('Datos delta'!I14&gt;0,REASIGN(0,'Datos Protegidos'!$I14,PARTIDOS!J$11),0)</f>
        <v>0</v>
      </c>
      <c r="AA14" s="24">
        <v>0</v>
      </c>
      <c r="AB14" s="19">
        <f>+IF('Datos delta'!K14&gt;0,REASIGN(0,'Datos Protegidos'!$I14,PARTIDOS!L$11),0)</f>
        <v>0</v>
      </c>
      <c r="AC14" s="24">
        <v>0</v>
      </c>
      <c r="AD14" s="19">
        <f>+IF('Datos delta'!M14&gt;0,REASIGN(0,'Datos Protegidos'!$I14,PARTIDOS!N$11),0)</f>
        <v>0</v>
      </c>
      <c r="AE14" s="24">
        <v>0</v>
      </c>
      <c r="AF14" s="19">
        <f>+IF('Datos delta'!O14&gt;0,REASIGN(0,'Datos Protegidos'!$I14,PARTIDOS!P$11),0)</f>
        <v>0</v>
      </c>
      <c r="AG14" s="24">
        <v>0</v>
      </c>
      <c r="AH14" s="19">
        <f>+IF('Datos delta'!Q14&gt;0,REASIGN(0,'Datos Protegidos'!$I14,PARTIDOS!R$11),0)</f>
        <v>0</v>
      </c>
      <c r="AI14" s="24">
        <v>0</v>
      </c>
      <c r="AJ14" s="19">
        <f>+IF('Datos delta'!S14&gt;0,REASIGN(0,'Datos Protegidos'!$I14,PARTIDOS!T$11),0)</f>
        <v>0</v>
      </c>
      <c r="AK14" s="24">
        <v>0</v>
      </c>
      <c r="AL14" s="19">
        <f>+IF('Datos delta'!U14&gt;0,REASIGN(0,'Datos Protegidos'!$I14,PARTIDOS!V$11),0)</f>
        <v>0</v>
      </c>
      <c r="AM14" s="24">
        <v>0</v>
      </c>
      <c r="AN14" s="19">
        <f>+IF('Datos delta'!W14&gt;0,REASIGN(0,'Datos Protegidos'!$I14,PARTIDOS!X$11),0)</f>
        <v>0</v>
      </c>
      <c r="AO14" s="24">
        <v>0</v>
      </c>
      <c r="AP14" s="19">
        <f>+IF('Datos delta'!Y14&gt;0,REASIGN(0,'Datos Protegidos'!$I14,PARTIDOS!Z$11),0)</f>
        <v>0</v>
      </c>
      <c r="AQ14" s="24">
        <v>0</v>
      </c>
      <c r="AR14" s="19">
        <f>+IF('Datos delta'!AA14&gt;0,REASIGN(0,'Datos Protegidos'!$I14,PARTIDOS!AB$11),0)</f>
        <v>0</v>
      </c>
      <c r="AS14" s="24">
        <v>0</v>
      </c>
      <c r="AT14" s="19">
        <f>+IF('Datos delta'!AC14&gt;0,REASIGN(0,'Datos Protegidos'!$I14,PARTIDOS!AD$11),0)</f>
        <v>0</v>
      </c>
      <c r="AU14" s="24">
        <v>0</v>
      </c>
      <c r="AV14" s="19">
        <f>+IF('Datos delta'!AE14&gt;0,REASIGN(0,'Datos Protegidos'!$I14,PARTIDOS!AF$11),0)</f>
        <v>0</v>
      </c>
      <c r="AW14" s="24">
        <v>0</v>
      </c>
      <c r="AX14" s="19">
        <f>+IF('Datos delta'!AG14&gt;0,REASIGN(0,'Datos Protegidos'!$I14,PARTIDOS!AH$11),0)</f>
        <v>0</v>
      </c>
      <c r="AY14" s="24">
        <v>0</v>
      </c>
      <c r="AZ14" s="19">
        <f>+IF('Datos delta'!AI14&gt;0,REASIGN(0,'Datos Protegidos'!$I14,PARTIDOS!AJ$11),0)</f>
        <v>0</v>
      </c>
      <c r="BA14" s="24">
        <v>0</v>
      </c>
      <c r="BB14" s="19">
        <f>+IF('Datos delta'!AK14&gt;0,REASIGN(0,'Datos Protegidos'!$I14,PARTIDOS!AL$11),0)</f>
        <v>0</v>
      </c>
      <c r="BC14" s="24">
        <v>0</v>
      </c>
      <c r="BD14" s="19">
        <f>+IF('Datos delta'!AM14&gt;0,REASIGN(0,'Datos Protegidos'!$I14,PARTIDOS!AN$11),0)</f>
        <v>0</v>
      </c>
      <c r="BE14" s="24">
        <v>0</v>
      </c>
      <c r="BF14" s="19">
        <f>+IF('Datos delta'!AO14&gt;0,REASIGN(0,'Datos Protegidos'!$I14,PARTIDOS!AP$11),0)</f>
        <v>0</v>
      </c>
      <c r="BG14" s="24">
        <v>0</v>
      </c>
      <c r="BH14" s="19">
        <f>+IF('Datos delta'!AQ14&gt;0,REASIGN(0,'Datos Protegidos'!$I14,PARTIDOS!AR$11),0)</f>
        <v>0</v>
      </c>
      <c r="BI14" s="24">
        <v>0</v>
      </c>
      <c r="BJ14" s="19">
        <f>+IF('Datos delta'!AS14&gt;0,REASIGN(0,'Datos Protegidos'!$I14,PARTIDOS!AT$11),0)</f>
        <v>0</v>
      </c>
      <c r="BK14" s="24">
        <v>0</v>
      </c>
      <c r="BL14" s="19">
        <f>+IF('Datos delta'!AU14&gt;0,REASIGN(0,'Datos Protegidos'!$I14,PARTIDOS!AV$11),0)</f>
        <v>0</v>
      </c>
      <c r="BM14" s="24">
        <v>0</v>
      </c>
      <c r="BN14" s="19">
        <f>+IF('Datos delta'!AW14&gt;0,REASIGN(0,'Datos Protegidos'!$I14,PARTIDOS!AX$11),0)</f>
        <v>0</v>
      </c>
      <c r="BO14" s="24">
        <v>0</v>
      </c>
      <c r="BP14" s="19">
        <f>+IF('Datos delta'!AY14&gt;0,REASIGN(0,'Datos Protegidos'!$I14,PARTIDOS!AZ$11),0)</f>
        <v>0</v>
      </c>
      <c r="BQ14" s="24">
        <v>0</v>
      </c>
      <c r="BR14" s="19">
        <f>+IF('Datos delta'!BA14&gt;0,REASIGN(0,'Datos Protegidos'!$I14,PARTIDOS!BB$11),0)</f>
        <v>0</v>
      </c>
      <c r="BS14" s="24">
        <v>0</v>
      </c>
      <c r="BT14" s="19">
        <f>+IF('Datos delta'!BC14&gt;0,REASIGN(0,'Datos Protegidos'!$I14,PARTIDOS!BD$11),0)</f>
        <v>0</v>
      </c>
      <c r="BU14" s="24">
        <v>0</v>
      </c>
      <c r="BV14" s="19">
        <f>+IF('Datos delta'!BE14&gt;0,REASIGN(0,'Datos Protegidos'!$I14,PARTIDOS!BF$11),0)</f>
        <v>0</v>
      </c>
      <c r="BW14" s="24">
        <v>0</v>
      </c>
      <c r="BX14" s="19">
        <f>+IF('Datos delta'!BG14&gt;0,REASIGN(0,'Datos Protegidos'!$I14,PARTIDOS!BH$11),0)</f>
        <v>0</v>
      </c>
      <c r="BY14" s="24">
        <v>0</v>
      </c>
      <c r="BZ14" s="19">
        <f>+IF('Datos delta'!BI14&gt;0,REASIGN(0,'Datos Protegidos'!$I14,PARTIDOS!BJ$11),0)</f>
        <v>0</v>
      </c>
      <c r="CA14" s="24">
        <v>0</v>
      </c>
      <c r="CB14" s="19">
        <f>+IF('Datos delta'!BK14&gt;0,REASIGN(0,'Datos Protegidos'!$I14,PARTIDOS!BL$11),0)</f>
        <v>0</v>
      </c>
      <c r="CC14" s="24">
        <v>0</v>
      </c>
      <c r="CD14" s="19">
        <f>+IF('Datos delta'!BM14&gt;0,REASIGN(0,'Datos Protegidos'!$I14,PARTIDOS!BN$11),0)</f>
        <v>0</v>
      </c>
      <c r="CE14" s="24">
        <v>0</v>
      </c>
      <c r="CF14" s="19">
        <f>+IF('Datos delta'!BO14&gt;0,REASIGN(0,'Datos Protegidos'!$I14,PARTIDOS!BP$11),0)</f>
        <v>0</v>
      </c>
      <c r="CG14" s="24">
        <v>0</v>
      </c>
      <c r="CH14" s="19">
        <f>+IF('Datos delta'!BQ14&gt;0,REASIGN(0,'Datos Protegidos'!$I14,PARTIDOS!BR$11),0)</f>
        <v>0</v>
      </c>
      <c r="CI14" s="24">
        <v>0</v>
      </c>
      <c r="CJ14" s="19">
        <f>+IF('Datos delta'!BS14&gt;0,REASIGN(0,'Datos Protegidos'!$I14,PARTIDOS!BT$11),0)</f>
        <v>0</v>
      </c>
      <c r="CK14" s="24">
        <v>0</v>
      </c>
      <c r="CL14" s="19">
        <f>+IF('Datos delta'!BU14&gt;0,REASIGN(0,'Datos Protegidos'!$I14,PARTIDOS!BV$11),0)</f>
        <v>0</v>
      </c>
      <c r="CM14" s="24">
        <v>0</v>
      </c>
      <c r="CN14" s="19">
        <f>+IF('Datos delta'!BW14&gt;0,REASIGN(0,'Datos Protegidos'!$I14,PARTIDOS!BX$11),0)</f>
        <v>0</v>
      </c>
      <c r="CO14" s="24">
        <v>0</v>
      </c>
      <c r="CP14" s="19">
        <f>+IF('Datos delta'!BY14&gt;0,REASIGN(0,'Datos Protegidos'!$I14,PARTIDOS!BZ$11),0)</f>
        <v>0</v>
      </c>
      <c r="CQ14" s="24">
        <v>0</v>
      </c>
      <c r="CR14" s="19">
        <f>+IF('Datos delta'!CA14&gt;0,REASIGN(0,'Datos Protegidos'!$I14,PARTIDOS!CB$11),0)</f>
        <v>0</v>
      </c>
      <c r="CS14" s="24">
        <v>0</v>
      </c>
      <c r="CT14" s="19">
        <f>+IF('Datos delta'!CC14&gt;0,REASIGN(0,'Datos Protegidos'!$I14,PARTIDOS!CD$11),0)</f>
        <v>0</v>
      </c>
      <c r="CU14" s="24">
        <v>0</v>
      </c>
      <c r="CV14" s="19">
        <f>+IF('Datos delta'!CE14&gt;0,REASIGN(0,'Datos Protegidos'!$I14,PARTIDOS!CF$11),0)</f>
        <v>0</v>
      </c>
      <c r="CW14" s="24">
        <v>0</v>
      </c>
      <c r="CX14" s="19">
        <f>+IF('Datos delta'!CG14&gt;0,REASIGN(0,'Datos Protegidos'!$I14,PARTIDOS!CH$11),0)</f>
        <v>0</v>
      </c>
      <c r="CY14" s="24">
        <v>0</v>
      </c>
      <c r="CZ14" s="19">
        <f>+IF('Datos delta'!CI14&gt;0,REASIGN(0,'Datos Protegidos'!$I14,PARTIDOS!CJ$11),0)</f>
        <v>0</v>
      </c>
      <c r="DA14" s="24">
        <v>0</v>
      </c>
      <c r="DB14" s="19">
        <f>+IF('Datos delta'!CK14&gt;0,REASIGN(0,'Datos Protegidos'!$I14,PARTIDOS!CL$11),0)</f>
        <v>0</v>
      </c>
      <c r="DC14" s="24">
        <v>0</v>
      </c>
      <c r="DD14" s="19">
        <f>+IF('Datos delta'!CM14&gt;0,REASIGN(0,'Datos Protegidos'!$I14,PARTIDOS!CN$11),0)</f>
        <v>0</v>
      </c>
      <c r="DE14" s="24">
        <v>0</v>
      </c>
      <c r="DF14" s="19">
        <f>+IF('Datos delta'!CO14&gt;0,REASIGN(0,'Datos Protegidos'!$I14,PARTIDOS!CP$11),0)</f>
        <v>0</v>
      </c>
      <c r="DG14" s="24">
        <v>0</v>
      </c>
      <c r="DH14" s="19">
        <f>+IF('Datos delta'!CQ14&gt;0,REASIGN(0,'Datos Protegidos'!$I14,PARTIDOS!CR$11),0)</f>
        <v>0</v>
      </c>
      <c r="DI14" s="24">
        <v>0</v>
      </c>
      <c r="DJ14" s="19">
        <f>+IF('Datos delta'!CS14&gt;0,REASIGN(0,'Datos Protegidos'!$I14,PARTIDOS!CT$11),0)</f>
        <v>0</v>
      </c>
      <c r="DK14" s="24">
        <v>0</v>
      </c>
      <c r="DL14" s="19">
        <f>+IF('Datos delta'!CU14&gt;0,REASIGN(0,'Datos Protegidos'!$I14,PARTIDOS!CV$11),0)</f>
        <v>0</v>
      </c>
      <c r="DM14" s="24">
        <v>0</v>
      </c>
      <c r="DN14" s="19">
        <f>+IF('Datos delta'!CW14&gt;0,REASIGN(0,'Datos Protegidos'!$I14,PARTIDOS!CX$11),0)</f>
        <v>0</v>
      </c>
      <c r="DO14" s="24">
        <v>0</v>
      </c>
      <c r="DP14" s="19">
        <f>+IF('Datos delta'!CY14&gt;0,REASIGN(0,'Datos Protegidos'!$I14,PARTIDOS!CZ$11),0)</f>
        <v>0</v>
      </c>
      <c r="DQ14" s="24">
        <v>0</v>
      </c>
      <c r="DR14" s="19">
        <f>+IF('Datos delta'!DA14&gt;0,REASIGN(0,'Datos Protegidos'!$I14,PARTIDOS!DB$11),0)</f>
        <v>0</v>
      </c>
      <c r="DS14" s="24">
        <v>0</v>
      </c>
      <c r="DT14" s="19">
        <f>+IF('Datos delta'!DC14&gt;0,REASIGN(0,'Datos Protegidos'!$I14,PARTIDOS!DD$11),0)</f>
        <v>0</v>
      </c>
      <c r="DU14" s="24">
        <v>0</v>
      </c>
      <c r="DV14" s="19">
        <f>+IF('Datos delta'!DE14&gt;0,REASIGN(0,'Datos Protegidos'!$I14,PARTIDOS!DF$11),0)</f>
        <v>0</v>
      </c>
      <c r="DW14" s="24">
        <v>0</v>
      </c>
      <c r="DX14" s="19">
        <f>+IF('Datos delta'!DG14&gt;0,REASIGN(0,'Datos Protegidos'!$I14,PARTIDOS!DH$11),0)</f>
        <v>0</v>
      </c>
      <c r="DY14" s="24">
        <v>0</v>
      </c>
      <c r="DZ14" s="19">
        <f>+IF('Datos delta'!DI14&gt;0,REASIGN(0,'Datos Protegidos'!$I14,PARTIDOS!DJ$11),0)</f>
        <v>0</v>
      </c>
      <c r="EA14" s="24">
        <v>0</v>
      </c>
      <c r="EB14" s="19">
        <f>+IF('Datos delta'!DK14&gt;0,REASIGN(0,'Datos Protegidos'!$I14,PARTIDOS!DL$11),0)</f>
        <v>0</v>
      </c>
      <c r="EC14" s="24">
        <v>0</v>
      </c>
      <c r="ED14" s="19">
        <f>+IF('Datos delta'!DM14&gt;0,REASIGN(0,'Datos Protegidos'!$I14,PARTIDOS!DN$11),0)</f>
        <v>0</v>
      </c>
      <c r="EE14" s="24">
        <v>0</v>
      </c>
      <c r="EF14" s="19">
        <f>+IF('Datos delta'!DO14&gt;0,REASIGN(0,'Datos Protegidos'!$I14,PARTIDOS!DP$11),0)</f>
        <v>0</v>
      </c>
      <c r="EG14" s="24">
        <v>0</v>
      </c>
      <c r="EH14" s="19">
        <f>+IF('Datos delta'!DQ14&gt;0,REASIGN(0,'Datos Protegidos'!$I14,PARTIDOS!DR$11),0)</f>
        <v>0</v>
      </c>
      <c r="EI14" s="24">
        <v>0</v>
      </c>
      <c r="EJ14" s="19">
        <f>+IF('Datos delta'!DS14&gt;0,REASIGN(0,'Datos Protegidos'!$I14,PARTIDOS!DT$11),0)</f>
        <v>0</v>
      </c>
      <c r="EK14" s="24">
        <v>0</v>
      </c>
      <c r="EL14" s="19">
        <f>+IF('Datos delta'!DU14&gt;0,REASIGN(0,'Datos Protegidos'!$I14,PARTIDOS!DV$11),0)</f>
        <v>0</v>
      </c>
      <c r="EM14" s="24">
        <v>0</v>
      </c>
      <c r="EN14" s="19">
        <f>+IF('Datos delta'!DW14&gt;0,REASIGN(0,'Datos Protegidos'!$I14,PARTIDOS!DX$11),0)</f>
        <v>0</v>
      </c>
      <c r="EO14" s="24">
        <v>0</v>
      </c>
      <c r="EP14" s="19">
        <f>+IF('Datos delta'!DY14&gt;0,REASIGN(0,'Datos Protegidos'!$I14,PARTIDOS!DZ$11),0)</f>
        <v>0</v>
      </c>
      <c r="EQ14" s="24">
        <v>0</v>
      </c>
      <c r="ER14" s="19">
        <f>+IF('Datos delta'!EA14&gt;0,REASIGN(0,'Datos Protegidos'!$I14,PARTIDOS!EB$11),0)</f>
        <v>0</v>
      </c>
      <c r="ES14" s="24">
        <v>0</v>
      </c>
      <c r="ET14" s="19">
        <f>+IF('Datos delta'!EC14&gt;0,REASIGN(0,'Datos Protegidos'!$I14,PARTIDOS!ED$11),0)</f>
        <v>0</v>
      </c>
      <c r="EU14" s="24">
        <v>0</v>
      </c>
    </row>
    <row r="15" spans="1:151" x14ac:dyDescent="0.25">
      <c r="A15" s="24" t="s">
        <v>33</v>
      </c>
      <c r="B15" s="25">
        <v>35</v>
      </c>
      <c r="C15" s="24" t="s">
        <v>34</v>
      </c>
      <c r="D15" s="24">
        <v>1109175</v>
      </c>
      <c r="E15" s="26">
        <v>1511</v>
      </c>
      <c r="F15" s="26">
        <v>823161</v>
      </c>
      <c r="G15" s="26">
        <v>48567</v>
      </c>
      <c r="H15" s="26">
        <v>871728</v>
      </c>
      <c r="I15" s="1">
        <v>2530</v>
      </c>
      <c r="J15" s="19">
        <f>+INT(([1]Hoja1!M15/[1]Hoja1!O15)*M15)</f>
        <v>483928</v>
      </c>
      <c r="K15" s="19">
        <f>+INT(([1]Hoja1!N15/[1]Hoja1!O15)*M15)</f>
        <v>479953</v>
      </c>
      <c r="L15" s="19">
        <f t="shared" si="1"/>
        <v>9401</v>
      </c>
      <c r="M15" s="19">
        <f t="shared" si="2"/>
        <v>3975</v>
      </c>
      <c r="N15" s="22">
        <f t="shared" si="0"/>
        <v>0</v>
      </c>
      <c r="O15" s="26">
        <v>3975</v>
      </c>
      <c r="P15" s="26">
        <v>5426</v>
      </c>
      <c r="Q15" s="22">
        <f t="shared" si="3"/>
        <v>8</v>
      </c>
      <c r="R15" s="19">
        <f>+IF('Datos delta'!A15&gt;0,REASIGN(0,'Datos Protegidos'!$I15,PARTIDOS!B$11),0)</f>
        <v>0</v>
      </c>
      <c r="S15" s="24">
        <v>3</v>
      </c>
      <c r="T15" s="19">
        <f>+IF('Datos delta'!C15&gt;0,REASIGN(0,'Datos Protegidos'!$I15,PARTIDOS!D$11),0)</f>
        <v>0</v>
      </c>
      <c r="U15" s="24">
        <v>2</v>
      </c>
      <c r="V15" s="19">
        <f>+IF('Datos delta'!E15&gt;0,REASIGN(0,'Datos Protegidos'!$I15,PARTIDOS!F$11),0)</f>
        <v>0</v>
      </c>
      <c r="W15" s="24">
        <v>1</v>
      </c>
      <c r="X15" s="19">
        <f>+IF('Datos delta'!G15&gt;0,REASIGN(0,'Datos Protegidos'!$I15,PARTIDOS!H$11),0)</f>
        <v>0</v>
      </c>
      <c r="Y15" s="24">
        <v>1</v>
      </c>
      <c r="Z15" s="19">
        <f>+IF('Datos delta'!I15&gt;0,REASIGN(0,'Datos Protegidos'!$I15,PARTIDOS!J$11),0)</f>
        <v>0</v>
      </c>
      <c r="AA15" s="24">
        <v>0</v>
      </c>
      <c r="AB15" s="19">
        <f>+IF('Datos delta'!K15&gt;0,REASIGN(0,'Datos Protegidos'!$I15,PARTIDOS!L$11),0)</f>
        <v>0</v>
      </c>
      <c r="AC15" s="24">
        <v>0</v>
      </c>
      <c r="AD15" s="19">
        <f>+IF('Datos delta'!M15&gt;0,REASIGN(0,'Datos Protegidos'!$I15,PARTIDOS!N$11),0)</f>
        <v>0</v>
      </c>
      <c r="AE15" s="24">
        <v>0</v>
      </c>
      <c r="AF15" s="19">
        <f>+IF('Datos delta'!O15&gt;0,REASIGN(0,'Datos Protegidos'!$I15,PARTIDOS!P$11),0)</f>
        <v>0</v>
      </c>
      <c r="AG15" s="24">
        <v>0</v>
      </c>
      <c r="AH15" s="19">
        <f>+IF('Datos delta'!Q15&gt;0,REASIGN(0,'Datos Protegidos'!$I15,PARTIDOS!R$11),0)</f>
        <v>0</v>
      </c>
      <c r="AI15" s="24">
        <v>0</v>
      </c>
      <c r="AJ15" s="19">
        <f>+IF('Datos delta'!S15&gt;0,REASIGN(0,'Datos Protegidos'!$I15,PARTIDOS!T$11),0)</f>
        <v>0</v>
      </c>
      <c r="AK15" s="24">
        <v>0</v>
      </c>
      <c r="AL15" s="19">
        <f>+IF('Datos delta'!U15&gt;0,REASIGN(0,'Datos Protegidos'!$I15,PARTIDOS!V$11),0)</f>
        <v>0</v>
      </c>
      <c r="AM15" s="24">
        <v>0</v>
      </c>
      <c r="AN15" s="19">
        <f>+IF('Datos delta'!W15&gt;0,REASIGN(0,'Datos Protegidos'!$I15,PARTIDOS!X$11),0)</f>
        <v>0</v>
      </c>
      <c r="AO15" s="24">
        <v>0</v>
      </c>
      <c r="AP15" s="19">
        <f>+IF('Datos delta'!Y15&gt;0,REASIGN(0,'Datos Protegidos'!$I15,PARTIDOS!Z$11),0)</f>
        <v>0</v>
      </c>
      <c r="AQ15" s="24">
        <v>0</v>
      </c>
      <c r="AR15" s="19">
        <f>+IF('Datos delta'!AA15&gt;0,REASIGN(0,'Datos Protegidos'!$I15,PARTIDOS!AB$11),0)</f>
        <v>0</v>
      </c>
      <c r="AS15" s="24">
        <v>1</v>
      </c>
      <c r="AT15" s="19">
        <f>+IF('Datos delta'!AC15&gt;0,REASIGN(0,'Datos Protegidos'!$I15,PARTIDOS!AD$11),0)</f>
        <v>0</v>
      </c>
      <c r="AU15" s="24">
        <v>0</v>
      </c>
      <c r="AV15" s="19">
        <f>+IF('Datos delta'!AE15&gt;0,REASIGN(0,'Datos Protegidos'!$I15,PARTIDOS!AF$11),0)</f>
        <v>0</v>
      </c>
      <c r="AW15" s="24">
        <v>0</v>
      </c>
      <c r="AX15" s="19">
        <f>+IF('Datos delta'!AG15&gt;0,REASIGN(0,'Datos Protegidos'!$I15,PARTIDOS!AH$11),0)</f>
        <v>0</v>
      </c>
      <c r="AY15" s="24">
        <v>0</v>
      </c>
      <c r="AZ15" s="19">
        <f>+IF('Datos delta'!AI15&gt;0,REASIGN(0,'Datos Protegidos'!$I15,PARTIDOS!AJ$11),0)</f>
        <v>0</v>
      </c>
      <c r="BA15" s="24">
        <v>0</v>
      </c>
      <c r="BB15" s="19">
        <f>+IF('Datos delta'!AK15&gt;0,REASIGN(0,'Datos Protegidos'!$I15,PARTIDOS!AL$11),0)</f>
        <v>0</v>
      </c>
      <c r="BC15" s="24">
        <v>0</v>
      </c>
      <c r="BD15" s="19">
        <f>+IF('Datos delta'!AM15&gt;0,REASIGN(0,'Datos Protegidos'!$I15,PARTIDOS!AN$11),0)</f>
        <v>0</v>
      </c>
      <c r="BE15" s="24">
        <v>0</v>
      </c>
      <c r="BF15" s="19">
        <f>+IF('Datos delta'!AO15&gt;0,REASIGN(0,'Datos Protegidos'!$I15,PARTIDOS!AP$11),0)</f>
        <v>0</v>
      </c>
      <c r="BG15" s="24">
        <v>0</v>
      </c>
      <c r="BH15" s="19">
        <f>+IF('Datos delta'!AQ15&gt;0,REASIGN(0,'Datos Protegidos'!$I15,PARTIDOS!AR$11),0)</f>
        <v>0</v>
      </c>
      <c r="BI15" s="24">
        <v>0</v>
      </c>
      <c r="BJ15" s="19">
        <f>+IF('Datos delta'!AS15&gt;0,REASIGN(0,'Datos Protegidos'!$I15,PARTIDOS!AT$11),0)</f>
        <v>0</v>
      </c>
      <c r="BK15" s="24">
        <v>0</v>
      </c>
      <c r="BL15" s="19">
        <f>+IF('Datos delta'!AU15&gt;0,REASIGN(0,'Datos Protegidos'!$I15,PARTIDOS!AV$11),0)</f>
        <v>0</v>
      </c>
      <c r="BM15" s="24">
        <v>0</v>
      </c>
      <c r="BN15" s="19">
        <f>+IF('Datos delta'!AW15&gt;0,REASIGN(0,'Datos Protegidos'!$I15,PARTIDOS!AX$11),0)</f>
        <v>0</v>
      </c>
      <c r="BO15" s="24">
        <v>0</v>
      </c>
      <c r="BP15" s="19">
        <f>+IF('Datos delta'!AY15&gt;0,REASIGN(0,'Datos Protegidos'!$I15,PARTIDOS!AZ$11),0)</f>
        <v>0</v>
      </c>
      <c r="BQ15" s="24">
        <v>0</v>
      </c>
      <c r="BR15" s="19">
        <f>+IF('Datos delta'!BA15&gt;0,REASIGN(0,'Datos Protegidos'!$I15,PARTIDOS!BB$11),0)</f>
        <v>0</v>
      </c>
      <c r="BS15" s="24">
        <v>0</v>
      </c>
      <c r="BT15" s="19">
        <f>+IF('Datos delta'!BC15&gt;0,REASIGN(0,'Datos Protegidos'!$I15,PARTIDOS!BD$11),0)</f>
        <v>0</v>
      </c>
      <c r="BU15" s="24">
        <v>0</v>
      </c>
      <c r="BV15" s="19">
        <f>+IF('Datos delta'!BE15&gt;0,REASIGN(0,'Datos Protegidos'!$I15,PARTIDOS!BF$11),0)</f>
        <v>0</v>
      </c>
      <c r="BW15" s="24">
        <v>0</v>
      </c>
      <c r="BX15" s="19">
        <f>+IF('Datos delta'!BG15&gt;0,REASIGN(0,'Datos Protegidos'!$I15,PARTIDOS!BH$11),0)</f>
        <v>0</v>
      </c>
      <c r="BY15" s="24">
        <v>0</v>
      </c>
      <c r="BZ15" s="19">
        <f>+IF('Datos delta'!BI15&gt;0,REASIGN(0,'Datos Protegidos'!$I15,PARTIDOS!BJ$11),0)</f>
        <v>0</v>
      </c>
      <c r="CA15" s="24">
        <v>0</v>
      </c>
      <c r="CB15" s="19">
        <f>+IF('Datos delta'!BK15&gt;0,REASIGN(0,'Datos Protegidos'!$I15,PARTIDOS!BL$11),0)</f>
        <v>0</v>
      </c>
      <c r="CC15" s="24">
        <v>0</v>
      </c>
      <c r="CD15" s="19">
        <f>+IF('Datos delta'!BM15&gt;0,REASIGN(0,'Datos Protegidos'!$I15,PARTIDOS!BN$11),0)</f>
        <v>0</v>
      </c>
      <c r="CE15" s="24">
        <v>0</v>
      </c>
      <c r="CF15" s="19">
        <f>+IF('Datos delta'!BO15&gt;0,REASIGN(0,'Datos Protegidos'!$I15,PARTIDOS!BP$11),0)</f>
        <v>0</v>
      </c>
      <c r="CG15" s="24">
        <v>0</v>
      </c>
      <c r="CH15" s="19">
        <f>+IF('Datos delta'!BQ15&gt;0,REASIGN(0,'Datos Protegidos'!$I15,PARTIDOS!BR$11),0)</f>
        <v>0</v>
      </c>
      <c r="CI15" s="24">
        <v>0</v>
      </c>
      <c r="CJ15" s="19">
        <f>+IF('Datos delta'!BS15&gt;0,REASIGN(0,'Datos Protegidos'!$I15,PARTIDOS!BT$11),0)</f>
        <v>0</v>
      </c>
      <c r="CK15" s="24">
        <v>0</v>
      </c>
      <c r="CL15" s="19">
        <f>+IF('Datos delta'!BU15&gt;0,REASIGN(0,'Datos Protegidos'!$I15,PARTIDOS!BV$11),0)</f>
        <v>0</v>
      </c>
      <c r="CM15" s="24">
        <v>0</v>
      </c>
      <c r="CN15" s="19">
        <f>+IF('Datos delta'!BW15&gt;0,REASIGN(0,'Datos Protegidos'!$I15,PARTIDOS!BX$11),0)</f>
        <v>0</v>
      </c>
      <c r="CO15" s="24">
        <v>0</v>
      </c>
      <c r="CP15" s="19">
        <f>+IF('Datos delta'!BY15&gt;0,REASIGN(0,'Datos Protegidos'!$I15,PARTIDOS!BZ$11),0)</f>
        <v>0</v>
      </c>
      <c r="CQ15" s="24">
        <v>0</v>
      </c>
      <c r="CR15" s="19">
        <f>+IF('Datos delta'!CA15&gt;0,REASIGN(0,'Datos Protegidos'!$I15,PARTIDOS!CB$11),0)</f>
        <v>0</v>
      </c>
      <c r="CS15" s="24">
        <v>0</v>
      </c>
      <c r="CT15" s="19">
        <f>+IF('Datos delta'!CC15&gt;0,REASIGN(0,'Datos Protegidos'!$I15,PARTIDOS!CD$11),0)</f>
        <v>0</v>
      </c>
      <c r="CU15" s="24">
        <v>0</v>
      </c>
      <c r="CV15" s="19">
        <f>+IF('Datos delta'!CE15&gt;0,REASIGN(0,'Datos Protegidos'!$I15,PARTIDOS!CF$11),0)</f>
        <v>0</v>
      </c>
      <c r="CW15" s="24">
        <v>0</v>
      </c>
      <c r="CX15" s="19">
        <f>+IF('Datos delta'!CG15&gt;0,REASIGN(0,'Datos Protegidos'!$I15,PARTIDOS!CH$11),0)</f>
        <v>0</v>
      </c>
      <c r="CY15" s="24">
        <v>0</v>
      </c>
      <c r="CZ15" s="19">
        <f>+IF('Datos delta'!CI15&gt;0,REASIGN(0,'Datos Protegidos'!$I15,PARTIDOS!CJ$11),0)</f>
        <v>0</v>
      </c>
      <c r="DA15" s="24">
        <v>0</v>
      </c>
      <c r="DB15" s="19">
        <f>+IF('Datos delta'!CK15&gt;0,REASIGN(0,'Datos Protegidos'!$I15,PARTIDOS!CL$11),0)</f>
        <v>0</v>
      </c>
      <c r="DC15" s="24">
        <v>0</v>
      </c>
      <c r="DD15" s="19">
        <f>+IF('Datos delta'!CM15&gt;0,REASIGN(0,'Datos Protegidos'!$I15,PARTIDOS!CN$11),0)</f>
        <v>0</v>
      </c>
      <c r="DE15" s="24">
        <v>0</v>
      </c>
      <c r="DF15" s="19">
        <f>+IF('Datos delta'!CO15&gt;0,REASIGN(0,'Datos Protegidos'!$I15,PARTIDOS!CP$11),0)</f>
        <v>0</v>
      </c>
      <c r="DG15" s="24">
        <v>0</v>
      </c>
      <c r="DH15" s="19">
        <f>+IF('Datos delta'!CQ15&gt;0,REASIGN(0,'Datos Protegidos'!$I15,PARTIDOS!CR$11),0)</f>
        <v>0</v>
      </c>
      <c r="DI15" s="24">
        <v>0</v>
      </c>
      <c r="DJ15" s="19">
        <f>+IF('Datos delta'!CS15&gt;0,REASIGN(0,'Datos Protegidos'!$I15,PARTIDOS!CT$11),0)</f>
        <v>0</v>
      </c>
      <c r="DK15" s="24">
        <v>0</v>
      </c>
      <c r="DL15" s="19">
        <f>+IF('Datos delta'!CU15&gt;0,REASIGN(0,'Datos Protegidos'!$I15,PARTIDOS!CV$11),0)</f>
        <v>0</v>
      </c>
      <c r="DM15" s="24">
        <v>0</v>
      </c>
      <c r="DN15" s="19">
        <f>+IF('Datos delta'!CW15&gt;0,REASIGN(0,'Datos Protegidos'!$I15,PARTIDOS!CX$11),0)</f>
        <v>0</v>
      </c>
      <c r="DO15" s="24">
        <v>0</v>
      </c>
      <c r="DP15" s="19">
        <f>+IF('Datos delta'!CY15&gt;0,REASIGN(0,'Datos Protegidos'!$I15,PARTIDOS!CZ$11),0)</f>
        <v>0</v>
      </c>
      <c r="DQ15" s="24">
        <v>0</v>
      </c>
      <c r="DR15" s="19">
        <f>+IF('Datos delta'!DA15&gt;0,REASIGN(0,'Datos Protegidos'!$I15,PARTIDOS!DB$11),0)</f>
        <v>0</v>
      </c>
      <c r="DS15" s="24">
        <v>0</v>
      </c>
      <c r="DT15" s="19">
        <f>+IF('Datos delta'!DC15&gt;0,REASIGN(0,'Datos Protegidos'!$I15,PARTIDOS!DD$11),0)</f>
        <v>0</v>
      </c>
      <c r="DU15" s="24">
        <v>0</v>
      </c>
      <c r="DV15" s="19">
        <f>+IF('Datos delta'!DE15&gt;0,REASIGN(0,'Datos Protegidos'!$I15,PARTIDOS!DF$11),0)</f>
        <v>0</v>
      </c>
      <c r="DW15" s="24">
        <v>0</v>
      </c>
      <c r="DX15" s="19">
        <f>+IF('Datos delta'!DG15&gt;0,REASIGN(0,'Datos Protegidos'!$I15,PARTIDOS!DH$11),0)</f>
        <v>0</v>
      </c>
      <c r="DY15" s="24">
        <v>0</v>
      </c>
      <c r="DZ15" s="19">
        <f>+IF('Datos delta'!DI15&gt;0,REASIGN(0,'Datos Protegidos'!$I15,PARTIDOS!DJ$11),0)</f>
        <v>0</v>
      </c>
      <c r="EA15" s="24">
        <v>0</v>
      </c>
      <c r="EB15" s="19">
        <f>+IF('Datos delta'!DK15&gt;0,REASIGN(0,'Datos Protegidos'!$I15,PARTIDOS!DL$11),0)</f>
        <v>0</v>
      </c>
      <c r="EC15" s="24">
        <v>0</v>
      </c>
      <c r="ED15" s="19">
        <f>+IF('Datos delta'!DM15&gt;0,REASIGN(0,'Datos Protegidos'!$I15,PARTIDOS!DN$11),0)</f>
        <v>0</v>
      </c>
      <c r="EE15" s="24">
        <v>0</v>
      </c>
      <c r="EF15" s="19">
        <f>+IF('Datos delta'!DO15&gt;0,REASIGN(0,'Datos Protegidos'!$I15,PARTIDOS!DP$11),0)</f>
        <v>0</v>
      </c>
      <c r="EG15" s="24">
        <v>0</v>
      </c>
      <c r="EH15" s="19">
        <f>+IF('Datos delta'!DQ15&gt;0,REASIGN(0,'Datos Protegidos'!$I15,PARTIDOS!DR$11),0)</f>
        <v>0</v>
      </c>
      <c r="EI15" s="24">
        <v>0</v>
      </c>
      <c r="EJ15" s="19">
        <f>+IF('Datos delta'!DS15&gt;0,REASIGN(0,'Datos Protegidos'!$I15,PARTIDOS!DT$11),0)</f>
        <v>0</v>
      </c>
      <c r="EK15" s="24">
        <v>0</v>
      </c>
      <c r="EL15" s="19">
        <f>+IF('Datos delta'!DU15&gt;0,REASIGN(0,'Datos Protegidos'!$I15,PARTIDOS!DV$11),0)</f>
        <v>0</v>
      </c>
      <c r="EM15" s="24">
        <v>0</v>
      </c>
      <c r="EN15" s="19">
        <f>+IF('Datos delta'!DW15&gt;0,REASIGN(0,'Datos Protegidos'!$I15,PARTIDOS!DX$11),0)</f>
        <v>0</v>
      </c>
      <c r="EO15" s="24">
        <v>0</v>
      </c>
      <c r="EP15" s="19">
        <f>+IF('Datos delta'!DY15&gt;0,REASIGN(0,'Datos Protegidos'!$I15,PARTIDOS!DZ$11),0)</f>
        <v>0</v>
      </c>
      <c r="EQ15" s="24">
        <v>0</v>
      </c>
      <c r="ER15" s="19">
        <f>+IF('Datos delta'!EA15&gt;0,REASIGN(0,'Datos Protegidos'!$I15,PARTIDOS!EB$11),0)</f>
        <v>0</v>
      </c>
      <c r="ES15" s="24">
        <v>0</v>
      </c>
      <c r="ET15" s="19">
        <f>+IF('Datos delta'!EC15&gt;0,REASIGN(0,'Datos Protegidos'!$I15,PARTIDOS!ED$11),0)</f>
        <v>0</v>
      </c>
      <c r="EU15" s="24">
        <v>0</v>
      </c>
    </row>
    <row r="16" spans="1:151" x14ac:dyDescent="0.25">
      <c r="A16" s="24" t="s">
        <v>33</v>
      </c>
      <c r="B16" s="25">
        <v>38</v>
      </c>
      <c r="C16" s="24" t="s">
        <v>35</v>
      </c>
      <c r="D16" s="24">
        <v>1018510</v>
      </c>
      <c r="E16" s="26">
        <v>1307</v>
      </c>
      <c r="F16" s="26">
        <v>755614</v>
      </c>
      <c r="G16" s="26">
        <v>99524</v>
      </c>
      <c r="H16" s="26">
        <v>855138</v>
      </c>
      <c r="I16" s="1">
        <v>4675</v>
      </c>
      <c r="J16" s="19">
        <f>+INT(([1]Hoja1!M16/[1]Hoja1!O16)*M16)</f>
        <v>463579</v>
      </c>
      <c r="K16" s="19">
        <f>+INT(([1]Hoja1!N16/[1]Hoja1!O16)*M16)</f>
        <v>460199</v>
      </c>
      <c r="L16" s="19">
        <f t="shared" si="1"/>
        <v>7823</v>
      </c>
      <c r="M16" s="19">
        <f t="shared" si="2"/>
        <v>3380</v>
      </c>
      <c r="N16" s="22">
        <f t="shared" si="0"/>
        <v>0</v>
      </c>
      <c r="O16" s="26">
        <v>3380</v>
      </c>
      <c r="P16" s="26">
        <v>4443</v>
      </c>
      <c r="Q16" s="22">
        <f t="shared" si="3"/>
        <v>7</v>
      </c>
      <c r="R16" s="19">
        <f>+IF('Datos delta'!A16&gt;0,REASIGN(0,'Datos Protegidos'!$I16,PARTIDOS!B$11),0)</f>
        <v>0</v>
      </c>
      <c r="S16" s="24">
        <v>2</v>
      </c>
      <c r="T16" s="19">
        <f>+IF('Datos delta'!C16&gt;0,REASIGN(0,'Datos Protegidos'!$I16,PARTIDOS!D$11),0)</f>
        <v>0</v>
      </c>
      <c r="U16" s="24">
        <v>2</v>
      </c>
      <c r="V16" s="19">
        <f>+IF('Datos delta'!E16&gt;0,REASIGN(0,'Datos Protegidos'!$I16,PARTIDOS!F$11),0)</f>
        <v>0</v>
      </c>
      <c r="W16" s="24">
        <v>1</v>
      </c>
      <c r="X16" s="19">
        <f>+IF('Datos delta'!G16&gt;0,REASIGN(0,'Datos Protegidos'!$I16,PARTIDOS!H$11),0)</f>
        <v>0</v>
      </c>
      <c r="Y16" s="24">
        <v>1</v>
      </c>
      <c r="Z16" s="19">
        <f>+IF('Datos delta'!I16&gt;0,REASIGN(0,'Datos Protegidos'!$I16,PARTIDOS!J$11),0)</f>
        <v>0</v>
      </c>
      <c r="AA16" s="24">
        <v>0</v>
      </c>
      <c r="AB16" s="19">
        <f>+IF('Datos delta'!K16&gt;0,REASIGN(0,'Datos Protegidos'!$I16,PARTIDOS!L$11),0)</f>
        <v>0</v>
      </c>
      <c r="AC16" s="24">
        <v>0</v>
      </c>
      <c r="AD16" s="19">
        <f>+IF('Datos delta'!M16&gt;0,REASIGN(0,'Datos Protegidos'!$I16,PARTIDOS!N$11),0)</f>
        <v>0</v>
      </c>
      <c r="AE16" s="24">
        <v>0</v>
      </c>
      <c r="AF16" s="19">
        <f>+IF('Datos delta'!O16&gt;0,REASIGN(0,'Datos Protegidos'!$I16,PARTIDOS!P$11),0)</f>
        <v>0</v>
      </c>
      <c r="AG16" s="24">
        <v>0</v>
      </c>
      <c r="AH16" s="19">
        <f>+IF('Datos delta'!Q16&gt;0,REASIGN(0,'Datos Protegidos'!$I16,PARTIDOS!R$11),0)</f>
        <v>0</v>
      </c>
      <c r="AI16" s="24">
        <v>0</v>
      </c>
      <c r="AJ16" s="19">
        <f>+IF('Datos delta'!S16&gt;0,REASIGN(0,'Datos Protegidos'!$I16,PARTIDOS!T$11),0)</f>
        <v>0</v>
      </c>
      <c r="AK16" s="24">
        <v>0</v>
      </c>
      <c r="AL16" s="19">
        <f>+IF('Datos delta'!U16&gt;0,REASIGN(0,'Datos Protegidos'!$I16,PARTIDOS!V$11),0)</f>
        <v>0</v>
      </c>
      <c r="AM16" s="24">
        <v>0</v>
      </c>
      <c r="AN16" s="19">
        <f>+IF('Datos delta'!W16&gt;0,REASIGN(0,'Datos Protegidos'!$I16,PARTIDOS!X$11),0)</f>
        <v>0</v>
      </c>
      <c r="AO16" s="24">
        <v>0</v>
      </c>
      <c r="AP16" s="19">
        <f>+IF('Datos delta'!Y16&gt;0,REASIGN(0,'Datos Protegidos'!$I16,PARTIDOS!Z$11),0)</f>
        <v>0</v>
      </c>
      <c r="AQ16" s="24">
        <v>0</v>
      </c>
      <c r="AR16" s="19">
        <f>+IF('Datos delta'!AA16&gt;0,REASIGN(0,'Datos Protegidos'!$I16,PARTIDOS!AB$11),0)</f>
        <v>0</v>
      </c>
      <c r="AS16" s="24">
        <v>1</v>
      </c>
      <c r="AT16" s="19">
        <f>+IF('Datos delta'!AC16&gt;0,REASIGN(0,'Datos Protegidos'!$I16,PARTIDOS!AD$11),0)</f>
        <v>0</v>
      </c>
      <c r="AU16" s="24">
        <v>0</v>
      </c>
      <c r="AV16" s="19">
        <f>+IF('Datos delta'!AE16&gt;0,REASIGN(0,'Datos Protegidos'!$I16,PARTIDOS!AF$11),0)</f>
        <v>0</v>
      </c>
      <c r="AW16" s="24">
        <v>0</v>
      </c>
      <c r="AX16" s="19">
        <f>+IF('Datos delta'!AG16&gt;0,REASIGN(0,'Datos Protegidos'!$I16,PARTIDOS!AH$11),0)</f>
        <v>0</v>
      </c>
      <c r="AY16" s="24">
        <v>0</v>
      </c>
      <c r="AZ16" s="19">
        <f>+IF('Datos delta'!AI16&gt;0,REASIGN(0,'Datos Protegidos'!$I16,PARTIDOS!AJ$11),0)</f>
        <v>0</v>
      </c>
      <c r="BA16" s="24">
        <v>0</v>
      </c>
      <c r="BB16" s="19">
        <f>+IF('Datos delta'!AK16&gt;0,REASIGN(0,'Datos Protegidos'!$I16,PARTIDOS!AL$11),0)</f>
        <v>0</v>
      </c>
      <c r="BC16" s="24">
        <v>0</v>
      </c>
      <c r="BD16" s="19">
        <f>+IF('Datos delta'!AM16&gt;0,REASIGN(0,'Datos Protegidos'!$I16,PARTIDOS!AN$11),0)</f>
        <v>0</v>
      </c>
      <c r="BE16" s="24">
        <v>0</v>
      </c>
      <c r="BF16" s="19">
        <f>+IF('Datos delta'!AO16&gt;0,REASIGN(0,'Datos Protegidos'!$I16,PARTIDOS!AP$11),0)</f>
        <v>0</v>
      </c>
      <c r="BG16" s="24">
        <v>0</v>
      </c>
      <c r="BH16" s="19">
        <f>+IF('Datos delta'!AQ16&gt;0,REASIGN(0,'Datos Protegidos'!$I16,PARTIDOS!AR$11),0)</f>
        <v>0</v>
      </c>
      <c r="BI16" s="24">
        <v>0</v>
      </c>
      <c r="BJ16" s="19">
        <f>+IF('Datos delta'!AS16&gt;0,REASIGN(0,'Datos Protegidos'!$I16,PARTIDOS!AT$11),0)</f>
        <v>0</v>
      </c>
      <c r="BK16" s="24">
        <v>0</v>
      </c>
      <c r="BL16" s="19">
        <f>+IF('Datos delta'!AU16&gt;0,REASIGN(0,'Datos Protegidos'!$I16,PARTIDOS!AV$11),0)</f>
        <v>0</v>
      </c>
      <c r="BM16" s="24">
        <v>0</v>
      </c>
      <c r="BN16" s="19">
        <f>+IF('Datos delta'!AW16&gt;0,REASIGN(0,'Datos Protegidos'!$I16,PARTIDOS!AX$11),0)</f>
        <v>0</v>
      </c>
      <c r="BO16" s="24">
        <v>0</v>
      </c>
      <c r="BP16" s="19">
        <f>+IF('Datos delta'!AY16&gt;0,REASIGN(0,'Datos Protegidos'!$I16,PARTIDOS!AZ$11),0)</f>
        <v>0</v>
      </c>
      <c r="BQ16" s="24">
        <v>0</v>
      </c>
      <c r="BR16" s="19">
        <f>+IF('Datos delta'!BA16&gt;0,REASIGN(0,'Datos Protegidos'!$I16,PARTIDOS!BB$11),0)</f>
        <v>0</v>
      </c>
      <c r="BS16" s="24">
        <v>0</v>
      </c>
      <c r="BT16" s="19">
        <f>+IF('Datos delta'!BC16&gt;0,REASIGN(0,'Datos Protegidos'!$I16,PARTIDOS!BD$11),0)</f>
        <v>0</v>
      </c>
      <c r="BU16" s="24">
        <v>0</v>
      </c>
      <c r="BV16" s="19">
        <f>+IF('Datos delta'!BE16&gt;0,REASIGN(0,'Datos Protegidos'!$I16,PARTIDOS!BF$11),0)</f>
        <v>0</v>
      </c>
      <c r="BW16" s="24">
        <v>0</v>
      </c>
      <c r="BX16" s="19">
        <f>+IF('Datos delta'!BG16&gt;0,REASIGN(0,'Datos Protegidos'!$I16,PARTIDOS!BH$11),0)</f>
        <v>0</v>
      </c>
      <c r="BY16" s="24">
        <v>0</v>
      </c>
      <c r="BZ16" s="19">
        <f>+IF('Datos delta'!BI16&gt;0,REASIGN(0,'Datos Protegidos'!$I16,PARTIDOS!BJ$11),0)</f>
        <v>0</v>
      </c>
      <c r="CA16" s="24">
        <v>0</v>
      </c>
      <c r="CB16" s="19">
        <f>+IF('Datos delta'!BK16&gt;0,REASIGN(0,'Datos Protegidos'!$I16,PARTIDOS!BL$11),0)</f>
        <v>0</v>
      </c>
      <c r="CC16" s="24">
        <v>0</v>
      </c>
      <c r="CD16" s="19">
        <f>+IF('Datos delta'!BM16&gt;0,REASIGN(0,'Datos Protegidos'!$I16,PARTIDOS!BN$11),0)</f>
        <v>0</v>
      </c>
      <c r="CE16" s="24">
        <v>0</v>
      </c>
      <c r="CF16" s="19">
        <f>+IF('Datos delta'!BO16&gt;0,REASIGN(0,'Datos Protegidos'!$I16,PARTIDOS!BP$11),0)</f>
        <v>0</v>
      </c>
      <c r="CG16" s="24">
        <v>0</v>
      </c>
      <c r="CH16" s="19">
        <f>+IF('Datos delta'!BQ16&gt;0,REASIGN(0,'Datos Protegidos'!$I16,PARTIDOS!BR$11),0)</f>
        <v>0</v>
      </c>
      <c r="CI16" s="24">
        <v>0</v>
      </c>
      <c r="CJ16" s="19">
        <f>+IF('Datos delta'!BS16&gt;0,REASIGN(0,'Datos Protegidos'!$I16,PARTIDOS!BT$11),0)</f>
        <v>0</v>
      </c>
      <c r="CK16" s="24">
        <v>0</v>
      </c>
      <c r="CL16" s="19">
        <f>+IF('Datos delta'!BU16&gt;0,REASIGN(0,'Datos Protegidos'!$I16,PARTIDOS!BV$11),0)</f>
        <v>0</v>
      </c>
      <c r="CM16" s="24">
        <v>0</v>
      </c>
      <c r="CN16" s="19">
        <f>+IF('Datos delta'!BW16&gt;0,REASIGN(0,'Datos Protegidos'!$I16,PARTIDOS!BX$11),0)</f>
        <v>0</v>
      </c>
      <c r="CO16" s="24">
        <v>0</v>
      </c>
      <c r="CP16" s="19">
        <f>+IF('Datos delta'!BY16&gt;0,REASIGN(0,'Datos Protegidos'!$I16,PARTIDOS!BZ$11),0)</f>
        <v>0</v>
      </c>
      <c r="CQ16" s="24">
        <v>0</v>
      </c>
      <c r="CR16" s="19">
        <f>+IF('Datos delta'!CA16&gt;0,REASIGN(0,'Datos Protegidos'!$I16,PARTIDOS!CB$11),0)</f>
        <v>0</v>
      </c>
      <c r="CS16" s="24">
        <v>0</v>
      </c>
      <c r="CT16" s="19">
        <f>+IF('Datos delta'!CC16&gt;0,REASIGN(0,'Datos Protegidos'!$I16,PARTIDOS!CD$11),0)</f>
        <v>0</v>
      </c>
      <c r="CU16" s="24">
        <v>0</v>
      </c>
      <c r="CV16" s="19">
        <f>+IF('Datos delta'!CE16&gt;0,REASIGN(0,'Datos Protegidos'!$I16,PARTIDOS!CF$11),0)</f>
        <v>0</v>
      </c>
      <c r="CW16" s="24">
        <v>0</v>
      </c>
      <c r="CX16" s="19">
        <f>+IF('Datos delta'!CG16&gt;0,REASIGN(0,'Datos Protegidos'!$I16,PARTIDOS!CH$11),0)</f>
        <v>0</v>
      </c>
      <c r="CY16" s="24">
        <v>0</v>
      </c>
      <c r="CZ16" s="19">
        <f>+IF('Datos delta'!CI16&gt;0,REASIGN(0,'Datos Protegidos'!$I16,PARTIDOS!CJ$11),0)</f>
        <v>0</v>
      </c>
      <c r="DA16" s="24">
        <v>0</v>
      </c>
      <c r="DB16" s="19">
        <f>+IF('Datos delta'!CK16&gt;0,REASIGN(0,'Datos Protegidos'!$I16,PARTIDOS!CL$11),0)</f>
        <v>0</v>
      </c>
      <c r="DC16" s="24">
        <v>0</v>
      </c>
      <c r="DD16" s="19">
        <f>+IF('Datos delta'!CM16&gt;0,REASIGN(0,'Datos Protegidos'!$I16,PARTIDOS!CN$11),0)</f>
        <v>0</v>
      </c>
      <c r="DE16" s="24">
        <v>0</v>
      </c>
      <c r="DF16" s="19">
        <f>+IF('Datos delta'!CO16&gt;0,REASIGN(0,'Datos Protegidos'!$I16,PARTIDOS!CP$11),0)</f>
        <v>0</v>
      </c>
      <c r="DG16" s="24">
        <v>0</v>
      </c>
      <c r="DH16" s="19">
        <f>+IF('Datos delta'!CQ16&gt;0,REASIGN(0,'Datos Protegidos'!$I16,PARTIDOS!CR$11),0)</f>
        <v>0</v>
      </c>
      <c r="DI16" s="24">
        <v>0</v>
      </c>
      <c r="DJ16" s="19">
        <f>+IF('Datos delta'!CS16&gt;0,REASIGN(0,'Datos Protegidos'!$I16,PARTIDOS!CT$11),0)</f>
        <v>0</v>
      </c>
      <c r="DK16" s="24">
        <v>0</v>
      </c>
      <c r="DL16" s="19">
        <f>+IF('Datos delta'!CU16&gt;0,REASIGN(0,'Datos Protegidos'!$I16,PARTIDOS!CV$11),0)</f>
        <v>0</v>
      </c>
      <c r="DM16" s="24">
        <v>0</v>
      </c>
      <c r="DN16" s="19">
        <f>+IF('Datos delta'!CW16&gt;0,REASIGN(0,'Datos Protegidos'!$I16,PARTIDOS!CX$11),0)</f>
        <v>0</v>
      </c>
      <c r="DO16" s="24">
        <v>0</v>
      </c>
      <c r="DP16" s="19">
        <f>+IF('Datos delta'!CY16&gt;0,REASIGN(0,'Datos Protegidos'!$I16,PARTIDOS!CZ$11),0)</f>
        <v>0</v>
      </c>
      <c r="DQ16" s="24">
        <v>0</v>
      </c>
      <c r="DR16" s="19">
        <f>+IF('Datos delta'!DA16&gt;0,REASIGN(0,'Datos Protegidos'!$I16,PARTIDOS!DB$11),0)</f>
        <v>0</v>
      </c>
      <c r="DS16" s="24">
        <v>0</v>
      </c>
      <c r="DT16" s="19">
        <f>+IF('Datos delta'!DC16&gt;0,REASIGN(0,'Datos Protegidos'!$I16,PARTIDOS!DD$11),0)</f>
        <v>0</v>
      </c>
      <c r="DU16" s="24">
        <v>0</v>
      </c>
      <c r="DV16" s="19">
        <f>+IF('Datos delta'!DE16&gt;0,REASIGN(0,'Datos Protegidos'!$I16,PARTIDOS!DF$11),0)</f>
        <v>0</v>
      </c>
      <c r="DW16" s="24">
        <v>0</v>
      </c>
      <c r="DX16" s="19">
        <f>+IF('Datos delta'!DG16&gt;0,REASIGN(0,'Datos Protegidos'!$I16,PARTIDOS!DH$11),0)</f>
        <v>0</v>
      </c>
      <c r="DY16" s="24">
        <v>0</v>
      </c>
      <c r="DZ16" s="19">
        <f>+IF('Datos delta'!DI16&gt;0,REASIGN(0,'Datos Protegidos'!$I16,PARTIDOS!DJ$11),0)</f>
        <v>0</v>
      </c>
      <c r="EA16" s="24">
        <v>0</v>
      </c>
      <c r="EB16" s="19">
        <f>+IF('Datos delta'!DK16&gt;0,REASIGN(0,'Datos Protegidos'!$I16,PARTIDOS!DL$11),0)</f>
        <v>0</v>
      </c>
      <c r="EC16" s="24">
        <v>0</v>
      </c>
      <c r="ED16" s="19">
        <f>+IF('Datos delta'!DM16&gt;0,REASIGN(0,'Datos Protegidos'!$I16,PARTIDOS!DN$11),0)</f>
        <v>0</v>
      </c>
      <c r="EE16" s="24">
        <v>0</v>
      </c>
      <c r="EF16" s="19">
        <f>+IF('Datos delta'!DO16&gt;0,REASIGN(0,'Datos Protegidos'!$I16,PARTIDOS!DP$11),0)</f>
        <v>0</v>
      </c>
      <c r="EG16" s="24">
        <v>0</v>
      </c>
      <c r="EH16" s="19">
        <f>+IF('Datos delta'!DQ16&gt;0,REASIGN(0,'Datos Protegidos'!$I16,PARTIDOS!DR$11),0)</f>
        <v>0</v>
      </c>
      <c r="EI16" s="24">
        <v>0</v>
      </c>
      <c r="EJ16" s="19">
        <f>+IF('Datos delta'!DS16&gt;0,REASIGN(0,'Datos Protegidos'!$I16,PARTIDOS!DT$11),0)</f>
        <v>0</v>
      </c>
      <c r="EK16" s="24">
        <v>0</v>
      </c>
      <c r="EL16" s="19">
        <f>+IF('Datos delta'!DU16&gt;0,REASIGN(0,'Datos Protegidos'!$I16,PARTIDOS!DV$11),0)</f>
        <v>0</v>
      </c>
      <c r="EM16" s="24">
        <v>0</v>
      </c>
      <c r="EN16" s="19">
        <f>+IF('Datos delta'!DW16&gt;0,REASIGN(0,'Datos Protegidos'!$I16,PARTIDOS!DX$11),0)</f>
        <v>0</v>
      </c>
      <c r="EO16" s="24">
        <v>0</v>
      </c>
      <c r="EP16" s="19">
        <f>+IF('Datos delta'!DY16&gt;0,REASIGN(0,'Datos Protegidos'!$I16,PARTIDOS!DZ$11),0)</f>
        <v>0</v>
      </c>
      <c r="EQ16" s="24">
        <v>0</v>
      </c>
      <c r="ER16" s="19">
        <f>+IF('Datos delta'!EA16&gt;0,REASIGN(0,'Datos Protegidos'!$I16,PARTIDOS!EB$11),0)</f>
        <v>0</v>
      </c>
      <c r="ES16" s="24">
        <v>0</v>
      </c>
      <c r="ET16" s="19">
        <f>+IF('Datos delta'!EC16&gt;0,REASIGN(0,'Datos Protegidos'!$I16,PARTIDOS!ED$11),0)</f>
        <v>0</v>
      </c>
      <c r="EU16" s="24">
        <v>0</v>
      </c>
    </row>
    <row r="17" spans="1:151" x14ac:dyDescent="0.25">
      <c r="A17" s="24" t="s">
        <v>36</v>
      </c>
      <c r="B17" s="25">
        <v>39</v>
      </c>
      <c r="C17" s="24" t="s">
        <v>36</v>
      </c>
      <c r="D17" s="24">
        <v>580229</v>
      </c>
      <c r="E17" s="26">
        <v>741</v>
      </c>
      <c r="F17" s="26">
        <v>462660</v>
      </c>
      <c r="G17" s="26">
        <v>39016</v>
      </c>
      <c r="H17" s="26">
        <v>501676</v>
      </c>
      <c r="I17" s="1">
        <v>3455</v>
      </c>
      <c r="J17" s="19">
        <f>+INT(([1]Hoja1!M17/[1]Hoja1!O17)*M17)</f>
        <v>327089</v>
      </c>
      <c r="K17" s="19">
        <f>+INT(([1]Hoja1!N17/[1]Hoja1!O17)*M17)</f>
        <v>325422</v>
      </c>
      <c r="L17" s="19">
        <f t="shared" si="1"/>
        <v>4399</v>
      </c>
      <c r="M17" s="19">
        <f t="shared" si="2"/>
        <v>1667</v>
      </c>
      <c r="N17" s="22">
        <f t="shared" si="0"/>
        <v>0</v>
      </c>
      <c r="O17" s="26">
        <v>1667</v>
      </c>
      <c r="P17" s="26">
        <v>2732</v>
      </c>
      <c r="Q17" s="22">
        <f t="shared" si="3"/>
        <v>5</v>
      </c>
      <c r="R17" s="19">
        <f>+IF('Datos delta'!A17&gt;0,REASIGN(0,'Datos Protegidos'!$I17,PARTIDOS!B$11),0)</f>
        <v>0</v>
      </c>
      <c r="S17" s="24">
        <v>1</v>
      </c>
      <c r="T17" s="19">
        <f>+IF('Datos delta'!C17&gt;0,REASIGN(0,'Datos Protegidos'!$I17,PARTIDOS!D$11),0)</f>
        <v>0</v>
      </c>
      <c r="U17" s="24">
        <v>2</v>
      </c>
      <c r="V17" s="19">
        <f>+IF('Datos delta'!E17&gt;0,REASIGN(0,'Datos Protegidos'!$I17,PARTIDOS!F$11),0)</f>
        <v>0</v>
      </c>
      <c r="W17" s="24">
        <v>1</v>
      </c>
      <c r="X17" s="19">
        <f>+IF('Datos delta'!G17&gt;0,REASIGN(0,'Datos Protegidos'!$I17,PARTIDOS!H$11),0)</f>
        <v>0</v>
      </c>
      <c r="Y17" s="24">
        <v>0</v>
      </c>
      <c r="Z17" s="19">
        <f>+IF('Datos delta'!I17&gt;0,REASIGN(0,'Datos Protegidos'!$I17,PARTIDOS!J$11),0)</f>
        <v>0</v>
      </c>
      <c r="AA17" s="24">
        <v>0</v>
      </c>
      <c r="AB17" s="19">
        <f>+IF('Datos delta'!K17&gt;0,REASIGN(0,'Datos Protegidos'!$I17,PARTIDOS!L$11),0)</f>
        <v>0</v>
      </c>
      <c r="AC17" s="24">
        <v>0</v>
      </c>
      <c r="AD17" s="19">
        <f>+IF('Datos delta'!M17&gt;0,REASIGN(0,'Datos Protegidos'!$I17,PARTIDOS!N$11),0)</f>
        <v>0</v>
      </c>
      <c r="AE17" s="24">
        <v>0</v>
      </c>
      <c r="AF17" s="19">
        <f>+IF('Datos delta'!O17&gt;0,REASIGN(0,'Datos Protegidos'!$I17,PARTIDOS!P$11),0)</f>
        <v>0</v>
      </c>
      <c r="AG17" s="24">
        <v>0</v>
      </c>
      <c r="AH17" s="19">
        <f>+IF('Datos delta'!Q17&gt;0,REASIGN(0,'Datos Protegidos'!$I17,PARTIDOS!R$11),0)</f>
        <v>0</v>
      </c>
      <c r="AI17" s="24">
        <v>0</v>
      </c>
      <c r="AJ17" s="19">
        <f>+IF('Datos delta'!S17&gt;0,REASIGN(0,'Datos Protegidos'!$I17,PARTIDOS!T$11),0)</f>
        <v>0</v>
      </c>
      <c r="AK17" s="24">
        <v>0</v>
      </c>
      <c r="AL17" s="19">
        <f>+IF('Datos delta'!U17&gt;0,REASIGN(0,'Datos Protegidos'!$I17,PARTIDOS!V$11),0)</f>
        <v>0</v>
      </c>
      <c r="AM17" s="24">
        <v>0</v>
      </c>
      <c r="AN17" s="19">
        <f>+IF('Datos delta'!W17&gt;0,REASIGN(0,'Datos Protegidos'!$I17,PARTIDOS!X$11),0)</f>
        <v>0</v>
      </c>
      <c r="AO17" s="24">
        <v>0</v>
      </c>
      <c r="AP17" s="19">
        <f>+IF('Datos delta'!Y17&gt;0,REASIGN(0,'Datos Protegidos'!$I17,PARTIDOS!Z$11),0)</f>
        <v>0</v>
      </c>
      <c r="AQ17" s="24">
        <v>0</v>
      </c>
      <c r="AR17" s="19">
        <f>+IF('Datos delta'!AA17&gt;0,REASIGN(0,'Datos Protegidos'!$I17,PARTIDOS!AB$11),0)</f>
        <v>0</v>
      </c>
      <c r="AS17" s="24">
        <v>0</v>
      </c>
      <c r="AT17" s="19">
        <f>+IF('Datos delta'!AC17&gt;0,REASIGN(0,'Datos Protegidos'!$I17,PARTIDOS!AD$11),0)</f>
        <v>0</v>
      </c>
      <c r="AU17" s="24">
        <v>0</v>
      </c>
      <c r="AV17" s="19">
        <f>+IF('Datos delta'!AE17&gt;0,REASIGN(0,'Datos Protegidos'!$I17,PARTIDOS!AF$11),0)</f>
        <v>0</v>
      </c>
      <c r="AW17" s="24">
        <v>0</v>
      </c>
      <c r="AX17" s="19">
        <f>+IF('Datos delta'!AG17&gt;0,REASIGN(0,'Datos Protegidos'!$I17,PARTIDOS!AH$11),0)</f>
        <v>0</v>
      </c>
      <c r="AY17" s="24">
        <v>0</v>
      </c>
      <c r="AZ17" s="19">
        <f>+IF('Datos delta'!AI17&gt;0,REASIGN(0,'Datos Protegidos'!$I17,PARTIDOS!AJ$11),0)</f>
        <v>0</v>
      </c>
      <c r="BA17" s="24">
        <v>1</v>
      </c>
      <c r="BB17" s="19">
        <f>+IF('Datos delta'!AK17&gt;0,REASIGN(0,'Datos Protegidos'!$I17,PARTIDOS!AL$11),0)</f>
        <v>0</v>
      </c>
      <c r="BC17" s="24">
        <v>0</v>
      </c>
      <c r="BD17" s="19">
        <f>+IF('Datos delta'!AM17&gt;0,REASIGN(0,'Datos Protegidos'!$I17,PARTIDOS!AN$11),0)</f>
        <v>0</v>
      </c>
      <c r="BE17" s="24">
        <v>0</v>
      </c>
      <c r="BF17" s="19">
        <f>+IF('Datos delta'!AO17&gt;0,REASIGN(0,'Datos Protegidos'!$I17,PARTIDOS!AP$11),0)</f>
        <v>0</v>
      </c>
      <c r="BG17" s="24">
        <v>0</v>
      </c>
      <c r="BH17" s="19">
        <f>+IF('Datos delta'!AQ17&gt;0,REASIGN(0,'Datos Protegidos'!$I17,PARTIDOS!AR$11),0)</f>
        <v>0</v>
      </c>
      <c r="BI17" s="24">
        <v>0</v>
      </c>
      <c r="BJ17" s="19">
        <f>+IF('Datos delta'!AS17&gt;0,REASIGN(0,'Datos Protegidos'!$I17,PARTIDOS!AT$11),0)</f>
        <v>0</v>
      </c>
      <c r="BK17" s="24">
        <v>0</v>
      </c>
      <c r="BL17" s="19">
        <f>+IF('Datos delta'!AU17&gt;0,REASIGN(0,'Datos Protegidos'!$I17,PARTIDOS!AV$11),0)</f>
        <v>0</v>
      </c>
      <c r="BM17" s="24">
        <v>0</v>
      </c>
      <c r="BN17" s="19">
        <f>+IF('Datos delta'!AW17&gt;0,REASIGN(0,'Datos Protegidos'!$I17,PARTIDOS!AX$11),0)</f>
        <v>0</v>
      </c>
      <c r="BO17" s="24">
        <v>0</v>
      </c>
      <c r="BP17" s="19">
        <f>+IF('Datos delta'!AY17&gt;0,REASIGN(0,'Datos Protegidos'!$I17,PARTIDOS!AZ$11),0)</f>
        <v>0</v>
      </c>
      <c r="BQ17" s="24">
        <v>0</v>
      </c>
      <c r="BR17" s="19">
        <f>+IF('Datos delta'!BA17&gt;0,REASIGN(0,'Datos Protegidos'!$I17,PARTIDOS!BB$11),0)</f>
        <v>0</v>
      </c>
      <c r="BS17" s="24">
        <v>0</v>
      </c>
      <c r="BT17" s="19">
        <f>+IF('Datos delta'!BC17&gt;0,REASIGN(0,'Datos Protegidos'!$I17,PARTIDOS!BD$11),0)</f>
        <v>0</v>
      </c>
      <c r="BU17" s="24">
        <v>0</v>
      </c>
      <c r="BV17" s="19">
        <f>+IF('Datos delta'!BE17&gt;0,REASIGN(0,'Datos Protegidos'!$I17,PARTIDOS!BF$11),0)</f>
        <v>0</v>
      </c>
      <c r="BW17" s="24">
        <v>0</v>
      </c>
      <c r="BX17" s="19">
        <f>+IF('Datos delta'!BG17&gt;0,REASIGN(0,'Datos Protegidos'!$I17,PARTIDOS!BH$11),0)</f>
        <v>0</v>
      </c>
      <c r="BY17" s="24">
        <v>0</v>
      </c>
      <c r="BZ17" s="19">
        <f>+IF('Datos delta'!BI17&gt;0,REASIGN(0,'Datos Protegidos'!$I17,PARTIDOS!BJ$11),0)</f>
        <v>0</v>
      </c>
      <c r="CA17" s="24">
        <v>0</v>
      </c>
      <c r="CB17" s="19">
        <f>+IF('Datos delta'!BK17&gt;0,REASIGN(0,'Datos Protegidos'!$I17,PARTIDOS!BL$11),0)</f>
        <v>0</v>
      </c>
      <c r="CC17" s="24">
        <v>0</v>
      </c>
      <c r="CD17" s="19">
        <f>+IF('Datos delta'!BM17&gt;0,REASIGN(0,'Datos Protegidos'!$I17,PARTIDOS!BN$11),0)</f>
        <v>0</v>
      </c>
      <c r="CE17" s="24">
        <v>0</v>
      </c>
      <c r="CF17" s="19">
        <f>+IF('Datos delta'!BO17&gt;0,REASIGN(0,'Datos Protegidos'!$I17,PARTIDOS!BP$11),0)</f>
        <v>0</v>
      </c>
      <c r="CG17" s="24">
        <v>0</v>
      </c>
      <c r="CH17" s="19">
        <f>+IF('Datos delta'!BQ17&gt;0,REASIGN(0,'Datos Protegidos'!$I17,PARTIDOS!BR$11),0)</f>
        <v>0</v>
      </c>
      <c r="CI17" s="24">
        <v>0</v>
      </c>
      <c r="CJ17" s="19">
        <f>+IF('Datos delta'!BS17&gt;0,REASIGN(0,'Datos Protegidos'!$I17,PARTIDOS!BT$11),0)</f>
        <v>0</v>
      </c>
      <c r="CK17" s="24">
        <v>0</v>
      </c>
      <c r="CL17" s="19">
        <f>+IF('Datos delta'!BU17&gt;0,REASIGN(0,'Datos Protegidos'!$I17,PARTIDOS!BV$11),0)</f>
        <v>0</v>
      </c>
      <c r="CM17" s="24">
        <v>0</v>
      </c>
      <c r="CN17" s="19">
        <f>+IF('Datos delta'!BW17&gt;0,REASIGN(0,'Datos Protegidos'!$I17,PARTIDOS!BX$11),0)</f>
        <v>0</v>
      </c>
      <c r="CO17" s="24">
        <v>0</v>
      </c>
      <c r="CP17" s="19">
        <f>+IF('Datos delta'!BY17&gt;0,REASIGN(0,'Datos Protegidos'!$I17,PARTIDOS!BZ$11),0)</f>
        <v>0</v>
      </c>
      <c r="CQ17" s="24">
        <v>0</v>
      </c>
      <c r="CR17" s="19">
        <f>+IF('Datos delta'!CA17&gt;0,REASIGN(0,'Datos Protegidos'!$I17,PARTIDOS!CB$11),0)</f>
        <v>0</v>
      </c>
      <c r="CS17" s="24">
        <v>0</v>
      </c>
      <c r="CT17" s="19">
        <f>+IF('Datos delta'!CC17&gt;0,REASIGN(0,'Datos Protegidos'!$I17,PARTIDOS!CD$11),0)</f>
        <v>0</v>
      </c>
      <c r="CU17" s="24">
        <v>0</v>
      </c>
      <c r="CV17" s="19">
        <f>+IF('Datos delta'!CE17&gt;0,REASIGN(0,'Datos Protegidos'!$I17,PARTIDOS!CF$11),0)</f>
        <v>0</v>
      </c>
      <c r="CW17" s="24">
        <v>0</v>
      </c>
      <c r="CX17" s="19">
        <f>+IF('Datos delta'!CG17&gt;0,REASIGN(0,'Datos Protegidos'!$I17,PARTIDOS!CH$11),0)</f>
        <v>0</v>
      </c>
      <c r="CY17" s="24">
        <v>0</v>
      </c>
      <c r="CZ17" s="19">
        <f>+IF('Datos delta'!CI17&gt;0,REASIGN(0,'Datos Protegidos'!$I17,PARTIDOS!CJ$11),0)</f>
        <v>0</v>
      </c>
      <c r="DA17" s="24">
        <v>0</v>
      </c>
      <c r="DB17" s="19">
        <f>+IF('Datos delta'!CK17&gt;0,REASIGN(0,'Datos Protegidos'!$I17,PARTIDOS!CL$11),0)</f>
        <v>0</v>
      </c>
      <c r="DC17" s="24">
        <v>0</v>
      </c>
      <c r="DD17" s="19">
        <f>+IF('Datos delta'!CM17&gt;0,REASIGN(0,'Datos Protegidos'!$I17,PARTIDOS!CN$11),0)</f>
        <v>0</v>
      </c>
      <c r="DE17" s="24">
        <v>0</v>
      </c>
      <c r="DF17" s="19">
        <f>+IF('Datos delta'!CO17&gt;0,REASIGN(0,'Datos Protegidos'!$I17,PARTIDOS!CP$11),0)</f>
        <v>0</v>
      </c>
      <c r="DG17" s="24">
        <v>0</v>
      </c>
      <c r="DH17" s="19">
        <f>+IF('Datos delta'!CQ17&gt;0,REASIGN(0,'Datos Protegidos'!$I17,PARTIDOS!CR$11),0)</f>
        <v>0</v>
      </c>
      <c r="DI17" s="24">
        <v>0</v>
      </c>
      <c r="DJ17" s="19">
        <f>+IF('Datos delta'!CS17&gt;0,REASIGN(0,'Datos Protegidos'!$I17,PARTIDOS!CT$11),0)</f>
        <v>0</v>
      </c>
      <c r="DK17" s="24">
        <v>0</v>
      </c>
      <c r="DL17" s="19">
        <f>+IF('Datos delta'!CU17&gt;0,REASIGN(0,'Datos Protegidos'!$I17,PARTIDOS!CV$11),0)</f>
        <v>0</v>
      </c>
      <c r="DM17" s="24">
        <v>0</v>
      </c>
      <c r="DN17" s="19">
        <f>+IF('Datos delta'!CW17&gt;0,REASIGN(0,'Datos Protegidos'!$I17,PARTIDOS!CX$11),0)</f>
        <v>0</v>
      </c>
      <c r="DO17" s="24">
        <v>0</v>
      </c>
      <c r="DP17" s="19">
        <f>+IF('Datos delta'!CY17&gt;0,REASIGN(0,'Datos Protegidos'!$I17,PARTIDOS!CZ$11),0)</f>
        <v>0</v>
      </c>
      <c r="DQ17" s="24">
        <v>0</v>
      </c>
      <c r="DR17" s="19">
        <f>+IF('Datos delta'!DA17&gt;0,REASIGN(0,'Datos Protegidos'!$I17,PARTIDOS!DB$11),0)</f>
        <v>0</v>
      </c>
      <c r="DS17" s="24">
        <v>0</v>
      </c>
      <c r="DT17" s="19">
        <f>+IF('Datos delta'!DC17&gt;0,REASIGN(0,'Datos Protegidos'!$I17,PARTIDOS!DD$11),0)</f>
        <v>0</v>
      </c>
      <c r="DU17" s="24">
        <v>0</v>
      </c>
      <c r="DV17" s="19">
        <f>+IF('Datos delta'!DE17&gt;0,REASIGN(0,'Datos Protegidos'!$I17,PARTIDOS!DF$11),0)</f>
        <v>0</v>
      </c>
      <c r="DW17" s="24">
        <v>0</v>
      </c>
      <c r="DX17" s="19">
        <f>+IF('Datos delta'!DG17&gt;0,REASIGN(0,'Datos Protegidos'!$I17,PARTIDOS!DH$11),0)</f>
        <v>0</v>
      </c>
      <c r="DY17" s="24">
        <v>0</v>
      </c>
      <c r="DZ17" s="19">
        <f>+IF('Datos delta'!DI17&gt;0,REASIGN(0,'Datos Protegidos'!$I17,PARTIDOS!DJ$11),0)</f>
        <v>0</v>
      </c>
      <c r="EA17" s="24">
        <v>0</v>
      </c>
      <c r="EB17" s="19">
        <f>+IF('Datos delta'!DK17&gt;0,REASIGN(0,'Datos Protegidos'!$I17,PARTIDOS!DL$11),0)</f>
        <v>0</v>
      </c>
      <c r="EC17" s="24">
        <v>0</v>
      </c>
      <c r="ED17" s="19">
        <f>+IF('Datos delta'!DM17&gt;0,REASIGN(0,'Datos Protegidos'!$I17,PARTIDOS!DN$11),0)</f>
        <v>0</v>
      </c>
      <c r="EE17" s="24">
        <v>0</v>
      </c>
      <c r="EF17" s="19">
        <f>+IF('Datos delta'!DO17&gt;0,REASIGN(0,'Datos Protegidos'!$I17,PARTIDOS!DP$11),0)</f>
        <v>0</v>
      </c>
      <c r="EG17" s="24">
        <v>0</v>
      </c>
      <c r="EH17" s="19">
        <f>+IF('Datos delta'!DQ17&gt;0,REASIGN(0,'Datos Protegidos'!$I17,PARTIDOS!DR$11),0)</f>
        <v>0</v>
      </c>
      <c r="EI17" s="24">
        <v>0</v>
      </c>
      <c r="EJ17" s="19">
        <f>+IF('Datos delta'!DS17&gt;0,REASIGN(0,'Datos Protegidos'!$I17,PARTIDOS!DT$11),0)</f>
        <v>0</v>
      </c>
      <c r="EK17" s="24">
        <v>0</v>
      </c>
      <c r="EL17" s="19">
        <f>+IF('Datos delta'!DU17&gt;0,REASIGN(0,'Datos Protegidos'!$I17,PARTIDOS!DV$11),0)</f>
        <v>0</v>
      </c>
      <c r="EM17" s="24">
        <v>0</v>
      </c>
      <c r="EN17" s="19">
        <f>+IF('Datos delta'!DW17&gt;0,REASIGN(0,'Datos Protegidos'!$I17,PARTIDOS!DX$11),0)</f>
        <v>0</v>
      </c>
      <c r="EO17" s="24">
        <v>0</v>
      </c>
      <c r="EP17" s="19">
        <f>+IF('Datos delta'!DY17&gt;0,REASIGN(0,'Datos Protegidos'!$I17,PARTIDOS!DZ$11),0)</f>
        <v>0</v>
      </c>
      <c r="EQ17" s="24">
        <v>0</v>
      </c>
      <c r="ER17" s="19">
        <f>+IF('Datos delta'!EA17&gt;0,REASIGN(0,'Datos Protegidos'!$I17,PARTIDOS!EB$11),0)</f>
        <v>0</v>
      </c>
      <c r="ES17" s="24">
        <v>0</v>
      </c>
      <c r="ET17" s="19">
        <f>+IF('Datos delta'!EC17&gt;0,REASIGN(0,'Datos Protegidos'!$I17,PARTIDOS!ED$11),0)</f>
        <v>0</v>
      </c>
      <c r="EU17" s="24">
        <v>0</v>
      </c>
    </row>
    <row r="18" spans="1:151" x14ac:dyDescent="0.25">
      <c r="A18" s="24" t="s">
        <v>37</v>
      </c>
      <c r="B18" s="25">
        <v>2</v>
      </c>
      <c r="C18" s="24" t="s">
        <v>38</v>
      </c>
      <c r="D18" s="24">
        <v>388786</v>
      </c>
      <c r="E18" s="26">
        <v>519</v>
      </c>
      <c r="F18" s="26">
        <v>302443</v>
      </c>
      <c r="G18" s="26">
        <v>7553</v>
      </c>
      <c r="H18" s="26">
        <v>309996</v>
      </c>
      <c r="I18" s="1">
        <v>1042</v>
      </c>
      <c r="J18" s="19">
        <f>+INT(([1]Hoja1!M18/[1]Hoja1!O18)*M18)</f>
        <v>214304</v>
      </c>
      <c r="K18" s="19">
        <f>+INT(([1]Hoja1!N18/[1]Hoja1!O18)*M18)</f>
        <v>212482</v>
      </c>
      <c r="L18" s="19">
        <f t="shared" si="1"/>
        <v>4435</v>
      </c>
      <c r="M18" s="19">
        <f t="shared" si="2"/>
        <v>1822</v>
      </c>
      <c r="N18" s="22">
        <f t="shared" si="0"/>
        <v>0</v>
      </c>
      <c r="O18" s="26">
        <v>1822</v>
      </c>
      <c r="P18" s="26">
        <v>2613</v>
      </c>
      <c r="Q18" s="22">
        <f t="shared" si="3"/>
        <v>4</v>
      </c>
      <c r="R18" s="19">
        <f>+IF('Datos delta'!A18&gt;0,REASIGN(0,'Datos Protegidos'!$I18,PARTIDOS!B$11),0)</f>
        <v>0</v>
      </c>
      <c r="S18" s="24">
        <v>2</v>
      </c>
      <c r="T18" s="19">
        <f>+IF('Datos delta'!C18&gt;0,REASIGN(0,'Datos Protegidos'!$I18,PARTIDOS!D$11),0)</f>
        <v>0</v>
      </c>
      <c r="U18" s="24">
        <v>1</v>
      </c>
      <c r="V18" s="19">
        <f>+IF('Datos delta'!E18&gt;0,REASIGN(0,'Datos Protegidos'!$I18,PARTIDOS!F$11),0)</f>
        <v>0</v>
      </c>
      <c r="W18" s="24">
        <v>1</v>
      </c>
      <c r="X18" s="19">
        <f>+IF('Datos delta'!G18&gt;0,REASIGN(0,'Datos Protegidos'!$I18,PARTIDOS!H$11),0)</f>
        <v>0</v>
      </c>
      <c r="Y18" s="24">
        <v>0</v>
      </c>
      <c r="Z18" s="19">
        <f>+IF('Datos delta'!I18&gt;0,REASIGN(0,'Datos Protegidos'!$I18,PARTIDOS!J$11),0)</f>
        <v>0</v>
      </c>
      <c r="AA18" s="24">
        <v>0</v>
      </c>
      <c r="AB18" s="19">
        <f>+IF('Datos delta'!K18&gt;0,REASIGN(0,'Datos Protegidos'!$I18,PARTIDOS!L$11),0)</f>
        <v>0</v>
      </c>
      <c r="AC18" s="24">
        <v>0</v>
      </c>
      <c r="AD18" s="19">
        <f>+IF('Datos delta'!M18&gt;0,REASIGN(0,'Datos Protegidos'!$I18,PARTIDOS!N$11),0)</f>
        <v>0</v>
      </c>
      <c r="AE18" s="24">
        <v>0</v>
      </c>
      <c r="AF18" s="19">
        <f>+IF('Datos delta'!O18&gt;0,REASIGN(0,'Datos Protegidos'!$I18,PARTIDOS!P$11),0)</f>
        <v>0</v>
      </c>
      <c r="AG18" s="24">
        <v>0</v>
      </c>
      <c r="AH18" s="19">
        <f>+IF('Datos delta'!Q18&gt;0,REASIGN(0,'Datos Protegidos'!$I18,PARTIDOS!R$11),0)</f>
        <v>0</v>
      </c>
      <c r="AI18" s="24">
        <v>0</v>
      </c>
      <c r="AJ18" s="19">
        <f>+IF('Datos delta'!S18&gt;0,REASIGN(0,'Datos Protegidos'!$I18,PARTIDOS!T$11),0)</f>
        <v>0</v>
      </c>
      <c r="AK18" s="24">
        <v>0</v>
      </c>
      <c r="AL18" s="19">
        <f>+IF('Datos delta'!U18&gt;0,REASIGN(0,'Datos Protegidos'!$I18,PARTIDOS!V$11),0)</f>
        <v>0</v>
      </c>
      <c r="AM18" s="24">
        <v>0</v>
      </c>
      <c r="AN18" s="19">
        <f>+IF('Datos delta'!W18&gt;0,REASIGN(0,'Datos Protegidos'!$I18,PARTIDOS!X$11),0)</f>
        <v>0</v>
      </c>
      <c r="AO18" s="24">
        <v>0</v>
      </c>
      <c r="AP18" s="19">
        <f>+IF('Datos delta'!Y18&gt;0,REASIGN(0,'Datos Protegidos'!$I18,PARTIDOS!Z$11),0)</f>
        <v>0</v>
      </c>
      <c r="AQ18" s="24">
        <v>0</v>
      </c>
      <c r="AR18" s="19">
        <f>+IF('Datos delta'!AA18&gt;0,REASIGN(0,'Datos Protegidos'!$I18,PARTIDOS!AB$11),0)</f>
        <v>0</v>
      </c>
      <c r="AS18" s="24">
        <v>0</v>
      </c>
      <c r="AT18" s="19">
        <f>+IF('Datos delta'!AC18&gt;0,REASIGN(0,'Datos Protegidos'!$I18,PARTIDOS!AD$11),0)</f>
        <v>0</v>
      </c>
      <c r="AU18" s="24">
        <v>0</v>
      </c>
      <c r="AV18" s="19">
        <f>+IF('Datos delta'!AE18&gt;0,REASIGN(0,'Datos Protegidos'!$I18,PARTIDOS!AF$11),0)</f>
        <v>0</v>
      </c>
      <c r="AW18" s="24">
        <v>0</v>
      </c>
      <c r="AX18" s="19">
        <f>+IF('Datos delta'!AG18&gt;0,REASIGN(0,'Datos Protegidos'!$I18,PARTIDOS!AH$11),0)</f>
        <v>0</v>
      </c>
      <c r="AY18" s="24">
        <v>0</v>
      </c>
      <c r="AZ18" s="19">
        <f>+IF('Datos delta'!AI18&gt;0,REASIGN(0,'Datos Protegidos'!$I18,PARTIDOS!AJ$11),0)</f>
        <v>0</v>
      </c>
      <c r="BA18" s="24">
        <v>0</v>
      </c>
      <c r="BB18" s="19">
        <f>+IF('Datos delta'!AK18&gt;0,REASIGN(0,'Datos Protegidos'!$I18,PARTIDOS!AL$11),0)</f>
        <v>0</v>
      </c>
      <c r="BC18" s="24">
        <v>0</v>
      </c>
      <c r="BD18" s="19">
        <f>+IF('Datos delta'!AM18&gt;0,REASIGN(0,'Datos Protegidos'!$I18,PARTIDOS!AN$11),0)</f>
        <v>0</v>
      </c>
      <c r="BE18" s="24">
        <v>0</v>
      </c>
      <c r="BF18" s="19">
        <f>+IF('Datos delta'!AO18&gt;0,REASIGN(0,'Datos Protegidos'!$I18,PARTIDOS!AP$11),0)</f>
        <v>0</v>
      </c>
      <c r="BG18" s="24">
        <v>0</v>
      </c>
      <c r="BH18" s="19">
        <f>+IF('Datos delta'!AQ18&gt;0,REASIGN(0,'Datos Protegidos'!$I18,PARTIDOS!AR$11),0)</f>
        <v>0</v>
      </c>
      <c r="BI18" s="24">
        <v>0</v>
      </c>
      <c r="BJ18" s="19">
        <f>+IF('Datos delta'!AS18&gt;0,REASIGN(0,'Datos Protegidos'!$I18,PARTIDOS!AT$11),0)</f>
        <v>0</v>
      </c>
      <c r="BK18" s="24">
        <v>0</v>
      </c>
      <c r="BL18" s="19">
        <f>+IF('Datos delta'!AU18&gt;0,REASIGN(0,'Datos Protegidos'!$I18,PARTIDOS!AV$11),0)</f>
        <v>0</v>
      </c>
      <c r="BM18" s="24">
        <v>0</v>
      </c>
      <c r="BN18" s="19">
        <f>+IF('Datos delta'!AW18&gt;0,REASIGN(0,'Datos Protegidos'!$I18,PARTIDOS!AX$11),0)</f>
        <v>0</v>
      </c>
      <c r="BO18" s="24">
        <v>0</v>
      </c>
      <c r="BP18" s="19">
        <f>+IF('Datos delta'!AY18&gt;0,REASIGN(0,'Datos Protegidos'!$I18,PARTIDOS!AZ$11),0)</f>
        <v>0</v>
      </c>
      <c r="BQ18" s="24">
        <v>0</v>
      </c>
      <c r="BR18" s="19">
        <f>+IF('Datos delta'!BA18&gt;0,REASIGN(0,'Datos Protegidos'!$I18,PARTIDOS!BB$11),0)</f>
        <v>0</v>
      </c>
      <c r="BS18" s="24">
        <v>0</v>
      </c>
      <c r="BT18" s="19">
        <f>+IF('Datos delta'!BC18&gt;0,REASIGN(0,'Datos Protegidos'!$I18,PARTIDOS!BD$11),0)</f>
        <v>0</v>
      </c>
      <c r="BU18" s="24">
        <v>0</v>
      </c>
      <c r="BV18" s="19">
        <f>+IF('Datos delta'!BE18&gt;0,REASIGN(0,'Datos Protegidos'!$I18,PARTIDOS!BF$11),0)</f>
        <v>0</v>
      </c>
      <c r="BW18" s="24">
        <v>0</v>
      </c>
      <c r="BX18" s="19">
        <f>+IF('Datos delta'!BG18&gt;0,REASIGN(0,'Datos Protegidos'!$I18,PARTIDOS!BH$11),0)</f>
        <v>0</v>
      </c>
      <c r="BY18" s="24">
        <v>0</v>
      </c>
      <c r="BZ18" s="19">
        <f>+IF('Datos delta'!BI18&gt;0,REASIGN(0,'Datos Protegidos'!$I18,PARTIDOS!BJ$11),0)</f>
        <v>0</v>
      </c>
      <c r="CA18" s="24">
        <v>0</v>
      </c>
      <c r="CB18" s="19">
        <f>+IF('Datos delta'!BK18&gt;0,REASIGN(0,'Datos Protegidos'!$I18,PARTIDOS!BL$11),0)</f>
        <v>0</v>
      </c>
      <c r="CC18" s="24">
        <v>0</v>
      </c>
      <c r="CD18" s="19">
        <f>+IF('Datos delta'!BM18&gt;0,REASIGN(0,'Datos Protegidos'!$I18,PARTIDOS!BN$11),0)</f>
        <v>0</v>
      </c>
      <c r="CE18" s="24">
        <v>0</v>
      </c>
      <c r="CF18" s="19">
        <f>+IF('Datos delta'!BO18&gt;0,REASIGN(0,'Datos Protegidos'!$I18,PARTIDOS!BP$11),0)</f>
        <v>0</v>
      </c>
      <c r="CG18" s="24">
        <v>0</v>
      </c>
      <c r="CH18" s="19">
        <f>+IF('Datos delta'!BQ18&gt;0,REASIGN(0,'Datos Protegidos'!$I18,PARTIDOS!BR$11),0)</f>
        <v>0</v>
      </c>
      <c r="CI18" s="24">
        <v>0</v>
      </c>
      <c r="CJ18" s="19">
        <f>+IF('Datos delta'!BS18&gt;0,REASIGN(0,'Datos Protegidos'!$I18,PARTIDOS!BT$11),0)</f>
        <v>0</v>
      </c>
      <c r="CK18" s="24">
        <v>0</v>
      </c>
      <c r="CL18" s="19">
        <f>+IF('Datos delta'!BU18&gt;0,REASIGN(0,'Datos Protegidos'!$I18,PARTIDOS!BV$11),0)</f>
        <v>0</v>
      </c>
      <c r="CM18" s="24">
        <v>0</v>
      </c>
      <c r="CN18" s="19">
        <f>+IF('Datos delta'!BW18&gt;0,REASIGN(0,'Datos Protegidos'!$I18,PARTIDOS!BX$11),0)</f>
        <v>0</v>
      </c>
      <c r="CO18" s="24">
        <v>0</v>
      </c>
      <c r="CP18" s="19">
        <f>+IF('Datos delta'!BY18&gt;0,REASIGN(0,'Datos Protegidos'!$I18,PARTIDOS!BZ$11),0)</f>
        <v>0</v>
      </c>
      <c r="CQ18" s="24">
        <v>0</v>
      </c>
      <c r="CR18" s="19">
        <f>+IF('Datos delta'!CA18&gt;0,REASIGN(0,'Datos Protegidos'!$I18,PARTIDOS!CB$11),0)</f>
        <v>0</v>
      </c>
      <c r="CS18" s="24">
        <v>0</v>
      </c>
      <c r="CT18" s="19">
        <f>+IF('Datos delta'!CC18&gt;0,REASIGN(0,'Datos Protegidos'!$I18,PARTIDOS!CD$11),0)</f>
        <v>0</v>
      </c>
      <c r="CU18" s="24">
        <v>0</v>
      </c>
      <c r="CV18" s="19">
        <f>+IF('Datos delta'!CE18&gt;0,REASIGN(0,'Datos Protegidos'!$I18,PARTIDOS!CF$11),0)</f>
        <v>0</v>
      </c>
      <c r="CW18" s="24">
        <v>0</v>
      </c>
      <c r="CX18" s="19">
        <f>+IF('Datos delta'!CG18&gt;0,REASIGN(0,'Datos Protegidos'!$I18,PARTIDOS!CH$11),0)</f>
        <v>0</v>
      </c>
      <c r="CY18" s="24">
        <v>0</v>
      </c>
      <c r="CZ18" s="19">
        <f>+IF('Datos delta'!CI18&gt;0,REASIGN(0,'Datos Protegidos'!$I18,PARTIDOS!CJ$11),0)</f>
        <v>0</v>
      </c>
      <c r="DA18" s="24">
        <v>0</v>
      </c>
      <c r="DB18" s="19">
        <f>+IF('Datos delta'!CK18&gt;0,REASIGN(0,'Datos Protegidos'!$I18,PARTIDOS!CL$11),0)</f>
        <v>0</v>
      </c>
      <c r="DC18" s="24">
        <v>0</v>
      </c>
      <c r="DD18" s="19">
        <f>+IF('Datos delta'!CM18&gt;0,REASIGN(0,'Datos Protegidos'!$I18,PARTIDOS!CN$11),0)</f>
        <v>0</v>
      </c>
      <c r="DE18" s="24">
        <v>0</v>
      </c>
      <c r="DF18" s="19">
        <f>+IF('Datos delta'!CO18&gt;0,REASIGN(0,'Datos Protegidos'!$I18,PARTIDOS!CP$11),0)</f>
        <v>0</v>
      </c>
      <c r="DG18" s="24">
        <v>0</v>
      </c>
      <c r="DH18" s="19">
        <f>+IF('Datos delta'!CQ18&gt;0,REASIGN(0,'Datos Protegidos'!$I18,PARTIDOS!CR$11),0)</f>
        <v>0</v>
      </c>
      <c r="DI18" s="24">
        <v>0</v>
      </c>
      <c r="DJ18" s="19">
        <f>+IF('Datos delta'!CS18&gt;0,REASIGN(0,'Datos Protegidos'!$I18,PARTIDOS!CT$11),0)</f>
        <v>0</v>
      </c>
      <c r="DK18" s="24">
        <v>0</v>
      </c>
      <c r="DL18" s="19">
        <f>+IF('Datos delta'!CU18&gt;0,REASIGN(0,'Datos Protegidos'!$I18,PARTIDOS!CV$11),0)</f>
        <v>0</v>
      </c>
      <c r="DM18" s="24">
        <v>0</v>
      </c>
      <c r="DN18" s="19">
        <f>+IF('Datos delta'!CW18&gt;0,REASIGN(0,'Datos Protegidos'!$I18,PARTIDOS!CX$11),0)</f>
        <v>0</v>
      </c>
      <c r="DO18" s="24">
        <v>0</v>
      </c>
      <c r="DP18" s="19">
        <f>+IF('Datos delta'!CY18&gt;0,REASIGN(0,'Datos Protegidos'!$I18,PARTIDOS!CZ$11),0)</f>
        <v>0</v>
      </c>
      <c r="DQ18" s="24">
        <v>0</v>
      </c>
      <c r="DR18" s="19">
        <f>+IF('Datos delta'!DA18&gt;0,REASIGN(0,'Datos Protegidos'!$I18,PARTIDOS!DB$11),0)</f>
        <v>0</v>
      </c>
      <c r="DS18" s="24">
        <v>0</v>
      </c>
      <c r="DT18" s="19">
        <f>+IF('Datos delta'!DC18&gt;0,REASIGN(0,'Datos Protegidos'!$I18,PARTIDOS!DD$11),0)</f>
        <v>0</v>
      </c>
      <c r="DU18" s="24">
        <v>0</v>
      </c>
      <c r="DV18" s="19">
        <f>+IF('Datos delta'!DE18&gt;0,REASIGN(0,'Datos Protegidos'!$I18,PARTIDOS!DF$11),0)</f>
        <v>0</v>
      </c>
      <c r="DW18" s="24">
        <v>0</v>
      </c>
      <c r="DX18" s="19">
        <f>+IF('Datos delta'!DG18&gt;0,REASIGN(0,'Datos Protegidos'!$I18,PARTIDOS!DH$11),0)</f>
        <v>0</v>
      </c>
      <c r="DY18" s="24">
        <v>0</v>
      </c>
      <c r="DZ18" s="19">
        <f>+IF('Datos delta'!DI18&gt;0,REASIGN(0,'Datos Protegidos'!$I18,PARTIDOS!DJ$11),0)</f>
        <v>0</v>
      </c>
      <c r="EA18" s="24">
        <v>0</v>
      </c>
      <c r="EB18" s="19">
        <f>+IF('Datos delta'!DK18&gt;0,REASIGN(0,'Datos Protegidos'!$I18,PARTIDOS!DL$11),0)</f>
        <v>0</v>
      </c>
      <c r="EC18" s="24">
        <v>0</v>
      </c>
      <c r="ED18" s="19">
        <f>+IF('Datos delta'!DM18&gt;0,REASIGN(0,'Datos Protegidos'!$I18,PARTIDOS!DN$11),0)</f>
        <v>0</v>
      </c>
      <c r="EE18" s="24">
        <v>0</v>
      </c>
      <c r="EF18" s="19">
        <f>+IF('Datos delta'!DO18&gt;0,REASIGN(0,'Datos Protegidos'!$I18,PARTIDOS!DP$11),0)</f>
        <v>0</v>
      </c>
      <c r="EG18" s="24">
        <v>0</v>
      </c>
      <c r="EH18" s="19">
        <f>+IF('Datos delta'!DQ18&gt;0,REASIGN(0,'Datos Protegidos'!$I18,PARTIDOS!DR$11),0)</f>
        <v>0</v>
      </c>
      <c r="EI18" s="24">
        <v>0</v>
      </c>
      <c r="EJ18" s="19">
        <f>+IF('Datos delta'!DS18&gt;0,REASIGN(0,'Datos Protegidos'!$I18,PARTIDOS!DT$11),0)</f>
        <v>0</v>
      </c>
      <c r="EK18" s="24">
        <v>0</v>
      </c>
      <c r="EL18" s="19">
        <f>+IF('Datos delta'!DU18&gt;0,REASIGN(0,'Datos Protegidos'!$I18,PARTIDOS!DV$11),0)</f>
        <v>0</v>
      </c>
      <c r="EM18" s="24">
        <v>0</v>
      </c>
      <c r="EN18" s="19">
        <f>+IF('Datos delta'!DW18&gt;0,REASIGN(0,'Datos Protegidos'!$I18,PARTIDOS!DX$11),0)</f>
        <v>0</v>
      </c>
      <c r="EO18" s="24">
        <v>0</v>
      </c>
      <c r="EP18" s="19">
        <f>+IF('Datos delta'!DY18&gt;0,REASIGN(0,'Datos Protegidos'!$I18,PARTIDOS!DZ$11),0)</f>
        <v>0</v>
      </c>
      <c r="EQ18" s="24">
        <v>0</v>
      </c>
      <c r="ER18" s="19">
        <f>+IF('Datos delta'!EA18&gt;0,REASIGN(0,'Datos Protegidos'!$I18,PARTIDOS!EB$11),0)</f>
        <v>0</v>
      </c>
      <c r="ES18" s="24">
        <v>0</v>
      </c>
      <c r="ET18" s="19">
        <f>+IF('Datos delta'!EC18&gt;0,REASIGN(0,'Datos Protegidos'!$I18,PARTIDOS!ED$11),0)</f>
        <v>0</v>
      </c>
      <c r="EU18" s="24">
        <v>0</v>
      </c>
    </row>
    <row r="19" spans="1:151" x14ac:dyDescent="0.25">
      <c r="A19" s="24" t="s">
        <v>37</v>
      </c>
      <c r="B19" s="25">
        <v>13</v>
      </c>
      <c r="C19" s="24" t="s">
        <v>39</v>
      </c>
      <c r="D19" s="24">
        <v>499100</v>
      </c>
      <c r="E19" s="26">
        <v>706</v>
      </c>
      <c r="F19" s="26">
        <v>389295</v>
      </c>
      <c r="G19" s="26">
        <v>6490</v>
      </c>
      <c r="H19" s="26">
        <v>395785</v>
      </c>
      <c r="I19" s="1">
        <v>1067</v>
      </c>
      <c r="J19" s="19">
        <f>+INT(([1]Hoja1!M19/[1]Hoja1!O19)*M19)</f>
        <v>268594</v>
      </c>
      <c r="K19" s="19">
        <f>+INT(([1]Hoja1!N19/[1]Hoja1!O19)*M19)</f>
        <v>266237</v>
      </c>
      <c r="L19" s="19">
        <f t="shared" si="1"/>
        <v>6233</v>
      </c>
      <c r="M19" s="19">
        <f t="shared" si="2"/>
        <v>2357</v>
      </c>
      <c r="N19" s="22">
        <f t="shared" si="0"/>
        <v>0</v>
      </c>
      <c r="O19" s="26">
        <v>2357</v>
      </c>
      <c r="P19" s="26">
        <v>3876</v>
      </c>
      <c r="Q19" s="22">
        <f t="shared" si="3"/>
        <v>5</v>
      </c>
      <c r="R19" s="19">
        <f>+IF('Datos delta'!A19&gt;0,REASIGN(0,'Datos Protegidos'!$I19,PARTIDOS!B$11),0)</f>
        <v>0</v>
      </c>
      <c r="S19" s="24">
        <v>2</v>
      </c>
      <c r="T19" s="19">
        <f>+IF('Datos delta'!C19&gt;0,REASIGN(0,'Datos Protegidos'!$I19,PARTIDOS!D$11),0)</f>
        <v>0</v>
      </c>
      <c r="U19" s="24">
        <v>2</v>
      </c>
      <c r="V19" s="19">
        <f>+IF('Datos delta'!E19&gt;0,REASIGN(0,'Datos Protegidos'!$I19,PARTIDOS!F$11),0)</f>
        <v>0</v>
      </c>
      <c r="W19" s="24">
        <v>1</v>
      </c>
      <c r="X19" s="19">
        <f>+IF('Datos delta'!G19&gt;0,REASIGN(0,'Datos Protegidos'!$I19,PARTIDOS!H$11),0)</f>
        <v>0</v>
      </c>
      <c r="Y19" s="24">
        <v>0</v>
      </c>
      <c r="Z19" s="19">
        <f>+IF('Datos delta'!I19&gt;0,REASIGN(0,'Datos Protegidos'!$I19,PARTIDOS!J$11),0)</f>
        <v>0</v>
      </c>
      <c r="AA19" s="24">
        <v>0</v>
      </c>
      <c r="AB19" s="19">
        <f>+IF('Datos delta'!K19&gt;0,REASIGN(0,'Datos Protegidos'!$I19,PARTIDOS!L$11),0)</f>
        <v>0</v>
      </c>
      <c r="AC19" s="24">
        <v>0</v>
      </c>
      <c r="AD19" s="19">
        <f>+IF('Datos delta'!M19&gt;0,REASIGN(0,'Datos Protegidos'!$I19,PARTIDOS!N$11),0)</f>
        <v>0</v>
      </c>
      <c r="AE19" s="24">
        <v>0</v>
      </c>
      <c r="AF19" s="19">
        <f>+IF('Datos delta'!O19&gt;0,REASIGN(0,'Datos Protegidos'!$I19,PARTIDOS!P$11),0)</f>
        <v>0</v>
      </c>
      <c r="AG19" s="24">
        <v>0</v>
      </c>
      <c r="AH19" s="19">
        <f>+IF('Datos delta'!Q19&gt;0,REASIGN(0,'Datos Protegidos'!$I19,PARTIDOS!R$11),0)</f>
        <v>0</v>
      </c>
      <c r="AI19" s="24">
        <v>0</v>
      </c>
      <c r="AJ19" s="19">
        <f>+IF('Datos delta'!S19&gt;0,REASIGN(0,'Datos Protegidos'!$I19,PARTIDOS!T$11),0)</f>
        <v>0</v>
      </c>
      <c r="AK19" s="24">
        <v>0</v>
      </c>
      <c r="AL19" s="19">
        <f>+IF('Datos delta'!U19&gt;0,REASIGN(0,'Datos Protegidos'!$I19,PARTIDOS!V$11),0)</f>
        <v>0</v>
      </c>
      <c r="AM19" s="24">
        <v>0</v>
      </c>
      <c r="AN19" s="19">
        <f>+IF('Datos delta'!W19&gt;0,REASIGN(0,'Datos Protegidos'!$I19,PARTIDOS!X$11),0)</f>
        <v>0</v>
      </c>
      <c r="AO19" s="24">
        <v>0</v>
      </c>
      <c r="AP19" s="19">
        <f>+IF('Datos delta'!Y19&gt;0,REASIGN(0,'Datos Protegidos'!$I19,PARTIDOS!Z$11),0)</f>
        <v>0</v>
      </c>
      <c r="AQ19" s="24">
        <v>0</v>
      </c>
      <c r="AR19" s="19">
        <f>+IF('Datos delta'!AA19&gt;0,REASIGN(0,'Datos Protegidos'!$I19,PARTIDOS!AB$11),0)</f>
        <v>0</v>
      </c>
      <c r="AS19" s="24">
        <v>0</v>
      </c>
      <c r="AT19" s="19">
        <f>+IF('Datos delta'!AC19&gt;0,REASIGN(0,'Datos Protegidos'!$I19,PARTIDOS!AD$11),0)</f>
        <v>0</v>
      </c>
      <c r="AU19" s="24">
        <v>0</v>
      </c>
      <c r="AV19" s="19">
        <f>+IF('Datos delta'!AE19&gt;0,REASIGN(0,'Datos Protegidos'!$I19,PARTIDOS!AF$11),0)</f>
        <v>0</v>
      </c>
      <c r="AW19" s="24">
        <v>0</v>
      </c>
      <c r="AX19" s="19">
        <f>+IF('Datos delta'!AG19&gt;0,REASIGN(0,'Datos Protegidos'!$I19,PARTIDOS!AH$11),0)</f>
        <v>0</v>
      </c>
      <c r="AY19" s="24">
        <v>0</v>
      </c>
      <c r="AZ19" s="19">
        <f>+IF('Datos delta'!AI19&gt;0,REASIGN(0,'Datos Protegidos'!$I19,PARTIDOS!AJ$11),0)</f>
        <v>0</v>
      </c>
      <c r="BA19" s="24">
        <v>0</v>
      </c>
      <c r="BB19" s="19">
        <f>+IF('Datos delta'!AK19&gt;0,REASIGN(0,'Datos Protegidos'!$I19,PARTIDOS!AL$11),0)</f>
        <v>0</v>
      </c>
      <c r="BC19" s="24">
        <v>0</v>
      </c>
      <c r="BD19" s="19">
        <f>+IF('Datos delta'!AM19&gt;0,REASIGN(0,'Datos Protegidos'!$I19,PARTIDOS!AN$11),0)</f>
        <v>0</v>
      </c>
      <c r="BE19" s="24">
        <v>0</v>
      </c>
      <c r="BF19" s="19">
        <f>+IF('Datos delta'!AO19&gt;0,REASIGN(0,'Datos Protegidos'!$I19,PARTIDOS!AP$11),0)</f>
        <v>0</v>
      </c>
      <c r="BG19" s="24">
        <v>0</v>
      </c>
      <c r="BH19" s="19">
        <f>+IF('Datos delta'!AQ19&gt;0,REASIGN(0,'Datos Protegidos'!$I19,PARTIDOS!AR$11),0)</f>
        <v>0</v>
      </c>
      <c r="BI19" s="24">
        <v>0</v>
      </c>
      <c r="BJ19" s="19">
        <f>+IF('Datos delta'!AS19&gt;0,REASIGN(0,'Datos Protegidos'!$I19,PARTIDOS!AT$11),0)</f>
        <v>0</v>
      </c>
      <c r="BK19" s="24">
        <v>0</v>
      </c>
      <c r="BL19" s="19">
        <f>+IF('Datos delta'!AU19&gt;0,REASIGN(0,'Datos Protegidos'!$I19,PARTIDOS!AV$11),0)</f>
        <v>0</v>
      </c>
      <c r="BM19" s="24">
        <v>0</v>
      </c>
      <c r="BN19" s="19">
        <f>+IF('Datos delta'!AW19&gt;0,REASIGN(0,'Datos Protegidos'!$I19,PARTIDOS!AX$11),0)</f>
        <v>0</v>
      </c>
      <c r="BO19" s="24">
        <v>0</v>
      </c>
      <c r="BP19" s="19">
        <f>+IF('Datos delta'!AY19&gt;0,REASIGN(0,'Datos Protegidos'!$I19,PARTIDOS!AZ$11),0)</f>
        <v>0</v>
      </c>
      <c r="BQ19" s="24">
        <v>0</v>
      </c>
      <c r="BR19" s="19">
        <f>+IF('Datos delta'!BA19&gt;0,REASIGN(0,'Datos Protegidos'!$I19,PARTIDOS!BB$11),0)</f>
        <v>0</v>
      </c>
      <c r="BS19" s="24">
        <v>0</v>
      </c>
      <c r="BT19" s="19">
        <f>+IF('Datos delta'!BC19&gt;0,REASIGN(0,'Datos Protegidos'!$I19,PARTIDOS!BD$11),0)</f>
        <v>0</v>
      </c>
      <c r="BU19" s="24">
        <v>0</v>
      </c>
      <c r="BV19" s="19">
        <f>+IF('Datos delta'!BE19&gt;0,REASIGN(0,'Datos Protegidos'!$I19,PARTIDOS!BF$11),0)</f>
        <v>0</v>
      </c>
      <c r="BW19" s="24">
        <v>0</v>
      </c>
      <c r="BX19" s="19">
        <f>+IF('Datos delta'!BG19&gt;0,REASIGN(0,'Datos Protegidos'!$I19,PARTIDOS!BH$11),0)</f>
        <v>0</v>
      </c>
      <c r="BY19" s="24">
        <v>0</v>
      </c>
      <c r="BZ19" s="19">
        <f>+IF('Datos delta'!BI19&gt;0,REASIGN(0,'Datos Protegidos'!$I19,PARTIDOS!BJ$11),0)</f>
        <v>0</v>
      </c>
      <c r="CA19" s="24">
        <v>0</v>
      </c>
      <c r="CB19" s="19">
        <f>+IF('Datos delta'!BK19&gt;0,REASIGN(0,'Datos Protegidos'!$I19,PARTIDOS!BL$11),0)</f>
        <v>0</v>
      </c>
      <c r="CC19" s="24">
        <v>0</v>
      </c>
      <c r="CD19" s="19">
        <f>+IF('Datos delta'!BM19&gt;0,REASIGN(0,'Datos Protegidos'!$I19,PARTIDOS!BN$11),0)</f>
        <v>0</v>
      </c>
      <c r="CE19" s="24">
        <v>0</v>
      </c>
      <c r="CF19" s="19">
        <f>+IF('Datos delta'!BO19&gt;0,REASIGN(0,'Datos Protegidos'!$I19,PARTIDOS!BP$11),0)</f>
        <v>0</v>
      </c>
      <c r="CG19" s="24">
        <v>0</v>
      </c>
      <c r="CH19" s="19">
        <f>+IF('Datos delta'!BQ19&gt;0,REASIGN(0,'Datos Protegidos'!$I19,PARTIDOS!BR$11),0)</f>
        <v>0</v>
      </c>
      <c r="CI19" s="24">
        <v>0</v>
      </c>
      <c r="CJ19" s="19">
        <f>+IF('Datos delta'!BS19&gt;0,REASIGN(0,'Datos Protegidos'!$I19,PARTIDOS!BT$11),0)</f>
        <v>0</v>
      </c>
      <c r="CK19" s="24">
        <v>0</v>
      </c>
      <c r="CL19" s="19">
        <f>+IF('Datos delta'!BU19&gt;0,REASIGN(0,'Datos Protegidos'!$I19,PARTIDOS!BV$11),0)</f>
        <v>0</v>
      </c>
      <c r="CM19" s="24">
        <v>0</v>
      </c>
      <c r="CN19" s="19">
        <f>+IF('Datos delta'!BW19&gt;0,REASIGN(0,'Datos Protegidos'!$I19,PARTIDOS!BX$11),0)</f>
        <v>0</v>
      </c>
      <c r="CO19" s="24">
        <v>0</v>
      </c>
      <c r="CP19" s="19">
        <f>+IF('Datos delta'!BY19&gt;0,REASIGN(0,'Datos Protegidos'!$I19,PARTIDOS!BZ$11),0)</f>
        <v>0</v>
      </c>
      <c r="CQ19" s="24">
        <v>0</v>
      </c>
      <c r="CR19" s="19">
        <f>+IF('Datos delta'!CA19&gt;0,REASIGN(0,'Datos Protegidos'!$I19,PARTIDOS!CB$11),0)</f>
        <v>0</v>
      </c>
      <c r="CS19" s="24">
        <v>0</v>
      </c>
      <c r="CT19" s="19">
        <f>+IF('Datos delta'!CC19&gt;0,REASIGN(0,'Datos Protegidos'!$I19,PARTIDOS!CD$11),0)</f>
        <v>0</v>
      </c>
      <c r="CU19" s="24">
        <v>0</v>
      </c>
      <c r="CV19" s="19">
        <f>+IF('Datos delta'!CE19&gt;0,REASIGN(0,'Datos Protegidos'!$I19,PARTIDOS!CF$11),0)</f>
        <v>0</v>
      </c>
      <c r="CW19" s="24">
        <v>0</v>
      </c>
      <c r="CX19" s="19">
        <f>+IF('Datos delta'!CG19&gt;0,REASIGN(0,'Datos Protegidos'!$I19,PARTIDOS!CH$11),0)</f>
        <v>0</v>
      </c>
      <c r="CY19" s="24">
        <v>0</v>
      </c>
      <c r="CZ19" s="19">
        <f>+IF('Datos delta'!CI19&gt;0,REASIGN(0,'Datos Protegidos'!$I19,PARTIDOS!CJ$11),0)</f>
        <v>0</v>
      </c>
      <c r="DA19" s="24">
        <v>0</v>
      </c>
      <c r="DB19" s="19">
        <f>+IF('Datos delta'!CK19&gt;0,REASIGN(0,'Datos Protegidos'!$I19,PARTIDOS!CL$11),0)</f>
        <v>0</v>
      </c>
      <c r="DC19" s="24">
        <v>0</v>
      </c>
      <c r="DD19" s="19">
        <f>+IF('Datos delta'!CM19&gt;0,REASIGN(0,'Datos Protegidos'!$I19,PARTIDOS!CN$11),0)</f>
        <v>0</v>
      </c>
      <c r="DE19" s="24">
        <v>0</v>
      </c>
      <c r="DF19" s="19">
        <f>+IF('Datos delta'!CO19&gt;0,REASIGN(0,'Datos Protegidos'!$I19,PARTIDOS!CP$11),0)</f>
        <v>0</v>
      </c>
      <c r="DG19" s="24">
        <v>0</v>
      </c>
      <c r="DH19" s="19">
        <f>+IF('Datos delta'!CQ19&gt;0,REASIGN(0,'Datos Protegidos'!$I19,PARTIDOS!CR$11),0)</f>
        <v>0</v>
      </c>
      <c r="DI19" s="24">
        <v>0</v>
      </c>
      <c r="DJ19" s="19">
        <f>+IF('Datos delta'!CS19&gt;0,REASIGN(0,'Datos Protegidos'!$I19,PARTIDOS!CT$11),0)</f>
        <v>0</v>
      </c>
      <c r="DK19" s="24">
        <v>0</v>
      </c>
      <c r="DL19" s="19">
        <f>+IF('Datos delta'!CU19&gt;0,REASIGN(0,'Datos Protegidos'!$I19,PARTIDOS!CV$11),0)</f>
        <v>0</v>
      </c>
      <c r="DM19" s="24">
        <v>0</v>
      </c>
      <c r="DN19" s="19">
        <f>+IF('Datos delta'!CW19&gt;0,REASIGN(0,'Datos Protegidos'!$I19,PARTIDOS!CX$11),0)</f>
        <v>0</v>
      </c>
      <c r="DO19" s="24">
        <v>0</v>
      </c>
      <c r="DP19" s="19">
        <f>+IF('Datos delta'!CY19&gt;0,REASIGN(0,'Datos Protegidos'!$I19,PARTIDOS!CZ$11),0)</f>
        <v>0</v>
      </c>
      <c r="DQ19" s="24">
        <v>0</v>
      </c>
      <c r="DR19" s="19">
        <f>+IF('Datos delta'!DA19&gt;0,REASIGN(0,'Datos Protegidos'!$I19,PARTIDOS!DB$11),0)</f>
        <v>0</v>
      </c>
      <c r="DS19" s="24">
        <v>0</v>
      </c>
      <c r="DT19" s="19">
        <f>+IF('Datos delta'!DC19&gt;0,REASIGN(0,'Datos Protegidos'!$I19,PARTIDOS!DD$11),0)</f>
        <v>0</v>
      </c>
      <c r="DU19" s="24">
        <v>0</v>
      </c>
      <c r="DV19" s="19">
        <f>+IF('Datos delta'!DE19&gt;0,REASIGN(0,'Datos Protegidos'!$I19,PARTIDOS!DF$11),0)</f>
        <v>0</v>
      </c>
      <c r="DW19" s="24">
        <v>0</v>
      </c>
      <c r="DX19" s="19">
        <f>+IF('Datos delta'!DG19&gt;0,REASIGN(0,'Datos Protegidos'!$I19,PARTIDOS!DH$11),0)</f>
        <v>0</v>
      </c>
      <c r="DY19" s="24">
        <v>0</v>
      </c>
      <c r="DZ19" s="19">
        <f>+IF('Datos delta'!DI19&gt;0,REASIGN(0,'Datos Protegidos'!$I19,PARTIDOS!DJ$11),0)</f>
        <v>0</v>
      </c>
      <c r="EA19" s="24">
        <v>0</v>
      </c>
      <c r="EB19" s="19">
        <f>+IF('Datos delta'!DK19&gt;0,REASIGN(0,'Datos Protegidos'!$I19,PARTIDOS!DL$11),0)</f>
        <v>0</v>
      </c>
      <c r="EC19" s="24">
        <v>0</v>
      </c>
      <c r="ED19" s="19">
        <f>+IF('Datos delta'!DM19&gt;0,REASIGN(0,'Datos Protegidos'!$I19,PARTIDOS!DN$11),0)</f>
        <v>0</v>
      </c>
      <c r="EE19" s="24">
        <v>0</v>
      </c>
      <c r="EF19" s="19">
        <f>+IF('Datos delta'!DO19&gt;0,REASIGN(0,'Datos Protegidos'!$I19,PARTIDOS!DP$11),0)</f>
        <v>0</v>
      </c>
      <c r="EG19" s="24">
        <v>0</v>
      </c>
      <c r="EH19" s="19">
        <f>+IF('Datos delta'!DQ19&gt;0,REASIGN(0,'Datos Protegidos'!$I19,PARTIDOS!DR$11),0)</f>
        <v>0</v>
      </c>
      <c r="EI19" s="24">
        <v>0</v>
      </c>
      <c r="EJ19" s="19">
        <f>+IF('Datos delta'!DS19&gt;0,REASIGN(0,'Datos Protegidos'!$I19,PARTIDOS!DT$11),0)</f>
        <v>0</v>
      </c>
      <c r="EK19" s="24">
        <v>0</v>
      </c>
      <c r="EL19" s="19">
        <f>+IF('Datos delta'!DU19&gt;0,REASIGN(0,'Datos Protegidos'!$I19,PARTIDOS!DV$11),0)</f>
        <v>0</v>
      </c>
      <c r="EM19" s="24">
        <v>0</v>
      </c>
      <c r="EN19" s="19">
        <f>+IF('Datos delta'!DW19&gt;0,REASIGN(0,'Datos Protegidos'!$I19,PARTIDOS!DX$11),0)</f>
        <v>0</v>
      </c>
      <c r="EO19" s="24">
        <v>0</v>
      </c>
      <c r="EP19" s="19">
        <f>+IF('Datos delta'!DY19&gt;0,REASIGN(0,'Datos Protegidos'!$I19,PARTIDOS!DZ$11),0)</f>
        <v>0</v>
      </c>
      <c r="EQ19" s="24">
        <v>0</v>
      </c>
      <c r="ER19" s="19">
        <f>+IF('Datos delta'!EA19&gt;0,REASIGN(0,'Datos Protegidos'!$I19,PARTIDOS!EB$11),0)</f>
        <v>0</v>
      </c>
      <c r="ES19" s="24">
        <v>0</v>
      </c>
      <c r="ET19" s="19">
        <f>+IF('Datos delta'!EC19&gt;0,REASIGN(0,'Datos Protegidos'!$I19,PARTIDOS!ED$11),0)</f>
        <v>0</v>
      </c>
      <c r="EU19" s="24">
        <v>0</v>
      </c>
    </row>
    <row r="20" spans="1:151" x14ac:dyDescent="0.25">
      <c r="A20" s="24" t="s">
        <v>37</v>
      </c>
      <c r="B20" s="25">
        <v>16</v>
      </c>
      <c r="C20" s="24" t="s">
        <v>40</v>
      </c>
      <c r="D20" s="24">
        <v>197222</v>
      </c>
      <c r="E20" s="26">
        <v>383</v>
      </c>
      <c r="F20" s="26">
        <v>151282</v>
      </c>
      <c r="G20" s="26">
        <v>3159</v>
      </c>
      <c r="H20" s="26">
        <v>154441</v>
      </c>
      <c r="I20">
        <v>453</v>
      </c>
      <c r="J20" s="19">
        <f>+INT(([1]Hoja1!M20/[1]Hoja1!O20)*M20)</f>
        <v>109119</v>
      </c>
      <c r="K20" s="19">
        <f>+INT(([1]Hoja1!N20/[1]Hoja1!O20)*M20)</f>
        <v>108117</v>
      </c>
      <c r="L20" s="19">
        <f t="shared" si="1"/>
        <v>2420</v>
      </c>
      <c r="M20" s="19">
        <f t="shared" si="2"/>
        <v>1002</v>
      </c>
      <c r="N20" s="22">
        <f t="shared" si="0"/>
        <v>0</v>
      </c>
      <c r="O20" s="26">
        <v>1002</v>
      </c>
      <c r="P20" s="26">
        <v>1418</v>
      </c>
      <c r="Q20" s="22">
        <f t="shared" si="3"/>
        <v>3</v>
      </c>
      <c r="R20" s="19">
        <f>+IF('Datos delta'!A20&gt;0,REASIGN(0,'Datos Protegidos'!$I20,PARTIDOS!B$11),0)</f>
        <v>0</v>
      </c>
      <c r="S20" s="24">
        <v>2</v>
      </c>
      <c r="T20" s="19">
        <f>+IF('Datos delta'!C20&gt;0,REASIGN(0,'Datos Protegidos'!$I20,PARTIDOS!D$11),0)</f>
        <v>0</v>
      </c>
      <c r="U20" s="24">
        <v>1</v>
      </c>
      <c r="V20" s="19">
        <f>+IF('Datos delta'!E20&gt;0,REASIGN(0,'Datos Protegidos'!$I20,PARTIDOS!F$11),0)</f>
        <v>0</v>
      </c>
      <c r="W20" s="24">
        <v>0</v>
      </c>
      <c r="X20" s="19">
        <f>+IF('Datos delta'!G20&gt;0,REASIGN(0,'Datos Protegidos'!$I20,PARTIDOS!H$11),0)</f>
        <v>0</v>
      </c>
      <c r="Y20" s="24">
        <v>0</v>
      </c>
      <c r="Z20" s="19">
        <f>+IF('Datos delta'!I20&gt;0,REASIGN(0,'Datos Protegidos'!$I20,PARTIDOS!J$11),0)</f>
        <v>0</v>
      </c>
      <c r="AA20" s="24">
        <v>0</v>
      </c>
      <c r="AB20" s="19">
        <f>+IF('Datos delta'!K20&gt;0,REASIGN(0,'Datos Protegidos'!$I20,PARTIDOS!L$11),0)</f>
        <v>0</v>
      </c>
      <c r="AC20" s="24">
        <v>0</v>
      </c>
      <c r="AD20" s="19">
        <f>+IF('Datos delta'!M20&gt;0,REASIGN(0,'Datos Protegidos'!$I20,PARTIDOS!N$11),0)</f>
        <v>0</v>
      </c>
      <c r="AE20" s="24">
        <v>0</v>
      </c>
      <c r="AF20" s="19">
        <f>+IF('Datos delta'!O20&gt;0,REASIGN(0,'Datos Protegidos'!$I20,PARTIDOS!P$11),0)</f>
        <v>0</v>
      </c>
      <c r="AG20" s="24">
        <v>0</v>
      </c>
      <c r="AH20" s="19">
        <f>+IF('Datos delta'!Q20&gt;0,REASIGN(0,'Datos Protegidos'!$I20,PARTIDOS!R$11),0)</f>
        <v>0</v>
      </c>
      <c r="AI20" s="24">
        <v>0</v>
      </c>
      <c r="AJ20" s="19">
        <f>+IF('Datos delta'!S20&gt;0,REASIGN(0,'Datos Protegidos'!$I20,PARTIDOS!T$11),0)</f>
        <v>0</v>
      </c>
      <c r="AK20" s="24">
        <v>0</v>
      </c>
      <c r="AL20" s="19">
        <f>+IF('Datos delta'!U20&gt;0,REASIGN(0,'Datos Protegidos'!$I20,PARTIDOS!V$11),0)</f>
        <v>0</v>
      </c>
      <c r="AM20" s="24">
        <v>0</v>
      </c>
      <c r="AN20" s="19">
        <f>+IF('Datos delta'!W20&gt;0,REASIGN(0,'Datos Protegidos'!$I20,PARTIDOS!X$11),0)</f>
        <v>0</v>
      </c>
      <c r="AO20" s="24">
        <v>0</v>
      </c>
      <c r="AP20" s="19">
        <f>+IF('Datos delta'!Y20&gt;0,REASIGN(0,'Datos Protegidos'!$I20,PARTIDOS!Z$11),0)</f>
        <v>0</v>
      </c>
      <c r="AQ20" s="24">
        <v>0</v>
      </c>
      <c r="AR20" s="19">
        <f>+IF('Datos delta'!AA20&gt;0,REASIGN(0,'Datos Protegidos'!$I20,PARTIDOS!AB$11),0)</f>
        <v>0</v>
      </c>
      <c r="AS20" s="24">
        <v>0</v>
      </c>
      <c r="AT20" s="19">
        <f>+IF('Datos delta'!AC20&gt;0,REASIGN(0,'Datos Protegidos'!$I20,PARTIDOS!AD$11),0)</f>
        <v>0</v>
      </c>
      <c r="AU20" s="24">
        <v>0</v>
      </c>
      <c r="AV20" s="19">
        <f>+IF('Datos delta'!AE20&gt;0,REASIGN(0,'Datos Protegidos'!$I20,PARTIDOS!AF$11),0)</f>
        <v>0</v>
      </c>
      <c r="AW20" s="24">
        <v>0</v>
      </c>
      <c r="AX20" s="19">
        <f>+IF('Datos delta'!AG20&gt;0,REASIGN(0,'Datos Protegidos'!$I20,PARTIDOS!AH$11),0)</f>
        <v>0</v>
      </c>
      <c r="AY20" s="24">
        <v>0</v>
      </c>
      <c r="AZ20" s="19">
        <f>+IF('Datos delta'!AI20&gt;0,REASIGN(0,'Datos Protegidos'!$I20,PARTIDOS!AJ$11),0)</f>
        <v>0</v>
      </c>
      <c r="BA20" s="24">
        <v>0</v>
      </c>
      <c r="BB20" s="19">
        <f>+IF('Datos delta'!AK20&gt;0,REASIGN(0,'Datos Protegidos'!$I20,PARTIDOS!AL$11),0)</f>
        <v>0</v>
      </c>
      <c r="BC20" s="24">
        <v>0</v>
      </c>
      <c r="BD20" s="19">
        <f>+IF('Datos delta'!AM20&gt;0,REASIGN(0,'Datos Protegidos'!$I20,PARTIDOS!AN$11),0)</f>
        <v>0</v>
      </c>
      <c r="BE20" s="24">
        <v>0</v>
      </c>
      <c r="BF20" s="19">
        <f>+IF('Datos delta'!AO20&gt;0,REASIGN(0,'Datos Protegidos'!$I20,PARTIDOS!AP$11),0)</f>
        <v>0</v>
      </c>
      <c r="BG20" s="24">
        <v>0</v>
      </c>
      <c r="BH20" s="19">
        <f>+IF('Datos delta'!AQ20&gt;0,REASIGN(0,'Datos Protegidos'!$I20,PARTIDOS!AR$11),0)</f>
        <v>0</v>
      </c>
      <c r="BI20" s="24">
        <v>0</v>
      </c>
      <c r="BJ20" s="19">
        <f>+IF('Datos delta'!AS20&gt;0,REASIGN(0,'Datos Protegidos'!$I20,PARTIDOS!AT$11),0)</f>
        <v>0</v>
      </c>
      <c r="BK20" s="24">
        <v>0</v>
      </c>
      <c r="BL20" s="19">
        <f>+IF('Datos delta'!AU20&gt;0,REASIGN(0,'Datos Protegidos'!$I20,PARTIDOS!AV$11),0)</f>
        <v>0</v>
      </c>
      <c r="BM20" s="24">
        <v>0</v>
      </c>
      <c r="BN20" s="19">
        <f>+IF('Datos delta'!AW20&gt;0,REASIGN(0,'Datos Protegidos'!$I20,PARTIDOS!AX$11),0)</f>
        <v>0</v>
      </c>
      <c r="BO20" s="24">
        <v>0</v>
      </c>
      <c r="BP20" s="19">
        <f>+IF('Datos delta'!AY20&gt;0,REASIGN(0,'Datos Protegidos'!$I20,PARTIDOS!AZ$11),0)</f>
        <v>0</v>
      </c>
      <c r="BQ20" s="24">
        <v>0</v>
      </c>
      <c r="BR20" s="19">
        <f>+IF('Datos delta'!BA20&gt;0,REASIGN(0,'Datos Protegidos'!$I20,PARTIDOS!BB$11),0)</f>
        <v>0</v>
      </c>
      <c r="BS20" s="24">
        <v>0</v>
      </c>
      <c r="BT20" s="19">
        <f>+IF('Datos delta'!BC20&gt;0,REASIGN(0,'Datos Protegidos'!$I20,PARTIDOS!BD$11),0)</f>
        <v>0</v>
      </c>
      <c r="BU20" s="24">
        <v>0</v>
      </c>
      <c r="BV20" s="19">
        <f>+IF('Datos delta'!BE20&gt;0,REASIGN(0,'Datos Protegidos'!$I20,PARTIDOS!BF$11),0)</f>
        <v>0</v>
      </c>
      <c r="BW20" s="24">
        <v>0</v>
      </c>
      <c r="BX20" s="19">
        <f>+IF('Datos delta'!BG20&gt;0,REASIGN(0,'Datos Protegidos'!$I20,PARTIDOS!BH$11),0)</f>
        <v>0</v>
      </c>
      <c r="BY20" s="24">
        <v>0</v>
      </c>
      <c r="BZ20" s="19">
        <f>+IF('Datos delta'!BI20&gt;0,REASIGN(0,'Datos Protegidos'!$I20,PARTIDOS!BJ$11),0)</f>
        <v>0</v>
      </c>
      <c r="CA20" s="24">
        <v>0</v>
      </c>
      <c r="CB20" s="19">
        <f>+IF('Datos delta'!BK20&gt;0,REASIGN(0,'Datos Protegidos'!$I20,PARTIDOS!BL$11),0)</f>
        <v>0</v>
      </c>
      <c r="CC20" s="24">
        <v>0</v>
      </c>
      <c r="CD20" s="19">
        <f>+IF('Datos delta'!BM20&gt;0,REASIGN(0,'Datos Protegidos'!$I20,PARTIDOS!BN$11),0)</f>
        <v>0</v>
      </c>
      <c r="CE20" s="24">
        <v>0</v>
      </c>
      <c r="CF20" s="19">
        <f>+IF('Datos delta'!BO20&gt;0,REASIGN(0,'Datos Protegidos'!$I20,PARTIDOS!BP$11),0)</f>
        <v>0</v>
      </c>
      <c r="CG20" s="24">
        <v>0</v>
      </c>
      <c r="CH20" s="19">
        <f>+IF('Datos delta'!BQ20&gt;0,REASIGN(0,'Datos Protegidos'!$I20,PARTIDOS!BR$11),0)</f>
        <v>0</v>
      </c>
      <c r="CI20" s="24">
        <v>0</v>
      </c>
      <c r="CJ20" s="19">
        <f>+IF('Datos delta'!BS20&gt;0,REASIGN(0,'Datos Protegidos'!$I20,PARTIDOS!BT$11),0)</f>
        <v>0</v>
      </c>
      <c r="CK20" s="24">
        <v>0</v>
      </c>
      <c r="CL20" s="19">
        <f>+IF('Datos delta'!BU20&gt;0,REASIGN(0,'Datos Protegidos'!$I20,PARTIDOS!BV$11),0)</f>
        <v>0</v>
      </c>
      <c r="CM20" s="24">
        <v>0</v>
      </c>
      <c r="CN20" s="19">
        <f>+IF('Datos delta'!BW20&gt;0,REASIGN(0,'Datos Protegidos'!$I20,PARTIDOS!BX$11),0)</f>
        <v>0</v>
      </c>
      <c r="CO20" s="24">
        <v>0</v>
      </c>
      <c r="CP20" s="19">
        <f>+IF('Datos delta'!BY20&gt;0,REASIGN(0,'Datos Protegidos'!$I20,PARTIDOS!BZ$11),0)</f>
        <v>0</v>
      </c>
      <c r="CQ20" s="24">
        <v>0</v>
      </c>
      <c r="CR20" s="19">
        <f>+IF('Datos delta'!CA20&gt;0,REASIGN(0,'Datos Protegidos'!$I20,PARTIDOS!CB$11),0)</f>
        <v>0</v>
      </c>
      <c r="CS20" s="24">
        <v>0</v>
      </c>
      <c r="CT20" s="19">
        <f>+IF('Datos delta'!CC20&gt;0,REASIGN(0,'Datos Protegidos'!$I20,PARTIDOS!CD$11),0)</f>
        <v>0</v>
      </c>
      <c r="CU20" s="24">
        <v>0</v>
      </c>
      <c r="CV20" s="19">
        <f>+IF('Datos delta'!CE20&gt;0,REASIGN(0,'Datos Protegidos'!$I20,PARTIDOS!CF$11),0)</f>
        <v>0</v>
      </c>
      <c r="CW20" s="24">
        <v>0</v>
      </c>
      <c r="CX20" s="19">
        <f>+IF('Datos delta'!CG20&gt;0,REASIGN(0,'Datos Protegidos'!$I20,PARTIDOS!CH$11),0)</f>
        <v>0</v>
      </c>
      <c r="CY20" s="24">
        <v>0</v>
      </c>
      <c r="CZ20" s="19">
        <f>+IF('Datos delta'!CI20&gt;0,REASIGN(0,'Datos Protegidos'!$I20,PARTIDOS!CJ$11),0)</f>
        <v>0</v>
      </c>
      <c r="DA20" s="24">
        <v>0</v>
      </c>
      <c r="DB20" s="19">
        <f>+IF('Datos delta'!CK20&gt;0,REASIGN(0,'Datos Protegidos'!$I20,PARTIDOS!CL$11),0)</f>
        <v>0</v>
      </c>
      <c r="DC20" s="24">
        <v>0</v>
      </c>
      <c r="DD20" s="19">
        <f>+IF('Datos delta'!CM20&gt;0,REASIGN(0,'Datos Protegidos'!$I20,PARTIDOS!CN$11),0)</f>
        <v>0</v>
      </c>
      <c r="DE20" s="24">
        <v>0</v>
      </c>
      <c r="DF20" s="19">
        <f>+IF('Datos delta'!CO20&gt;0,REASIGN(0,'Datos Protegidos'!$I20,PARTIDOS!CP$11),0)</f>
        <v>0</v>
      </c>
      <c r="DG20" s="24">
        <v>0</v>
      </c>
      <c r="DH20" s="19">
        <f>+IF('Datos delta'!CQ20&gt;0,REASIGN(0,'Datos Protegidos'!$I20,PARTIDOS!CR$11),0)</f>
        <v>0</v>
      </c>
      <c r="DI20" s="24">
        <v>0</v>
      </c>
      <c r="DJ20" s="19">
        <f>+IF('Datos delta'!CS20&gt;0,REASIGN(0,'Datos Protegidos'!$I20,PARTIDOS!CT$11),0)</f>
        <v>0</v>
      </c>
      <c r="DK20" s="24">
        <v>0</v>
      </c>
      <c r="DL20" s="19">
        <f>+IF('Datos delta'!CU20&gt;0,REASIGN(0,'Datos Protegidos'!$I20,PARTIDOS!CV$11),0)</f>
        <v>0</v>
      </c>
      <c r="DM20" s="24">
        <v>0</v>
      </c>
      <c r="DN20" s="19">
        <f>+IF('Datos delta'!CW20&gt;0,REASIGN(0,'Datos Protegidos'!$I20,PARTIDOS!CX$11),0)</f>
        <v>0</v>
      </c>
      <c r="DO20" s="24">
        <v>0</v>
      </c>
      <c r="DP20" s="19">
        <f>+IF('Datos delta'!CY20&gt;0,REASIGN(0,'Datos Protegidos'!$I20,PARTIDOS!CZ$11),0)</f>
        <v>0</v>
      </c>
      <c r="DQ20" s="24">
        <v>0</v>
      </c>
      <c r="DR20" s="19">
        <f>+IF('Datos delta'!DA20&gt;0,REASIGN(0,'Datos Protegidos'!$I20,PARTIDOS!DB$11),0)</f>
        <v>0</v>
      </c>
      <c r="DS20" s="24">
        <v>0</v>
      </c>
      <c r="DT20" s="19">
        <f>+IF('Datos delta'!DC20&gt;0,REASIGN(0,'Datos Protegidos'!$I20,PARTIDOS!DD$11),0)</f>
        <v>0</v>
      </c>
      <c r="DU20" s="24">
        <v>0</v>
      </c>
      <c r="DV20" s="19">
        <f>+IF('Datos delta'!DE20&gt;0,REASIGN(0,'Datos Protegidos'!$I20,PARTIDOS!DF$11),0)</f>
        <v>0</v>
      </c>
      <c r="DW20" s="24">
        <v>0</v>
      </c>
      <c r="DX20" s="19">
        <f>+IF('Datos delta'!DG20&gt;0,REASIGN(0,'Datos Protegidos'!$I20,PARTIDOS!DH$11),0)</f>
        <v>0</v>
      </c>
      <c r="DY20" s="24">
        <v>0</v>
      </c>
      <c r="DZ20" s="19">
        <f>+IF('Datos delta'!DI20&gt;0,REASIGN(0,'Datos Protegidos'!$I20,PARTIDOS!DJ$11),0)</f>
        <v>0</v>
      </c>
      <c r="EA20" s="24">
        <v>0</v>
      </c>
      <c r="EB20" s="19">
        <f>+IF('Datos delta'!DK20&gt;0,REASIGN(0,'Datos Protegidos'!$I20,PARTIDOS!DL$11),0)</f>
        <v>0</v>
      </c>
      <c r="EC20" s="24">
        <v>0</v>
      </c>
      <c r="ED20" s="19">
        <f>+IF('Datos delta'!DM20&gt;0,REASIGN(0,'Datos Protegidos'!$I20,PARTIDOS!DN$11),0)</f>
        <v>0</v>
      </c>
      <c r="EE20" s="24">
        <v>0</v>
      </c>
      <c r="EF20" s="19">
        <f>+IF('Datos delta'!DO20&gt;0,REASIGN(0,'Datos Protegidos'!$I20,PARTIDOS!DP$11),0)</f>
        <v>0</v>
      </c>
      <c r="EG20" s="24">
        <v>0</v>
      </c>
      <c r="EH20" s="19">
        <f>+IF('Datos delta'!DQ20&gt;0,REASIGN(0,'Datos Protegidos'!$I20,PARTIDOS!DR$11),0)</f>
        <v>0</v>
      </c>
      <c r="EI20" s="24">
        <v>0</v>
      </c>
      <c r="EJ20" s="19">
        <f>+IF('Datos delta'!DS20&gt;0,REASIGN(0,'Datos Protegidos'!$I20,PARTIDOS!DT$11),0)</f>
        <v>0</v>
      </c>
      <c r="EK20" s="24">
        <v>0</v>
      </c>
      <c r="EL20" s="19">
        <f>+IF('Datos delta'!DU20&gt;0,REASIGN(0,'Datos Protegidos'!$I20,PARTIDOS!DV$11),0)</f>
        <v>0</v>
      </c>
      <c r="EM20" s="24">
        <v>0</v>
      </c>
      <c r="EN20" s="19">
        <f>+IF('Datos delta'!DW20&gt;0,REASIGN(0,'Datos Protegidos'!$I20,PARTIDOS!DX$11),0)</f>
        <v>0</v>
      </c>
      <c r="EO20" s="24">
        <v>0</v>
      </c>
      <c r="EP20" s="19">
        <f>+IF('Datos delta'!DY20&gt;0,REASIGN(0,'Datos Protegidos'!$I20,PARTIDOS!DZ$11),0)</f>
        <v>0</v>
      </c>
      <c r="EQ20" s="24">
        <v>0</v>
      </c>
      <c r="ER20" s="19">
        <f>+IF('Datos delta'!EA20&gt;0,REASIGN(0,'Datos Protegidos'!$I20,PARTIDOS!EB$11),0)</f>
        <v>0</v>
      </c>
      <c r="ES20" s="24">
        <v>0</v>
      </c>
      <c r="ET20" s="19">
        <f>+IF('Datos delta'!EC20&gt;0,REASIGN(0,'Datos Protegidos'!$I20,PARTIDOS!ED$11),0)</f>
        <v>0</v>
      </c>
      <c r="EU20" s="24">
        <v>0</v>
      </c>
    </row>
    <row r="21" spans="1:151" x14ac:dyDescent="0.25">
      <c r="A21" s="24" t="s">
        <v>37</v>
      </c>
      <c r="B21" s="25">
        <v>19</v>
      </c>
      <c r="C21" s="24" t="s">
        <v>41</v>
      </c>
      <c r="D21" s="24">
        <v>254308</v>
      </c>
      <c r="E21" s="26">
        <v>523</v>
      </c>
      <c r="F21" s="26">
        <v>182810</v>
      </c>
      <c r="G21" s="26">
        <v>4561</v>
      </c>
      <c r="H21" s="26">
        <v>187371</v>
      </c>
      <c r="I21">
        <v>752</v>
      </c>
      <c r="J21" s="19">
        <f>+INT(([1]Hoja1!M21/[1]Hoja1!O21)*M21)</f>
        <v>132154</v>
      </c>
      <c r="K21" s="19">
        <f>+INT(([1]Hoja1!N21/[1]Hoja1!O21)*M21)</f>
        <v>131006</v>
      </c>
      <c r="L21" s="19">
        <f t="shared" si="1"/>
        <v>2790</v>
      </c>
      <c r="M21" s="19">
        <f t="shared" si="2"/>
        <v>1148</v>
      </c>
      <c r="N21" s="22">
        <f t="shared" si="0"/>
        <v>0</v>
      </c>
      <c r="O21" s="26">
        <v>1148</v>
      </c>
      <c r="P21" s="26">
        <v>1642</v>
      </c>
      <c r="Q21" s="22">
        <f t="shared" si="3"/>
        <v>3</v>
      </c>
      <c r="R21" s="19">
        <f>+IF('Datos delta'!A21&gt;0,REASIGN(0,'Datos Protegidos'!$I21,PARTIDOS!B$11),0)</f>
        <v>0</v>
      </c>
      <c r="S21" s="24">
        <v>1</v>
      </c>
      <c r="T21" s="19">
        <f>+IF('Datos delta'!C21&gt;0,REASIGN(0,'Datos Protegidos'!$I21,PARTIDOS!D$11),0)</f>
        <v>0</v>
      </c>
      <c r="U21" s="24">
        <v>1</v>
      </c>
      <c r="V21" s="19">
        <f>+IF('Datos delta'!E21&gt;0,REASIGN(0,'Datos Protegidos'!$I21,PARTIDOS!F$11),0)</f>
        <v>0</v>
      </c>
      <c r="W21" s="24">
        <v>1</v>
      </c>
      <c r="X21" s="19">
        <f>+IF('Datos delta'!G21&gt;0,REASIGN(0,'Datos Protegidos'!$I21,PARTIDOS!H$11),0)</f>
        <v>0</v>
      </c>
      <c r="Y21" s="24">
        <v>0</v>
      </c>
      <c r="Z21" s="19">
        <f>+IF('Datos delta'!I21&gt;0,REASIGN(0,'Datos Protegidos'!$I21,PARTIDOS!J$11),0)</f>
        <v>0</v>
      </c>
      <c r="AA21" s="24">
        <v>0</v>
      </c>
      <c r="AB21" s="19">
        <f>+IF('Datos delta'!K21&gt;0,REASIGN(0,'Datos Protegidos'!$I21,PARTIDOS!L$11),0)</f>
        <v>0</v>
      </c>
      <c r="AC21" s="24">
        <v>0</v>
      </c>
      <c r="AD21" s="19">
        <f>+IF('Datos delta'!M21&gt;0,REASIGN(0,'Datos Protegidos'!$I21,PARTIDOS!N$11),0)</f>
        <v>0</v>
      </c>
      <c r="AE21" s="24">
        <v>0</v>
      </c>
      <c r="AF21" s="19">
        <f>+IF('Datos delta'!O21&gt;0,REASIGN(0,'Datos Protegidos'!$I21,PARTIDOS!P$11),0)</f>
        <v>0</v>
      </c>
      <c r="AG21" s="24">
        <v>0</v>
      </c>
      <c r="AH21" s="19">
        <f>+IF('Datos delta'!Q21&gt;0,REASIGN(0,'Datos Protegidos'!$I21,PARTIDOS!R$11),0)</f>
        <v>0</v>
      </c>
      <c r="AI21" s="24">
        <v>0</v>
      </c>
      <c r="AJ21" s="19">
        <f>+IF('Datos delta'!S21&gt;0,REASIGN(0,'Datos Protegidos'!$I21,PARTIDOS!T$11),0)</f>
        <v>0</v>
      </c>
      <c r="AK21" s="24">
        <v>0</v>
      </c>
      <c r="AL21" s="19">
        <f>+IF('Datos delta'!U21&gt;0,REASIGN(0,'Datos Protegidos'!$I21,PARTIDOS!V$11),0)</f>
        <v>0</v>
      </c>
      <c r="AM21" s="24">
        <v>0</v>
      </c>
      <c r="AN21" s="19">
        <f>+IF('Datos delta'!W21&gt;0,REASIGN(0,'Datos Protegidos'!$I21,PARTIDOS!X$11),0)</f>
        <v>0</v>
      </c>
      <c r="AO21" s="24">
        <v>0</v>
      </c>
      <c r="AP21" s="19">
        <f>+IF('Datos delta'!Y21&gt;0,REASIGN(0,'Datos Protegidos'!$I21,PARTIDOS!Z$11),0)</f>
        <v>0</v>
      </c>
      <c r="AQ21" s="24">
        <v>0</v>
      </c>
      <c r="AR21" s="19">
        <f>+IF('Datos delta'!AA21&gt;0,REASIGN(0,'Datos Protegidos'!$I21,PARTIDOS!AB$11),0)</f>
        <v>0</v>
      </c>
      <c r="AS21" s="24">
        <v>0</v>
      </c>
      <c r="AT21" s="19">
        <f>+IF('Datos delta'!AC21&gt;0,REASIGN(0,'Datos Protegidos'!$I21,PARTIDOS!AD$11),0)</f>
        <v>0</v>
      </c>
      <c r="AU21" s="24">
        <v>0</v>
      </c>
      <c r="AV21" s="19">
        <f>+IF('Datos delta'!AE21&gt;0,REASIGN(0,'Datos Protegidos'!$I21,PARTIDOS!AF$11),0)</f>
        <v>0</v>
      </c>
      <c r="AW21" s="24">
        <v>0</v>
      </c>
      <c r="AX21" s="19">
        <f>+IF('Datos delta'!AG21&gt;0,REASIGN(0,'Datos Protegidos'!$I21,PARTIDOS!AH$11),0)</f>
        <v>0</v>
      </c>
      <c r="AY21" s="24">
        <v>0</v>
      </c>
      <c r="AZ21" s="19">
        <f>+IF('Datos delta'!AI21&gt;0,REASIGN(0,'Datos Protegidos'!$I21,PARTIDOS!AJ$11),0)</f>
        <v>0</v>
      </c>
      <c r="BA21" s="24">
        <v>0</v>
      </c>
      <c r="BB21" s="19">
        <f>+IF('Datos delta'!AK21&gt;0,REASIGN(0,'Datos Protegidos'!$I21,PARTIDOS!AL$11),0)</f>
        <v>0</v>
      </c>
      <c r="BC21" s="24">
        <v>0</v>
      </c>
      <c r="BD21" s="19">
        <f>+IF('Datos delta'!AM21&gt;0,REASIGN(0,'Datos Protegidos'!$I21,PARTIDOS!AN$11),0)</f>
        <v>0</v>
      </c>
      <c r="BE21" s="24">
        <v>0</v>
      </c>
      <c r="BF21" s="19">
        <f>+IF('Datos delta'!AO21&gt;0,REASIGN(0,'Datos Protegidos'!$I21,PARTIDOS!AP$11),0)</f>
        <v>0</v>
      </c>
      <c r="BG21" s="24">
        <v>0</v>
      </c>
      <c r="BH21" s="19">
        <f>+IF('Datos delta'!AQ21&gt;0,REASIGN(0,'Datos Protegidos'!$I21,PARTIDOS!AR$11),0)</f>
        <v>0</v>
      </c>
      <c r="BI21" s="24">
        <v>0</v>
      </c>
      <c r="BJ21" s="19">
        <f>+IF('Datos delta'!AS21&gt;0,REASIGN(0,'Datos Protegidos'!$I21,PARTIDOS!AT$11),0)</f>
        <v>0</v>
      </c>
      <c r="BK21" s="24">
        <v>0</v>
      </c>
      <c r="BL21" s="19">
        <f>+IF('Datos delta'!AU21&gt;0,REASIGN(0,'Datos Protegidos'!$I21,PARTIDOS!AV$11),0)</f>
        <v>0</v>
      </c>
      <c r="BM21" s="24">
        <v>0</v>
      </c>
      <c r="BN21" s="19">
        <f>+IF('Datos delta'!AW21&gt;0,REASIGN(0,'Datos Protegidos'!$I21,PARTIDOS!AX$11),0)</f>
        <v>0</v>
      </c>
      <c r="BO21" s="24">
        <v>0</v>
      </c>
      <c r="BP21" s="19">
        <f>+IF('Datos delta'!AY21&gt;0,REASIGN(0,'Datos Protegidos'!$I21,PARTIDOS!AZ$11),0)</f>
        <v>0</v>
      </c>
      <c r="BQ21" s="24">
        <v>0</v>
      </c>
      <c r="BR21" s="19">
        <f>+IF('Datos delta'!BA21&gt;0,REASIGN(0,'Datos Protegidos'!$I21,PARTIDOS!BB$11),0)</f>
        <v>0</v>
      </c>
      <c r="BS21" s="24">
        <v>0</v>
      </c>
      <c r="BT21" s="19">
        <f>+IF('Datos delta'!BC21&gt;0,REASIGN(0,'Datos Protegidos'!$I21,PARTIDOS!BD$11),0)</f>
        <v>0</v>
      </c>
      <c r="BU21" s="24">
        <v>0</v>
      </c>
      <c r="BV21" s="19">
        <f>+IF('Datos delta'!BE21&gt;0,REASIGN(0,'Datos Protegidos'!$I21,PARTIDOS!BF$11),0)</f>
        <v>0</v>
      </c>
      <c r="BW21" s="24">
        <v>0</v>
      </c>
      <c r="BX21" s="19">
        <f>+IF('Datos delta'!BG21&gt;0,REASIGN(0,'Datos Protegidos'!$I21,PARTIDOS!BH$11),0)</f>
        <v>0</v>
      </c>
      <c r="BY21" s="24">
        <v>0</v>
      </c>
      <c r="BZ21" s="19">
        <f>+IF('Datos delta'!BI21&gt;0,REASIGN(0,'Datos Protegidos'!$I21,PARTIDOS!BJ$11),0)</f>
        <v>0</v>
      </c>
      <c r="CA21" s="24">
        <v>0</v>
      </c>
      <c r="CB21" s="19">
        <f>+IF('Datos delta'!BK21&gt;0,REASIGN(0,'Datos Protegidos'!$I21,PARTIDOS!BL$11),0)</f>
        <v>0</v>
      </c>
      <c r="CC21" s="24">
        <v>0</v>
      </c>
      <c r="CD21" s="19">
        <f>+IF('Datos delta'!BM21&gt;0,REASIGN(0,'Datos Protegidos'!$I21,PARTIDOS!BN$11),0)</f>
        <v>0</v>
      </c>
      <c r="CE21" s="24">
        <v>0</v>
      </c>
      <c r="CF21" s="19">
        <f>+IF('Datos delta'!BO21&gt;0,REASIGN(0,'Datos Protegidos'!$I21,PARTIDOS!BP$11),0)</f>
        <v>0</v>
      </c>
      <c r="CG21" s="24">
        <v>0</v>
      </c>
      <c r="CH21" s="19">
        <f>+IF('Datos delta'!BQ21&gt;0,REASIGN(0,'Datos Protegidos'!$I21,PARTIDOS!BR$11),0)</f>
        <v>0</v>
      </c>
      <c r="CI21" s="24">
        <v>0</v>
      </c>
      <c r="CJ21" s="19">
        <f>+IF('Datos delta'!BS21&gt;0,REASIGN(0,'Datos Protegidos'!$I21,PARTIDOS!BT$11),0)</f>
        <v>0</v>
      </c>
      <c r="CK21" s="24">
        <v>0</v>
      </c>
      <c r="CL21" s="19">
        <f>+IF('Datos delta'!BU21&gt;0,REASIGN(0,'Datos Protegidos'!$I21,PARTIDOS!BV$11),0)</f>
        <v>0</v>
      </c>
      <c r="CM21" s="24">
        <v>0</v>
      </c>
      <c r="CN21" s="19">
        <f>+IF('Datos delta'!BW21&gt;0,REASIGN(0,'Datos Protegidos'!$I21,PARTIDOS!BX$11),0)</f>
        <v>0</v>
      </c>
      <c r="CO21" s="24">
        <v>0</v>
      </c>
      <c r="CP21" s="19">
        <f>+IF('Datos delta'!BY21&gt;0,REASIGN(0,'Datos Protegidos'!$I21,PARTIDOS!BZ$11),0)</f>
        <v>0</v>
      </c>
      <c r="CQ21" s="24">
        <v>0</v>
      </c>
      <c r="CR21" s="19">
        <f>+IF('Datos delta'!CA21&gt;0,REASIGN(0,'Datos Protegidos'!$I21,PARTIDOS!CB$11),0)</f>
        <v>0</v>
      </c>
      <c r="CS21" s="24">
        <v>0</v>
      </c>
      <c r="CT21" s="19">
        <f>+IF('Datos delta'!CC21&gt;0,REASIGN(0,'Datos Protegidos'!$I21,PARTIDOS!CD$11),0)</f>
        <v>0</v>
      </c>
      <c r="CU21" s="24">
        <v>0</v>
      </c>
      <c r="CV21" s="19">
        <f>+IF('Datos delta'!CE21&gt;0,REASIGN(0,'Datos Protegidos'!$I21,PARTIDOS!CF$11),0)</f>
        <v>0</v>
      </c>
      <c r="CW21" s="24">
        <v>0</v>
      </c>
      <c r="CX21" s="19">
        <f>+IF('Datos delta'!CG21&gt;0,REASIGN(0,'Datos Protegidos'!$I21,PARTIDOS!CH$11),0)</f>
        <v>0</v>
      </c>
      <c r="CY21" s="24">
        <v>0</v>
      </c>
      <c r="CZ21" s="19">
        <f>+IF('Datos delta'!CI21&gt;0,REASIGN(0,'Datos Protegidos'!$I21,PARTIDOS!CJ$11),0)</f>
        <v>0</v>
      </c>
      <c r="DA21" s="24">
        <v>0</v>
      </c>
      <c r="DB21" s="19">
        <f>+IF('Datos delta'!CK21&gt;0,REASIGN(0,'Datos Protegidos'!$I21,PARTIDOS!CL$11),0)</f>
        <v>0</v>
      </c>
      <c r="DC21" s="24">
        <v>0</v>
      </c>
      <c r="DD21" s="19">
        <f>+IF('Datos delta'!CM21&gt;0,REASIGN(0,'Datos Protegidos'!$I21,PARTIDOS!CN$11),0)</f>
        <v>0</v>
      </c>
      <c r="DE21" s="24">
        <v>0</v>
      </c>
      <c r="DF21" s="19">
        <f>+IF('Datos delta'!CO21&gt;0,REASIGN(0,'Datos Protegidos'!$I21,PARTIDOS!CP$11),0)</f>
        <v>0</v>
      </c>
      <c r="DG21" s="24">
        <v>0</v>
      </c>
      <c r="DH21" s="19">
        <f>+IF('Datos delta'!CQ21&gt;0,REASIGN(0,'Datos Protegidos'!$I21,PARTIDOS!CR$11),0)</f>
        <v>0</v>
      </c>
      <c r="DI21" s="24">
        <v>0</v>
      </c>
      <c r="DJ21" s="19">
        <f>+IF('Datos delta'!CS21&gt;0,REASIGN(0,'Datos Protegidos'!$I21,PARTIDOS!CT$11),0)</f>
        <v>0</v>
      </c>
      <c r="DK21" s="24">
        <v>0</v>
      </c>
      <c r="DL21" s="19">
        <f>+IF('Datos delta'!CU21&gt;0,REASIGN(0,'Datos Protegidos'!$I21,PARTIDOS!CV$11),0)</f>
        <v>0</v>
      </c>
      <c r="DM21" s="24">
        <v>0</v>
      </c>
      <c r="DN21" s="19">
        <f>+IF('Datos delta'!CW21&gt;0,REASIGN(0,'Datos Protegidos'!$I21,PARTIDOS!CX$11),0)</f>
        <v>0</v>
      </c>
      <c r="DO21" s="24">
        <v>0</v>
      </c>
      <c r="DP21" s="19">
        <f>+IF('Datos delta'!CY21&gt;0,REASIGN(0,'Datos Protegidos'!$I21,PARTIDOS!CZ$11),0)</f>
        <v>0</v>
      </c>
      <c r="DQ21" s="24">
        <v>0</v>
      </c>
      <c r="DR21" s="19">
        <f>+IF('Datos delta'!DA21&gt;0,REASIGN(0,'Datos Protegidos'!$I21,PARTIDOS!DB$11),0)</f>
        <v>0</v>
      </c>
      <c r="DS21" s="24">
        <v>0</v>
      </c>
      <c r="DT21" s="19">
        <f>+IF('Datos delta'!DC21&gt;0,REASIGN(0,'Datos Protegidos'!$I21,PARTIDOS!DD$11),0)</f>
        <v>0</v>
      </c>
      <c r="DU21" s="24">
        <v>0</v>
      </c>
      <c r="DV21" s="19">
        <f>+IF('Datos delta'!DE21&gt;0,REASIGN(0,'Datos Protegidos'!$I21,PARTIDOS!DF$11),0)</f>
        <v>0</v>
      </c>
      <c r="DW21" s="24">
        <v>0</v>
      </c>
      <c r="DX21" s="19">
        <f>+IF('Datos delta'!DG21&gt;0,REASIGN(0,'Datos Protegidos'!$I21,PARTIDOS!DH$11),0)</f>
        <v>0</v>
      </c>
      <c r="DY21" s="24">
        <v>0</v>
      </c>
      <c r="DZ21" s="19">
        <f>+IF('Datos delta'!DI21&gt;0,REASIGN(0,'Datos Protegidos'!$I21,PARTIDOS!DJ$11),0)</f>
        <v>0</v>
      </c>
      <c r="EA21" s="24">
        <v>0</v>
      </c>
      <c r="EB21" s="19">
        <f>+IF('Datos delta'!DK21&gt;0,REASIGN(0,'Datos Protegidos'!$I21,PARTIDOS!DL$11),0)</f>
        <v>0</v>
      </c>
      <c r="EC21" s="24">
        <v>0</v>
      </c>
      <c r="ED21" s="19">
        <f>+IF('Datos delta'!DM21&gt;0,REASIGN(0,'Datos Protegidos'!$I21,PARTIDOS!DN$11),0)</f>
        <v>0</v>
      </c>
      <c r="EE21" s="24">
        <v>0</v>
      </c>
      <c r="EF21" s="19">
        <f>+IF('Datos delta'!DO21&gt;0,REASIGN(0,'Datos Protegidos'!$I21,PARTIDOS!DP$11),0)</f>
        <v>0</v>
      </c>
      <c r="EG21" s="24">
        <v>0</v>
      </c>
      <c r="EH21" s="19">
        <f>+IF('Datos delta'!DQ21&gt;0,REASIGN(0,'Datos Protegidos'!$I21,PARTIDOS!DR$11),0)</f>
        <v>0</v>
      </c>
      <c r="EI21" s="24">
        <v>0</v>
      </c>
      <c r="EJ21" s="19">
        <f>+IF('Datos delta'!DS21&gt;0,REASIGN(0,'Datos Protegidos'!$I21,PARTIDOS!DT$11),0)</f>
        <v>0</v>
      </c>
      <c r="EK21" s="24">
        <v>0</v>
      </c>
      <c r="EL21" s="19">
        <f>+IF('Datos delta'!DU21&gt;0,REASIGN(0,'Datos Protegidos'!$I21,PARTIDOS!DV$11),0)</f>
        <v>0</v>
      </c>
      <c r="EM21" s="24">
        <v>0</v>
      </c>
      <c r="EN21" s="19">
        <f>+IF('Datos delta'!DW21&gt;0,REASIGN(0,'Datos Protegidos'!$I21,PARTIDOS!DX$11),0)</f>
        <v>0</v>
      </c>
      <c r="EO21" s="24">
        <v>0</v>
      </c>
      <c r="EP21" s="19">
        <f>+IF('Datos delta'!DY21&gt;0,REASIGN(0,'Datos Protegidos'!$I21,PARTIDOS!DZ$11),0)</f>
        <v>0</v>
      </c>
      <c r="EQ21" s="24">
        <v>0</v>
      </c>
      <c r="ER21" s="19">
        <f>+IF('Datos delta'!EA21&gt;0,REASIGN(0,'Datos Protegidos'!$I21,PARTIDOS!EB$11),0)</f>
        <v>0</v>
      </c>
      <c r="ES21" s="24">
        <v>0</v>
      </c>
      <c r="ET21" s="19">
        <f>+IF('Datos delta'!EC21&gt;0,REASIGN(0,'Datos Protegidos'!$I21,PARTIDOS!ED$11),0)</f>
        <v>0</v>
      </c>
      <c r="EU21" s="24">
        <v>0</v>
      </c>
    </row>
    <row r="22" spans="1:151" x14ac:dyDescent="0.25">
      <c r="A22" s="24" t="s">
        <v>37</v>
      </c>
      <c r="B22" s="25">
        <v>45</v>
      </c>
      <c r="C22" s="24" t="s">
        <v>42</v>
      </c>
      <c r="D22" s="24">
        <v>687391</v>
      </c>
      <c r="E22" s="26">
        <v>926</v>
      </c>
      <c r="F22" s="26">
        <v>514083</v>
      </c>
      <c r="G22" s="26">
        <v>11669</v>
      </c>
      <c r="H22" s="26">
        <v>525752</v>
      </c>
      <c r="I22" s="1">
        <v>1610</v>
      </c>
      <c r="J22" s="19">
        <f>+INT(([1]Hoja1!M22/[1]Hoja1!O22)*M22)</f>
        <v>363474</v>
      </c>
      <c r="K22" s="19">
        <f>+INT(([1]Hoja1!N22/[1]Hoja1!O22)*M22)</f>
        <v>360813</v>
      </c>
      <c r="L22" s="19">
        <f t="shared" si="1"/>
        <v>7806</v>
      </c>
      <c r="M22" s="19">
        <f t="shared" si="2"/>
        <v>2661</v>
      </c>
      <c r="N22" s="22">
        <f t="shared" si="0"/>
        <v>0</v>
      </c>
      <c r="O22" s="26">
        <v>2661</v>
      </c>
      <c r="P22" s="26">
        <v>5145</v>
      </c>
      <c r="Q22" s="22">
        <f t="shared" si="3"/>
        <v>6</v>
      </c>
      <c r="R22" s="19">
        <f>+IF('Datos delta'!A22&gt;0,REASIGN(0,'Datos Protegidos'!$I22,PARTIDOS!B$11),0)</f>
        <v>0</v>
      </c>
      <c r="S22" s="24">
        <v>2</v>
      </c>
      <c r="T22" s="19">
        <f>+IF('Datos delta'!C22&gt;0,REASIGN(0,'Datos Protegidos'!$I22,PARTIDOS!D$11),0)</f>
        <v>0</v>
      </c>
      <c r="U22" s="24">
        <v>2</v>
      </c>
      <c r="V22" s="19">
        <f>+IF('Datos delta'!E22&gt;0,REASIGN(0,'Datos Protegidos'!$I22,PARTIDOS!F$11),0)</f>
        <v>0</v>
      </c>
      <c r="W22" s="24">
        <v>2</v>
      </c>
      <c r="X22" s="19">
        <f>+IF('Datos delta'!G22&gt;0,REASIGN(0,'Datos Protegidos'!$I22,PARTIDOS!H$11),0)</f>
        <v>0</v>
      </c>
      <c r="Y22" s="24">
        <v>0</v>
      </c>
      <c r="Z22" s="19">
        <f>+IF('Datos delta'!I22&gt;0,REASIGN(0,'Datos Protegidos'!$I22,PARTIDOS!J$11),0)</f>
        <v>0</v>
      </c>
      <c r="AA22" s="24">
        <v>0</v>
      </c>
      <c r="AB22" s="19">
        <f>+IF('Datos delta'!K22&gt;0,REASIGN(0,'Datos Protegidos'!$I22,PARTIDOS!L$11),0)</f>
        <v>0</v>
      </c>
      <c r="AC22" s="24">
        <v>0</v>
      </c>
      <c r="AD22" s="19">
        <f>+IF('Datos delta'!M22&gt;0,REASIGN(0,'Datos Protegidos'!$I22,PARTIDOS!N$11),0)</f>
        <v>0</v>
      </c>
      <c r="AE22" s="24">
        <v>0</v>
      </c>
      <c r="AF22" s="19">
        <f>+IF('Datos delta'!O22&gt;0,REASIGN(0,'Datos Protegidos'!$I22,PARTIDOS!P$11),0)</f>
        <v>0</v>
      </c>
      <c r="AG22" s="24">
        <v>0</v>
      </c>
      <c r="AH22" s="19">
        <f>+IF('Datos delta'!Q22&gt;0,REASIGN(0,'Datos Protegidos'!$I22,PARTIDOS!R$11),0)</f>
        <v>0</v>
      </c>
      <c r="AI22" s="24">
        <v>0</v>
      </c>
      <c r="AJ22" s="19">
        <f>+IF('Datos delta'!S22&gt;0,REASIGN(0,'Datos Protegidos'!$I22,PARTIDOS!T$11),0)</f>
        <v>0</v>
      </c>
      <c r="AK22" s="24">
        <v>0</v>
      </c>
      <c r="AL22" s="19">
        <f>+IF('Datos delta'!U22&gt;0,REASIGN(0,'Datos Protegidos'!$I22,PARTIDOS!V$11),0)</f>
        <v>0</v>
      </c>
      <c r="AM22" s="24">
        <v>0</v>
      </c>
      <c r="AN22" s="19">
        <f>+IF('Datos delta'!W22&gt;0,REASIGN(0,'Datos Protegidos'!$I22,PARTIDOS!X$11),0)</f>
        <v>0</v>
      </c>
      <c r="AO22" s="24">
        <v>0</v>
      </c>
      <c r="AP22" s="19">
        <f>+IF('Datos delta'!Y22&gt;0,REASIGN(0,'Datos Protegidos'!$I22,PARTIDOS!Z$11),0)</f>
        <v>0</v>
      </c>
      <c r="AQ22" s="24">
        <v>0</v>
      </c>
      <c r="AR22" s="19">
        <f>+IF('Datos delta'!AA22&gt;0,REASIGN(0,'Datos Protegidos'!$I22,PARTIDOS!AB$11),0)</f>
        <v>0</v>
      </c>
      <c r="AS22" s="24">
        <v>0</v>
      </c>
      <c r="AT22" s="19">
        <f>+IF('Datos delta'!AC22&gt;0,REASIGN(0,'Datos Protegidos'!$I22,PARTIDOS!AD$11),0)</f>
        <v>0</v>
      </c>
      <c r="AU22" s="24">
        <v>0</v>
      </c>
      <c r="AV22" s="19">
        <f>+IF('Datos delta'!AE22&gt;0,REASIGN(0,'Datos Protegidos'!$I22,PARTIDOS!AF$11),0)</f>
        <v>0</v>
      </c>
      <c r="AW22" s="24">
        <v>0</v>
      </c>
      <c r="AX22" s="19">
        <f>+IF('Datos delta'!AG22&gt;0,REASIGN(0,'Datos Protegidos'!$I22,PARTIDOS!AH$11),0)</f>
        <v>0</v>
      </c>
      <c r="AY22" s="24">
        <v>0</v>
      </c>
      <c r="AZ22" s="19">
        <f>+IF('Datos delta'!AI22&gt;0,REASIGN(0,'Datos Protegidos'!$I22,PARTIDOS!AJ$11),0)</f>
        <v>0</v>
      </c>
      <c r="BA22" s="24">
        <v>0</v>
      </c>
      <c r="BB22" s="19">
        <f>+IF('Datos delta'!AK22&gt;0,REASIGN(0,'Datos Protegidos'!$I22,PARTIDOS!AL$11),0)</f>
        <v>0</v>
      </c>
      <c r="BC22" s="24">
        <v>0</v>
      </c>
      <c r="BD22" s="19">
        <f>+IF('Datos delta'!AM22&gt;0,REASIGN(0,'Datos Protegidos'!$I22,PARTIDOS!AN$11),0)</f>
        <v>0</v>
      </c>
      <c r="BE22" s="24">
        <v>0</v>
      </c>
      <c r="BF22" s="19">
        <f>+IF('Datos delta'!AO22&gt;0,REASIGN(0,'Datos Protegidos'!$I22,PARTIDOS!AP$11),0)</f>
        <v>0</v>
      </c>
      <c r="BG22" s="24">
        <v>0</v>
      </c>
      <c r="BH22" s="19">
        <f>+IF('Datos delta'!AQ22&gt;0,REASIGN(0,'Datos Protegidos'!$I22,PARTIDOS!AR$11),0)</f>
        <v>0</v>
      </c>
      <c r="BI22" s="24">
        <v>0</v>
      </c>
      <c r="BJ22" s="19">
        <f>+IF('Datos delta'!AS22&gt;0,REASIGN(0,'Datos Protegidos'!$I22,PARTIDOS!AT$11),0)</f>
        <v>0</v>
      </c>
      <c r="BK22" s="24">
        <v>0</v>
      </c>
      <c r="BL22" s="19">
        <f>+IF('Datos delta'!AU22&gt;0,REASIGN(0,'Datos Protegidos'!$I22,PARTIDOS!AV$11),0)</f>
        <v>0</v>
      </c>
      <c r="BM22" s="24">
        <v>0</v>
      </c>
      <c r="BN22" s="19">
        <f>+IF('Datos delta'!AW22&gt;0,REASIGN(0,'Datos Protegidos'!$I22,PARTIDOS!AX$11),0)</f>
        <v>0</v>
      </c>
      <c r="BO22" s="24">
        <v>0</v>
      </c>
      <c r="BP22" s="19">
        <f>+IF('Datos delta'!AY22&gt;0,REASIGN(0,'Datos Protegidos'!$I22,PARTIDOS!AZ$11),0)</f>
        <v>0</v>
      </c>
      <c r="BQ22" s="24">
        <v>0</v>
      </c>
      <c r="BR22" s="19">
        <f>+IF('Datos delta'!BA22&gt;0,REASIGN(0,'Datos Protegidos'!$I22,PARTIDOS!BB$11),0)</f>
        <v>0</v>
      </c>
      <c r="BS22" s="24">
        <v>0</v>
      </c>
      <c r="BT22" s="19">
        <f>+IF('Datos delta'!BC22&gt;0,REASIGN(0,'Datos Protegidos'!$I22,PARTIDOS!BD$11),0)</f>
        <v>0</v>
      </c>
      <c r="BU22" s="24">
        <v>0</v>
      </c>
      <c r="BV22" s="19">
        <f>+IF('Datos delta'!BE22&gt;0,REASIGN(0,'Datos Protegidos'!$I22,PARTIDOS!BF$11),0)</f>
        <v>0</v>
      </c>
      <c r="BW22" s="24">
        <v>0</v>
      </c>
      <c r="BX22" s="19">
        <f>+IF('Datos delta'!BG22&gt;0,REASIGN(0,'Datos Protegidos'!$I22,PARTIDOS!BH$11),0)</f>
        <v>0</v>
      </c>
      <c r="BY22" s="24">
        <v>0</v>
      </c>
      <c r="BZ22" s="19">
        <f>+IF('Datos delta'!BI22&gt;0,REASIGN(0,'Datos Protegidos'!$I22,PARTIDOS!BJ$11),0)</f>
        <v>0</v>
      </c>
      <c r="CA22" s="24">
        <v>0</v>
      </c>
      <c r="CB22" s="19">
        <f>+IF('Datos delta'!BK22&gt;0,REASIGN(0,'Datos Protegidos'!$I22,PARTIDOS!BL$11),0)</f>
        <v>0</v>
      </c>
      <c r="CC22" s="24">
        <v>0</v>
      </c>
      <c r="CD22" s="19">
        <f>+IF('Datos delta'!BM22&gt;0,REASIGN(0,'Datos Protegidos'!$I22,PARTIDOS!BN$11),0)</f>
        <v>0</v>
      </c>
      <c r="CE22" s="24">
        <v>0</v>
      </c>
      <c r="CF22" s="19">
        <f>+IF('Datos delta'!BO22&gt;0,REASIGN(0,'Datos Protegidos'!$I22,PARTIDOS!BP$11),0)</f>
        <v>0</v>
      </c>
      <c r="CG22" s="24">
        <v>0</v>
      </c>
      <c r="CH22" s="19">
        <f>+IF('Datos delta'!BQ22&gt;0,REASIGN(0,'Datos Protegidos'!$I22,PARTIDOS!BR$11),0)</f>
        <v>0</v>
      </c>
      <c r="CI22" s="24">
        <v>0</v>
      </c>
      <c r="CJ22" s="19">
        <f>+IF('Datos delta'!BS22&gt;0,REASIGN(0,'Datos Protegidos'!$I22,PARTIDOS!BT$11),0)</f>
        <v>0</v>
      </c>
      <c r="CK22" s="24">
        <v>0</v>
      </c>
      <c r="CL22" s="19">
        <f>+IF('Datos delta'!BU22&gt;0,REASIGN(0,'Datos Protegidos'!$I22,PARTIDOS!BV$11),0)</f>
        <v>0</v>
      </c>
      <c r="CM22" s="24">
        <v>0</v>
      </c>
      <c r="CN22" s="19">
        <f>+IF('Datos delta'!BW22&gt;0,REASIGN(0,'Datos Protegidos'!$I22,PARTIDOS!BX$11),0)</f>
        <v>0</v>
      </c>
      <c r="CO22" s="24">
        <v>0</v>
      </c>
      <c r="CP22" s="19">
        <f>+IF('Datos delta'!BY22&gt;0,REASIGN(0,'Datos Protegidos'!$I22,PARTIDOS!BZ$11),0)</f>
        <v>0</v>
      </c>
      <c r="CQ22" s="24">
        <v>0</v>
      </c>
      <c r="CR22" s="19">
        <f>+IF('Datos delta'!CA22&gt;0,REASIGN(0,'Datos Protegidos'!$I22,PARTIDOS!CB$11),0)</f>
        <v>0</v>
      </c>
      <c r="CS22" s="24">
        <v>0</v>
      </c>
      <c r="CT22" s="19">
        <f>+IF('Datos delta'!CC22&gt;0,REASIGN(0,'Datos Protegidos'!$I22,PARTIDOS!CD$11),0)</f>
        <v>0</v>
      </c>
      <c r="CU22" s="24">
        <v>0</v>
      </c>
      <c r="CV22" s="19">
        <f>+IF('Datos delta'!CE22&gt;0,REASIGN(0,'Datos Protegidos'!$I22,PARTIDOS!CF$11),0)</f>
        <v>0</v>
      </c>
      <c r="CW22" s="24">
        <v>0</v>
      </c>
      <c r="CX22" s="19">
        <f>+IF('Datos delta'!CG22&gt;0,REASIGN(0,'Datos Protegidos'!$I22,PARTIDOS!CH$11),0)</f>
        <v>0</v>
      </c>
      <c r="CY22" s="24">
        <v>0</v>
      </c>
      <c r="CZ22" s="19">
        <f>+IF('Datos delta'!CI22&gt;0,REASIGN(0,'Datos Protegidos'!$I22,PARTIDOS!CJ$11),0)</f>
        <v>0</v>
      </c>
      <c r="DA22" s="24">
        <v>0</v>
      </c>
      <c r="DB22" s="19">
        <f>+IF('Datos delta'!CK22&gt;0,REASIGN(0,'Datos Protegidos'!$I22,PARTIDOS!CL$11),0)</f>
        <v>0</v>
      </c>
      <c r="DC22" s="24">
        <v>0</v>
      </c>
      <c r="DD22" s="19">
        <f>+IF('Datos delta'!CM22&gt;0,REASIGN(0,'Datos Protegidos'!$I22,PARTIDOS!CN$11),0)</f>
        <v>0</v>
      </c>
      <c r="DE22" s="24">
        <v>0</v>
      </c>
      <c r="DF22" s="19">
        <f>+IF('Datos delta'!CO22&gt;0,REASIGN(0,'Datos Protegidos'!$I22,PARTIDOS!CP$11),0)</f>
        <v>0</v>
      </c>
      <c r="DG22" s="24">
        <v>0</v>
      </c>
      <c r="DH22" s="19">
        <f>+IF('Datos delta'!CQ22&gt;0,REASIGN(0,'Datos Protegidos'!$I22,PARTIDOS!CR$11),0)</f>
        <v>0</v>
      </c>
      <c r="DI22" s="24">
        <v>0</v>
      </c>
      <c r="DJ22" s="19">
        <f>+IF('Datos delta'!CS22&gt;0,REASIGN(0,'Datos Protegidos'!$I22,PARTIDOS!CT$11),0)</f>
        <v>0</v>
      </c>
      <c r="DK22" s="24">
        <v>0</v>
      </c>
      <c r="DL22" s="19">
        <f>+IF('Datos delta'!CU22&gt;0,REASIGN(0,'Datos Protegidos'!$I22,PARTIDOS!CV$11),0)</f>
        <v>0</v>
      </c>
      <c r="DM22" s="24">
        <v>0</v>
      </c>
      <c r="DN22" s="19">
        <f>+IF('Datos delta'!CW22&gt;0,REASIGN(0,'Datos Protegidos'!$I22,PARTIDOS!CX$11),0)</f>
        <v>0</v>
      </c>
      <c r="DO22" s="24">
        <v>0</v>
      </c>
      <c r="DP22" s="19">
        <f>+IF('Datos delta'!CY22&gt;0,REASIGN(0,'Datos Protegidos'!$I22,PARTIDOS!CZ$11),0)</f>
        <v>0</v>
      </c>
      <c r="DQ22" s="24">
        <v>0</v>
      </c>
      <c r="DR22" s="19">
        <f>+IF('Datos delta'!DA22&gt;0,REASIGN(0,'Datos Protegidos'!$I22,PARTIDOS!DB$11),0)</f>
        <v>0</v>
      </c>
      <c r="DS22" s="24">
        <v>0</v>
      </c>
      <c r="DT22" s="19">
        <f>+IF('Datos delta'!DC22&gt;0,REASIGN(0,'Datos Protegidos'!$I22,PARTIDOS!DD$11),0)</f>
        <v>0</v>
      </c>
      <c r="DU22" s="24">
        <v>0</v>
      </c>
      <c r="DV22" s="19">
        <f>+IF('Datos delta'!DE22&gt;0,REASIGN(0,'Datos Protegidos'!$I22,PARTIDOS!DF$11),0)</f>
        <v>0</v>
      </c>
      <c r="DW22" s="24">
        <v>0</v>
      </c>
      <c r="DX22" s="19">
        <f>+IF('Datos delta'!DG22&gt;0,REASIGN(0,'Datos Protegidos'!$I22,PARTIDOS!DH$11),0)</f>
        <v>0</v>
      </c>
      <c r="DY22" s="24">
        <v>0</v>
      </c>
      <c r="DZ22" s="19">
        <f>+IF('Datos delta'!DI22&gt;0,REASIGN(0,'Datos Protegidos'!$I22,PARTIDOS!DJ$11),0)</f>
        <v>0</v>
      </c>
      <c r="EA22" s="24">
        <v>0</v>
      </c>
      <c r="EB22" s="19">
        <f>+IF('Datos delta'!DK22&gt;0,REASIGN(0,'Datos Protegidos'!$I22,PARTIDOS!DL$11),0)</f>
        <v>0</v>
      </c>
      <c r="EC22" s="24">
        <v>0</v>
      </c>
      <c r="ED22" s="19">
        <f>+IF('Datos delta'!DM22&gt;0,REASIGN(0,'Datos Protegidos'!$I22,PARTIDOS!DN$11),0)</f>
        <v>0</v>
      </c>
      <c r="EE22" s="24">
        <v>0</v>
      </c>
      <c r="EF22" s="19">
        <f>+IF('Datos delta'!DO22&gt;0,REASIGN(0,'Datos Protegidos'!$I22,PARTIDOS!DP$11),0)</f>
        <v>0</v>
      </c>
      <c r="EG22" s="24">
        <v>0</v>
      </c>
      <c r="EH22" s="19">
        <f>+IF('Datos delta'!DQ22&gt;0,REASIGN(0,'Datos Protegidos'!$I22,PARTIDOS!DR$11),0)</f>
        <v>0</v>
      </c>
      <c r="EI22" s="24">
        <v>0</v>
      </c>
      <c r="EJ22" s="19">
        <f>+IF('Datos delta'!DS22&gt;0,REASIGN(0,'Datos Protegidos'!$I22,PARTIDOS!DT$11),0)</f>
        <v>0</v>
      </c>
      <c r="EK22" s="24">
        <v>0</v>
      </c>
      <c r="EL22" s="19">
        <f>+IF('Datos delta'!DU22&gt;0,REASIGN(0,'Datos Protegidos'!$I22,PARTIDOS!DV$11),0)</f>
        <v>0</v>
      </c>
      <c r="EM22" s="24">
        <v>0</v>
      </c>
      <c r="EN22" s="19">
        <f>+IF('Datos delta'!DW22&gt;0,REASIGN(0,'Datos Protegidos'!$I22,PARTIDOS!DX$11),0)</f>
        <v>0</v>
      </c>
      <c r="EO22" s="24">
        <v>0</v>
      </c>
      <c r="EP22" s="19">
        <f>+IF('Datos delta'!DY22&gt;0,REASIGN(0,'Datos Protegidos'!$I22,PARTIDOS!DZ$11),0)</f>
        <v>0</v>
      </c>
      <c r="EQ22" s="24">
        <v>0</v>
      </c>
      <c r="ER22" s="19">
        <f>+IF('Datos delta'!EA22&gt;0,REASIGN(0,'Datos Protegidos'!$I22,PARTIDOS!EB$11),0)</f>
        <v>0</v>
      </c>
      <c r="ES22" s="24">
        <v>0</v>
      </c>
      <c r="ET22" s="19">
        <f>+IF('Datos delta'!EC22&gt;0,REASIGN(0,'Datos Protegidos'!$I22,PARTIDOS!ED$11),0)</f>
        <v>0</v>
      </c>
      <c r="EU22" s="24">
        <v>0</v>
      </c>
    </row>
    <row r="23" spans="1:151" x14ac:dyDescent="0.25">
      <c r="A23" s="24" t="s">
        <v>43</v>
      </c>
      <c r="B23" s="25">
        <v>5</v>
      </c>
      <c r="C23" s="24" t="s">
        <v>44</v>
      </c>
      <c r="D23" s="24">
        <v>158498</v>
      </c>
      <c r="E23" s="26">
        <v>357</v>
      </c>
      <c r="F23" s="26">
        <v>128640</v>
      </c>
      <c r="G23" s="26">
        <v>8077</v>
      </c>
      <c r="H23" s="26">
        <v>136717</v>
      </c>
      <c r="I23">
        <v>892</v>
      </c>
      <c r="J23" s="19">
        <f>+INT(([1]Hoja1!M23/[1]Hoja1!O23)*M23)</f>
        <v>93496</v>
      </c>
      <c r="K23" s="19">
        <f>+INT(([1]Hoja1!N23/[1]Hoja1!O23)*M23)</f>
        <v>92741</v>
      </c>
      <c r="L23" s="19">
        <f t="shared" si="1"/>
        <v>2052</v>
      </c>
      <c r="M23" s="19">
        <f t="shared" si="2"/>
        <v>755</v>
      </c>
      <c r="N23" s="22">
        <f t="shared" si="0"/>
        <v>0</v>
      </c>
      <c r="O23" s="26">
        <v>755</v>
      </c>
      <c r="P23" s="26">
        <v>1297</v>
      </c>
      <c r="Q23" s="22">
        <f t="shared" si="3"/>
        <v>3</v>
      </c>
      <c r="R23" s="19">
        <f>+IF('Datos delta'!A23&gt;0,REASIGN(0,'Datos Protegidos'!$I23,PARTIDOS!B$11),0)</f>
        <v>0</v>
      </c>
      <c r="S23" s="24">
        <v>1</v>
      </c>
      <c r="T23" s="19">
        <f>+IF('Datos delta'!C23&gt;0,REASIGN(0,'Datos Protegidos'!$I23,PARTIDOS!D$11),0)</f>
        <v>0</v>
      </c>
      <c r="U23" s="24">
        <v>1</v>
      </c>
      <c r="V23" s="19">
        <f>+IF('Datos delta'!E23&gt;0,REASIGN(0,'Datos Protegidos'!$I23,PARTIDOS!F$11),0)</f>
        <v>0</v>
      </c>
      <c r="W23" s="24">
        <v>1</v>
      </c>
      <c r="X23" s="19">
        <f>+IF('Datos delta'!G23&gt;0,REASIGN(0,'Datos Protegidos'!$I23,PARTIDOS!H$11),0)</f>
        <v>0</v>
      </c>
      <c r="Y23" s="24">
        <v>0</v>
      </c>
      <c r="Z23" s="19">
        <f>+IF('Datos delta'!I23&gt;0,REASIGN(0,'Datos Protegidos'!$I23,PARTIDOS!J$11),0)</f>
        <v>0</v>
      </c>
      <c r="AA23" s="24">
        <v>0</v>
      </c>
      <c r="AB23" s="19">
        <f>+IF('Datos delta'!K23&gt;0,REASIGN(0,'Datos Protegidos'!$I23,PARTIDOS!L$11),0)</f>
        <v>0</v>
      </c>
      <c r="AC23" s="24">
        <v>0</v>
      </c>
      <c r="AD23" s="19">
        <f>+IF('Datos delta'!M23&gt;0,REASIGN(0,'Datos Protegidos'!$I23,PARTIDOS!N$11),0)</f>
        <v>0</v>
      </c>
      <c r="AE23" s="24">
        <v>0</v>
      </c>
      <c r="AF23" s="19">
        <f>+IF('Datos delta'!O23&gt;0,REASIGN(0,'Datos Protegidos'!$I23,PARTIDOS!P$11),0)</f>
        <v>0</v>
      </c>
      <c r="AG23" s="24">
        <v>0</v>
      </c>
      <c r="AH23" s="19">
        <f>+IF('Datos delta'!Q23&gt;0,REASIGN(0,'Datos Protegidos'!$I23,PARTIDOS!R$11),0)</f>
        <v>0</v>
      </c>
      <c r="AI23" s="24">
        <v>0</v>
      </c>
      <c r="AJ23" s="19">
        <f>+IF('Datos delta'!S23&gt;0,REASIGN(0,'Datos Protegidos'!$I23,PARTIDOS!T$11),0)</f>
        <v>0</v>
      </c>
      <c r="AK23" s="24">
        <v>0</v>
      </c>
      <c r="AL23" s="19">
        <f>+IF('Datos delta'!U23&gt;0,REASIGN(0,'Datos Protegidos'!$I23,PARTIDOS!V$11),0)</f>
        <v>0</v>
      </c>
      <c r="AM23" s="24">
        <v>0</v>
      </c>
      <c r="AN23" s="19">
        <f>+IF('Datos delta'!W23&gt;0,REASIGN(0,'Datos Protegidos'!$I23,PARTIDOS!X$11),0)</f>
        <v>0</v>
      </c>
      <c r="AO23" s="24">
        <v>0</v>
      </c>
      <c r="AP23" s="19">
        <f>+IF('Datos delta'!Y23&gt;0,REASIGN(0,'Datos Protegidos'!$I23,PARTIDOS!Z$11),0)</f>
        <v>0</v>
      </c>
      <c r="AQ23" s="24">
        <v>0</v>
      </c>
      <c r="AR23" s="19">
        <f>+IF('Datos delta'!AA23&gt;0,REASIGN(0,'Datos Protegidos'!$I23,PARTIDOS!AB$11),0)</f>
        <v>0</v>
      </c>
      <c r="AS23" s="24">
        <v>0</v>
      </c>
      <c r="AT23" s="19">
        <f>+IF('Datos delta'!AC23&gt;0,REASIGN(0,'Datos Protegidos'!$I23,PARTIDOS!AD$11),0)</f>
        <v>0</v>
      </c>
      <c r="AU23" s="24">
        <v>0</v>
      </c>
      <c r="AV23" s="19">
        <f>+IF('Datos delta'!AE23&gt;0,REASIGN(0,'Datos Protegidos'!$I23,PARTIDOS!AF$11),0)</f>
        <v>0</v>
      </c>
      <c r="AW23" s="24">
        <v>0</v>
      </c>
      <c r="AX23" s="19">
        <f>+IF('Datos delta'!AG23&gt;0,REASIGN(0,'Datos Protegidos'!$I23,PARTIDOS!AH$11),0)</f>
        <v>0</v>
      </c>
      <c r="AY23" s="24">
        <v>0</v>
      </c>
      <c r="AZ23" s="19">
        <f>+IF('Datos delta'!AI23&gt;0,REASIGN(0,'Datos Protegidos'!$I23,PARTIDOS!AJ$11),0)</f>
        <v>0</v>
      </c>
      <c r="BA23" s="24">
        <v>0</v>
      </c>
      <c r="BB23" s="19">
        <f>+IF('Datos delta'!AK23&gt;0,REASIGN(0,'Datos Protegidos'!$I23,PARTIDOS!AL$11),0)</f>
        <v>0</v>
      </c>
      <c r="BC23" s="24">
        <v>0</v>
      </c>
      <c r="BD23" s="19">
        <f>+IF('Datos delta'!AM23&gt;0,REASIGN(0,'Datos Protegidos'!$I23,PARTIDOS!AN$11),0)</f>
        <v>0</v>
      </c>
      <c r="BE23" s="24">
        <v>0</v>
      </c>
      <c r="BF23" s="19">
        <f>+IF('Datos delta'!AO23&gt;0,REASIGN(0,'Datos Protegidos'!$I23,PARTIDOS!AP$11),0)</f>
        <v>0</v>
      </c>
      <c r="BG23" s="24">
        <v>0</v>
      </c>
      <c r="BH23" s="19">
        <f>+IF('Datos delta'!AQ23&gt;0,REASIGN(0,'Datos Protegidos'!$I23,PARTIDOS!AR$11),0)</f>
        <v>0</v>
      </c>
      <c r="BI23" s="24">
        <v>0</v>
      </c>
      <c r="BJ23" s="19">
        <f>+IF('Datos delta'!AS23&gt;0,REASIGN(0,'Datos Protegidos'!$I23,PARTIDOS!AT$11),0)</f>
        <v>0</v>
      </c>
      <c r="BK23" s="24">
        <v>0</v>
      </c>
      <c r="BL23" s="19">
        <f>+IF('Datos delta'!AU23&gt;0,REASIGN(0,'Datos Protegidos'!$I23,PARTIDOS!AV$11),0)</f>
        <v>0</v>
      </c>
      <c r="BM23" s="24">
        <v>0</v>
      </c>
      <c r="BN23" s="19">
        <f>+IF('Datos delta'!AW23&gt;0,REASIGN(0,'Datos Protegidos'!$I23,PARTIDOS!AX$11),0)</f>
        <v>0</v>
      </c>
      <c r="BO23" s="24">
        <v>0</v>
      </c>
      <c r="BP23" s="19">
        <f>+IF('Datos delta'!AY23&gt;0,REASIGN(0,'Datos Protegidos'!$I23,PARTIDOS!AZ$11),0)</f>
        <v>0</v>
      </c>
      <c r="BQ23" s="24">
        <v>0</v>
      </c>
      <c r="BR23" s="19">
        <f>+IF('Datos delta'!BA23&gt;0,REASIGN(0,'Datos Protegidos'!$I23,PARTIDOS!BB$11),0)</f>
        <v>0</v>
      </c>
      <c r="BS23" s="24">
        <v>0</v>
      </c>
      <c r="BT23" s="19">
        <f>+IF('Datos delta'!BC23&gt;0,REASIGN(0,'Datos Protegidos'!$I23,PARTIDOS!BD$11),0)</f>
        <v>0</v>
      </c>
      <c r="BU23" s="24">
        <v>0</v>
      </c>
      <c r="BV23" s="19">
        <f>+IF('Datos delta'!BE23&gt;0,REASIGN(0,'Datos Protegidos'!$I23,PARTIDOS!BF$11),0)</f>
        <v>0</v>
      </c>
      <c r="BW23" s="24">
        <v>0</v>
      </c>
      <c r="BX23" s="19">
        <f>+IF('Datos delta'!BG23&gt;0,REASIGN(0,'Datos Protegidos'!$I23,PARTIDOS!BH$11),0)</f>
        <v>0</v>
      </c>
      <c r="BY23" s="24">
        <v>0</v>
      </c>
      <c r="BZ23" s="19">
        <f>+IF('Datos delta'!BI23&gt;0,REASIGN(0,'Datos Protegidos'!$I23,PARTIDOS!BJ$11),0)</f>
        <v>0</v>
      </c>
      <c r="CA23" s="24">
        <v>0</v>
      </c>
      <c r="CB23" s="19">
        <f>+IF('Datos delta'!BK23&gt;0,REASIGN(0,'Datos Protegidos'!$I23,PARTIDOS!BL$11),0)</f>
        <v>0</v>
      </c>
      <c r="CC23" s="24">
        <v>0</v>
      </c>
      <c r="CD23" s="19">
        <f>+IF('Datos delta'!BM23&gt;0,REASIGN(0,'Datos Protegidos'!$I23,PARTIDOS!BN$11),0)</f>
        <v>0</v>
      </c>
      <c r="CE23" s="24">
        <v>0</v>
      </c>
      <c r="CF23" s="19">
        <f>+IF('Datos delta'!BO23&gt;0,REASIGN(0,'Datos Protegidos'!$I23,PARTIDOS!BP$11),0)</f>
        <v>0</v>
      </c>
      <c r="CG23" s="24">
        <v>0</v>
      </c>
      <c r="CH23" s="19">
        <f>+IF('Datos delta'!BQ23&gt;0,REASIGN(0,'Datos Protegidos'!$I23,PARTIDOS!BR$11),0)</f>
        <v>0</v>
      </c>
      <c r="CI23" s="24">
        <v>0</v>
      </c>
      <c r="CJ23" s="19">
        <f>+IF('Datos delta'!BS23&gt;0,REASIGN(0,'Datos Protegidos'!$I23,PARTIDOS!BT$11),0)</f>
        <v>0</v>
      </c>
      <c r="CK23" s="24">
        <v>0</v>
      </c>
      <c r="CL23" s="19">
        <f>+IF('Datos delta'!BU23&gt;0,REASIGN(0,'Datos Protegidos'!$I23,PARTIDOS!BV$11),0)</f>
        <v>0</v>
      </c>
      <c r="CM23" s="24">
        <v>0</v>
      </c>
      <c r="CN23" s="19">
        <f>+IF('Datos delta'!BW23&gt;0,REASIGN(0,'Datos Protegidos'!$I23,PARTIDOS!BX$11),0)</f>
        <v>0</v>
      </c>
      <c r="CO23" s="24">
        <v>0</v>
      </c>
      <c r="CP23" s="19">
        <f>+IF('Datos delta'!BY23&gt;0,REASIGN(0,'Datos Protegidos'!$I23,PARTIDOS!BZ$11),0)</f>
        <v>0</v>
      </c>
      <c r="CQ23" s="24">
        <v>0</v>
      </c>
      <c r="CR23" s="19">
        <f>+IF('Datos delta'!CA23&gt;0,REASIGN(0,'Datos Protegidos'!$I23,PARTIDOS!CB$11),0)</f>
        <v>0</v>
      </c>
      <c r="CS23" s="24">
        <v>0</v>
      </c>
      <c r="CT23" s="19">
        <f>+IF('Datos delta'!CC23&gt;0,REASIGN(0,'Datos Protegidos'!$I23,PARTIDOS!CD$11),0)</f>
        <v>0</v>
      </c>
      <c r="CU23" s="24">
        <v>0</v>
      </c>
      <c r="CV23" s="19">
        <f>+IF('Datos delta'!CE23&gt;0,REASIGN(0,'Datos Protegidos'!$I23,PARTIDOS!CF$11),0)</f>
        <v>0</v>
      </c>
      <c r="CW23" s="24">
        <v>0</v>
      </c>
      <c r="CX23" s="19">
        <f>+IF('Datos delta'!CG23&gt;0,REASIGN(0,'Datos Protegidos'!$I23,PARTIDOS!CH$11),0)</f>
        <v>0</v>
      </c>
      <c r="CY23" s="24">
        <v>0</v>
      </c>
      <c r="CZ23" s="19">
        <f>+IF('Datos delta'!CI23&gt;0,REASIGN(0,'Datos Protegidos'!$I23,PARTIDOS!CJ$11),0)</f>
        <v>0</v>
      </c>
      <c r="DA23" s="24">
        <v>0</v>
      </c>
      <c r="DB23" s="19">
        <f>+IF('Datos delta'!CK23&gt;0,REASIGN(0,'Datos Protegidos'!$I23,PARTIDOS!CL$11),0)</f>
        <v>0</v>
      </c>
      <c r="DC23" s="24">
        <v>0</v>
      </c>
      <c r="DD23" s="19">
        <f>+IF('Datos delta'!CM23&gt;0,REASIGN(0,'Datos Protegidos'!$I23,PARTIDOS!CN$11),0)</f>
        <v>0</v>
      </c>
      <c r="DE23" s="24">
        <v>0</v>
      </c>
      <c r="DF23" s="19">
        <f>+IF('Datos delta'!CO23&gt;0,REASIGN(0,'Datos Protegidos'!$I23,PARTIDOS!CP$11),0)</f>
        <v>0</v>
      </c>
      <c r="DG23" s="24">
        <v>0</v>
      </c>
      <c r="DH23" s="19">
        <f>+IF('Datos delta'!CQ23&gt;0,REASIGN(0,'Datos Protegidos'!$I23,PARTIDOS!CR$11),0)</f>
        <v>0</v>
      </c>
      <c r="DI23" s="24">
        <v>0</v>
      </c>
      <c r="DJ23" s="19">
        <f>+IF('Datos delta'!CS23&gt;0,REASIGN(0,'Datos Protegidos'!$I23,PARTIDOS!CT$11),0)</f>
        <v>0</v>
      </c>
      <c r="DK23" s="24">
        <v>0</v>
      </c>
      <c r="DL23" s="19">
        <f>+IF('Datos delta'!CU23&gt;0,REASIGN(0,'Datos Protegidos'!$I23,PARTIDOS!CV$11),0)</f>
        <v>0</v>
      </c>
      <c r="DM23" s="24">
        <v>0</v>
      </c>
      <c r="DN23" s="19">
        <f>+IF('Datos delta'!CW23&gt;0,REASIGN(0,'Datos Protegidos'!$I23,PARTIDOS!CX$11),0)</f>
        <v>0</v>
      </c>
      <c r="DO23" s="24">
        <v>0</v>
      </c>
      <c r="DP23" s="19">
        <f>+IF('Datos delta'!CY23&gt;0,REASIGN(0,'Datos Protegidos'!$I23,PARTIDOS!CZ$11),0)</f>
        <v>0</v>
      </c>
      <c r="DQ23" s="24">
        <v>0</v>
      </c>
      <c r="DR23" s="19">
        <f>+IF('Datos delta'!DA23&gt;0,REASIGN(0,'Datos Protegidos'!$I23,PARTIDOS!DB$11),0)</f>
        <v>0</v>
      </c>
      <c r="DS23" s="24">
        <v>0</v>
      </c>
      <c r="DT23" s="19">
        <f>+IF('Datos delta'!DC23&gt;0,REASIGN(0,'Datos Protegidos'!$I23,PARTIDOS!DD$11),0)</f>
        <v>0</v>
      </c>
      <c r="DU23" s="24">
        <v>0</v>
      </c>
      <c r="DV23" s="19">
        <f>+IF('Datos delta'!DE23&gt;0,REASIGN(0,'Datos Protegidos'!$I23,PARTIDOS!DF$11),0)</f>
        <v>0</v>
      </c>
      <c r="DW23" s="24">
        <v>0</v>
      </c>
      <c r="DX23" s="19">
        <f>+IF('Datos delta'!DG23&gt;0,REASIGN(0,'Datos Protegidos'!$I23,PARTIDOS!DH$11),0)</f>
        <v>0</v>
      </c>
      <c r="DY23" s="24">
        <v>0</v>
      </c>
      <c r="DZ23" s="19">
        <f>+IF('Datos delta'!DI23&gt;0,REASIGN(0,'Datos Protegidos'!$I23,PARTIDOS!DJ$11),0)</f>
        <v>0</v>
      </c>
      <c r="EA23" s="24">
        <v>0</v>
      </c>
      <c r="EB23" s="19">
        <f>+IF('Datos delta'!DK23&gt;0,REASIGN(0,'Datos Protegidos'!$I23,PARTIDOS!DL$11),0)</f>
        <v>0</v>
      </c>
      <c r="EC23" s="24">
        <v>0</v>
      </c>
      <c r="ED23" s="19">
        <f>+IF('Datos delta'!DM23&gt;0,REASIGN(0,'Datos Protegidos'!$I23,PARTIDOS!DN$11),0)</f>
        <v>0</v>
      </c>
      <c r="EE23" s="24">
        <v>0</v>
      </c>
      <c r="EF23" s="19">
        <f>+IF('Datos delta'!DO23&gt;0,REASIGN(0,'Datos Protegidos'!$I23,PARTIDOS!DP$11),0)</f>
        <v>0</v>
      </c>
      <c r="EG23" s="24">
        <v>0</v>
      </c>
      <c r="EH23" s="19">
        <f>+IF('Datos delta'!DQ23&gt;0,REASIGN(0,'Datos Protegidos'!$I23,PARTIDOS!DR$11),0)</f>
        <v>0</v>
      </c>
      <c r="EI23" s="24">
        <v>0</v>
      </c>
      <c r="EJ23" s="19">
        <f>+IF('Datos delta'!DS23&gt;0,REASIGN(0,'Datos Protegidos'!$I23,PARTIDOS!DT$11),0)</f>
        <v>0</v>
      </c>
      <c r="EK23" s="24">
        <v>0</v>
      </c>
      <c r="EL23" s="19">
        <f>+IF('Datos delta'!DU23&gt;0,REASIGN(0,'Datos Protegidos'!$I23,PARTIDOS!DV$11),0)</f>
        <v>0</v>
      </c>
      <c r="EM23" s="24">
        <v>0</v>
      </c>
      <c r="EN23" s="19">
        <f>+IF('Datos delta'!DW23&gt;0,REASIGN(0,'Datos Protegidos'!$I23,PARTIDOS!DX$11),0)</f>
        <v>0</v>
      </c>
      <c r="EO23" s="24">
        <v>0</v>
      </c>
      <c r="EP23" s="19">
        <f>+IF('Datos delta'!DY23&gt;0,REASIGN(0,'Datos Protegidos'!$I23,PARTIDOS!DZ$11),0)</f>
        <v>0</v>
      </c>
      <c r="EQ23" s="24">
        <v>0</v>
      </c>
      <c r="ER23" s="19">
        <f>+IF('Datos delta'!EA23&gt;0,REASIGN(0,'Datos Protegidos'!$I23,PARTIDOS!EB$11),0)</f>
        <v>0</v>
      </c>
      <c r="ES23" s="24">
        <v>0</v>
      </c>
      <c r="ET23" s="19">
        <f>+IF('Datos delta'!EC23&gt;0,REASIGN(0,'Datos Protegidos'!$I23,PARTIDOS!ED$11),0)</f>
        <v>0</v>
      </c>
      <c r="EU23" s="24">
        <v>0</v>
      </c>
    </row>
    <row r="24" spans="1:151" x14ac:dyDescent="0.25">
      <c r="A24" s="24" t="s">
        <v>43</v>
      </c>
      <c r="B24" s="25">
        <v>9</v>
      </c>
      <c r="C24" s="24" t="s">
        <v>45</v>
      </c>
      <c r="D24" s="24">
        <v>357070</v>
      </c>
      <c r="E24" s="26">
        <v>733</v>
      </c>
      <c r="F24" s="26">
        <v>281066</v>
      </c>
      <c r="G24" s="26">
        <v>17923</v>
      </c>
      <c r="H24" s="26">
        <v>298989</v>
      </c>
      <c r="I24" s="1">
        <v>2019</v>
      </c>
      <c r="J24" s="19">
        <f>+INT(([1]Hoja1!M24/[1]Hoja1!O24)*M24)</f>
        <v>198971</v>
      </c>
      <c r="K24" s="19">
        <f>+INT(([1]Hoja1!N24/[1]Hoja1!O24)*M24)</f>
        <v>196345</v>
      </c>
      <c r="L24" s="19">
        <f t="shared" si="1"/>
        <v>5319</v>
      </c>
      <c r="M24" s="19">
        <f t="shared" si="2"/>
        <v>2626</v>
      </c>
      <c r="N24" s="22">
        <f t="shared" si="0"/>
        <v>0</v>
      </c>
      <c r="O24" s="26">
        <v>2626</v>
      </c>
      <c r="P24" s="26">
        <v>2693</v>
      </c>
      <c r="Q24" s="22">
        <f t="shared" si="3"/>
        <v>4</v>
      </c>
      <c r="R24" s="19">
        <f>+IF('Datos delta'!A24&gt;0,REASIGN(0,'Datos Protegidos'!$I24,PARTIDOS!B$11),0)</f>
        <v>0</v>
      </c>
      <c r="S24" s="24">
        <v>2</v>
      </c>
      <c r="T24" s="19">
        <f>+IF('Datos delta'!C24&gt;0,REASIGN(0,'Datos Protegidos'!$I24,PARTIDOS!D$11),0)</f>
        <v>0</v>
      </c>
      <c r="U24" s="24">
        <v>2</v>
      </c>
      <c r="V24" s="19">
        <f>+IF('Datos delta'!E24&gt;0,REASIGN(0,'Datos Protegidos'!$I24,PARTIDOS!F$11),0)</f>
        <v>0</v>
      </c>
      <c r="W24" s="24">
        <v>0</v>
      </c>
      <c r="X24" s="19">
        <f>+IF('Datos delta'!G24&gt;0,REASIGN(0,'Datos Protegidos'!$I24,PARTIDOS!H$11),0)</f>
        <v>0</v>
      </c>
      <c r="Y24" s="24">
        <v>0</v>
      </c>
      <c r="Z24" s="19">
        <f>+IF('Datos delta'!I24&gt;0,REASIGN(0,'Datos Protegidos'!$I24,PARTIDOS!J$11),0)</f>
        <v>0</v>
      </c>
      <c r="AA24" s="24">
        <v>0</v>
      </c>
      <c r="AB24" s="19">
        <f>+IF('Datos delta'!K24&gt;0,REASIGN(0,'Datos Protegidos'!$I24,PARTIDOS!L$11),0)</f>
        <v>0</v>
      </c>
      <c r="AC24" s="24">
        <v>0</v>
      </c>
      <c r="AD24" s="19">
        <f>+IF('Datos delta'!M24&gt;0,REASIGN(0,'Datos Protegidos'!$I24,PARTIDOS!N$11),0)</f>
        <v>0</v>
      </c>
      <c r="AE24" s="24">
        <v>0</v>
      </c>
      <c r="AF24" s="19">
        <f>+IF('Datos delta'!O24&gt;0,REASIGN(0,'Datos Protegidos'!$I24,PARTIDOS!P$11),0)</f>
        <v>0</v>
      </c>
      <c r="AG24" s="24">
        <v>0</v>
      </c>
      <c r="AH24" s="19">
        <f>+IF('Datos delta'!Q24&gt;0,REASIGN(0,'Datos Protegidos'!$I24,PARTIDOS!R$11),0)</f>
        <v>0</v>
      </c>
      <c r="AI24" s="24">
        <v>0</v>
      </c>
      <c r="AJ24" s="19">
        <f>+IF('Datos delta'!S24&gt;0,REASIGN(0,'Datos Protegidos'!$I24,PARTIDOS!T$11),0)</f>
        <v>0</v>
      </c>
      <c r="AK24" s="24">
        <v>0</v>
      </c>
      <c r="AL24" s="19">
        <f>+IF('Datos delta'!U24&gt;0,REASIGN(0,'Datos Protegidos'!$I24,PARTIDOS!V$11),0)</f>
        <v>0</v>
      </c>
      <c r="AM24" s="24">
        <v>0</v>
      </c>
      <c r="AN24" s="19">
        <f>+IF('Datos delta'!W24&gt;0,REASIGN(0,'Datos Protegidos'!$I24,PARTIDOS!X$11),0)</f>
        <v>0</v>
      </c>
      <c r="AO24" s="24">
        <v>0</v>
      </c>
      <c r="AP24" s="19">
        <f>+IF('Datos delta'!Y24&gt;0,REASIGN(0,'Datos Protegidos'!$I24,PARTIDOS!Z$11),0)</f>
        <v>0</v>
      </c>
      <c r="AQ24" s="24">
        <v>0</v>
      </c>
      <c r="AR24" s="19">
        <f>+IF('Datos delta'!AA24&gt;0,REASIGN(0,'Datos Protegidos'!$I24,PARTIDOS!AB$11),0)</f>
        <v>0</v>
      </c>
      <c r="AS24" s="24">
        <v>0</v>
      </c>
      <c r="AT24" s="19">
        <f>+IF('Datos delta'!AC24&gt;0,REASIGN(0,'Datos Protegidos'!$I24,PARTIDOS!AD$11),0)</f>
        <v>0</v>
      </c>
      <c r="AU24" s="24">
        <v>0</v>
      </c>
      <c r="AV24" s="19">
        <f>+IF('Datos delta'!AE24&gt;0,REASIGN(0,'Datos Protegidos'!$I24,PARTIDOS!AF$11),0)</f>
        <v>0</v>
      </c>
      <c r="AW24" s="24">
        <v>0</v>
      </c>
      <c r="AX24" s="19">
        <f>+IF('Datos delta'!AG24&gt;0,REASIGN(0,'Datos Protegidos'!$I24,PARTIDOS!AH$11),0)</f>
        <v>0</v>
      </c>
      <c r="AY24" s="24">
        <v>0</v>
      </c>
      <c r="AZ24" s="19">
        <f>+IF('Datos delta'!AI24&gt;0,REASIGN(0,'Datos Protegidos'!$I24,PARTIDOS!AJ$11),0)</f>
        <v>0</v>
      </c>
      <c r="BA24" s="24">
        <v>0</v>
      </c>
      <c r="BB24" s="19">
        <f>+IF('Datos delta'!AK24&gt;0,REASIGN(0,'Datos Protegidos'!$I24,PARTIDOS!AL$11),0)</f>
        <v>0</v>
      </c>
      <c r="BC24" s="24">
        <v>0</v>
      </c>
      <c r="BD24" s="19">
        <f>+IF('Datos delta'!AM24&gt;0,REASIGN(0,'Datos Protegidos'!$I24,PARTIDOS!AN$11),0)</f>
        <v>0</v>
      </c>
      <c r="BE24" s="24">
        <v>0</v>
      </c>
      <c r="BF24" s="19">
        <f>+IF('Datos delta'!AO24&gt;0,REASIGN(0,'Datos Protegidos'!$I24,PARTIDOS!AP$11),0)</f>
        <v>0</v>
      </c>
      <c r="BG24" s="24">
        <v>0</v>
      </c>
      <c r="BH24" s="19">
        <f>+IF('Datos delta'!AQ24&gt;0,REASIGN(0,'Datos Protegidos'!$I24,PARTIDOS!AR$11),0)</f>
        <v>0</v>
      </c>
      <c r="BI24" s="24">
        <v>0</v>
      </c>
      <c r="BJ24" s="19">
        <f>+IF('Datos delta'!AS24&gt;0,REASIGN(0,'Datos Protegidos'!$I24,PARTIDOS!AT$11),0)</f>
        <v>0</v>
      </c>
      <c r="BK24" s="24">
        <v>0</v>
      </c>
      <c r="BL24" s="19">
        <f>+IF('Datos delta'!AU24&gt;0,REASIGN(0,'Datos Protegidos'!$I24,PARTIDOS!AV$11),0)</f>
        <v>0</v>
      </c>
      <c r="BM24" s="24">
        <v>0</v>
      </c>
      <c r="BN24" s="19">
        <f>+IF('Datos delta'!AW24&gt;0,REASIGN(0,'Datos Protegidos'!$I24,PARTIDOS!AX$11),0)</f>
        <v>0</v>
      </c>
      <c r="BO24" s="24">
        <v>0</v>
      </c>
      <c r="BP24" s="19">
        <f>+IF('Datos delta'!AY24&gt;0,REASIGN(0,'Datos Protegidos'!$I24,PARTIDOS!AZ$11),0)</f>
        <v>0</v>
      </c>
      <c r="BQ24" s="24">
        <v>0</v>
      </c>
      <c r="BR24" s="19">
        <f>+IF('Datos delta'!BA24&gt;0,REASIGN(0,'Datos Protegidos'!$I24,PARTIDOS!BB$11),0)</f>
        <v>0</v>
      </c>
      <c r="BS24" s="24">
        <v>0</v>
      </c>
      <c r="BT24" s="19">
        <f>+IF('Datos delta'!BC24&gt;0,REASIGN(0,'Datos Protegidos'!$I24,PARTIDOS!BD$11),0)</f>
        <v>0</v>
      </c>
      <c r="BU24" s="24">
        <v>0</v>
      </c>
      <c r="BV24" s="19">
        <f>+IF('Datos delta'!BE24&gt;0,REASIGN(0,'Datos Protegidos'!$I24,PARTIDOS!BF$11),0)</f>
        <v>0</v>
      </c>
      <c r="BW24" s="24">
        <v>0</v>
      </c>
      <c r="BX24" s="19">
        <f>+IF('Datos delta'!BG24&gt;0,REASIGN(0,'Datos Protegidos'!$I24,PARTIDOS!BH$11),0)</f>
        <v>0</v>
      </c>
      <c r="BY24" s="24">
        <v>0</v>
      </c>
      <c r="BZ24" s="19">
        <f>+IF('Datos delta'!BI24&gt;0,REASIGN(0,'Datos Protegidos'!$I24,PARTIDOS!BJ$11),0)</f>
        <v>0</v>
      </c>
      <c r="CA24" s="24">
        <v>0</v>
      </c>
      <c r="CB24" s="19">
        <f>+IF('Datos delta'!BK24&gt;0,REASIGN(0,'Datos Protegidos'!$I24,PARTIDOS!BL$11),0)</f>
        <v>0</v>
      </c>
      <c r="CC24" s="24">
        <v>0</v>
      </c>
      <c r="CD24" s="19">
        <f>+IF('Datos delta'!BM24&gt;0,REASIGN(0,'Datos Protegidos'!$I24,PARTIDOS!BN$11),0)</f>
        <v>0</v>
      </c>
      <c r="CE24" s="24">
        <v>0</v>
      </c>
      <c r="CF24" s="19">
        <f>+IF('Datos delta'!BO24&gt;0,REASIGN(0,'Datos Protegidos'!$I24,PARTIDOS!BP$11),0)</f>
        <v>0</v>
      </c>
      <c r="CG24" s="24">
        <v>0</v>
      </c>
      <c r="CH24" s="19">
        <f>+IF('Datos delta'!BQ24&gt;0,REASIGN(0,'Datos Protegidos'!$I24,PARTIDOS!BR$11),0)</f>
        <v>0</v>
      </c>
      <c r="CI24" s="24">
        <v>0</v>
      </c>
      <c r="CJ24" s="19">
        <f>+IF('Datos delta'!BS24&gt;0,REASIGN(0,'Datos Protegidos'!$I24,PARTIDOS!BT$11),0)</f>
        <v>0</v>
      </c>
      <c r="CK24" s="24">
        <v>0</v>
      </c>
      <c r="CL24" s="19">
        <f>+IF('Datos delta'!BU24&gt;0,REASIGN(0,'Datos Protegidos'!$I24,PARTIDOS!BV$11),0)</f>
        <v>0</v>
      </c>
      <c r="CM24" s="24">
        <v>0</v>
      </c>
      <c r="CN24" s="19">
        <f>+IF('Datos delta'!BW24&gt;0,REASIGN(0,'Datos Protegidos'!$I24,PARTIDOS!BX$11),0)</f>
        <v>0</v>
      </c>
      <c r="CO24" s="24">
        <v>0</v>
      </c>
      <c r="CP24" s="19">
        <f>+IF('Datos delta'!BY24&gt;0,REASIGN(0,'Datos Protegidos'!$I24,PARTIDOS!BZ$11),0)</f>
        <v>0</v>
      </c>
      <c r="CQ24" s="24">
        <v>0</v>
      </c>
      <c r="CR24" s="19">
        <f>+IF('Datos delta'!CA24&gt;0,REASIGN(0,'Datos Protegidos'!$I24,PARTIDOS!CB$11),0)</f>
        <v>0</v>
      </c>
      <c r="CS24" s="24">
        <v>0</v>
      </c>
      <c r="CT24" s="19">
        <f>+IF('Datos delta'!CC24&gt;0,REASIGN(0,'Datos Protegidos'!$I24,PARTIDOS!CD$11),0)</f>
        <v>0</v>
      </c>
      <c r="CU24" s="24">
        <v>0</v>
      </c>
      <c r="CV24" s="19">
        <f>+IF('Datos delta'!CE24&gt;0,REASIGN(0,'Datos Protegidos'!$I24,PARTIDOS!CF$11),0)</f>
        <v>0</v>
      </c>
      <c r="CW24" s="24">
        <v>0</v>
      </c>
      <c r="CX24" s="19">
        <f>+IF('Datos delta'!CG24&gt;0,REASIGN(0,'Datos Protegidos'!$I24,PARTIDOS!CH$11),0)</f>
        <v>0</v>
      </c>
      <c r="CY24" s="24">
        <v>0</v>
      </c>
      <c r="CZ24" s="19">
        <f>+IF('Datos delta'!CI24&gt;0,REASIGN(0,'Datos Protegidos'!$I24,PARTIDOS!CJ$11),0)</f>
        <v>0</v>
      </c>
      <c r="DA24" s="24">
        <v>0</v>
      </c>
      <c r="DB24" s="19">
        <f>+IF('Datos delta'!CK24&gt;0,REASIGN(0,'Datos Protegidos'!$I24,PARTIDOS!CL$11),0)</f>
        <v>0</v>
      </c>
      <c r="DC24" s="24">
        <v>0</v>
      </c>
      <c r="DD24" s="19">
        <f>+IF('Datos delta'!CM24&gt;0,REASIGN(0,'Datos Protegidos'!$I24,PARTIDOS!CN$11),0)</f>
        <v>0</v>
      </c>
      <c r="DE24" s="24">
        <v>0</v>
      </c>
      <c r="DF24" s="19">
        <f>+IF('Datos delta'!CO24&gt;0,REASIGN(0,'Datos Protegidos'!$I24,PARTIDOS!CP$11),0)</f>
        <v>0</v>
      </c>
      <c r="DG24" s="24">
        <v>0</v>
      </c>
      <c r="DH24" s="19">
        <f>+IF('Datos delta'!CQ24&gt;0,REASIGN(0,'Datos Protegidos'!$I24,PARTIDOS!CR$11),0)</f>
        <v>0</v>
      </c>
      <c r="DI24" s="24">
        <v>0</v>
      </c>
      <c r="DJ24" s="19">
        <f>+IF('Datos delta'!CS24&gt;0,REASIGN(0,'Datos Protegidos'!$I24,PARTIDOS!CT$11),0)</f>
        <v>0</v>
      </c>
      <c r="DK24" s="24">
        <v>0</v>
      </c>
      <c r="DL24" s="19">
        <f>+IF('Datos delta'!CU24&gt;0,REASIGN(0,'Datos Protegidos'!$I24,PARTIDOS!CV$11),0)</f>
        <v>0</v>
      </c>
      <c r="DM24" s="24">
        <v>0</v>
      </c>
      <c r="DN24" s="19">
        <f>+IF('Datos delta'!CW24&gt;0,REASIGN(0,'Datos Protegidos'!$I24,PARTIDOS!CX$11),0)</f>
        <v>0</v>
      </c>
      <c r="DO24" s="24">
        <v>0</v>
      </c>
      <c r="DP24" s="19">
        <f>+IF('Datos delta'!CY24&gt;0,REASIGN(0,'Datos Protegidos'!$I24,PARTIDOS!CZ$11),0)</f>
        <v>0</v>
      </c>
      <c r="DQ24" s="24">
        <v>0</v>
      </c>
      <c r="DR24" s="19">
        <f>+IF('Datos delta'!DA24&gt;0,REASIGN(0,'Datos Protegidos'!$I24,PARTIDOS!DB$11),0)</f>
        <v>0</v>
      </c>
      <c r="DS24" s="24">
        <v>0</v>
      </c>
      <c r="DT24" s="19">
        <f>+IF('Datos delta'!DC24&gt;0,REASIGN(0,'Datos Protegidos'!$I24,PARTIDOS!DD$11),0)</f>
        <v>0</v>
      </c>
      <c r="DU24" s="24">
        <v>0</v>
      </c>
      <c r="DV24" s="19">
        <f>+IF('Datos delta'!DE24&gt;0,REASIGN(0,'Datos Protegidos'!$I24,PARTIDOS!DF$11),0)</f>
        <v>0</v>
      </c>
      <c r="DW24" s="24">
        <v>0</v>
      </c>
      <c r="DX24" s="19">
        <f>+IF('Datos delta'!DG24&gt;0,REASIGN(0,'Datos Protegidos'!$I24,PARTIDOS!DH$11),0)</f>
        <v>0</v>
      </c>
      <c r="DY24" s="24">
        <v>0</v>
      </c>
      <c r="DZ24" s="19">
        <f>+IF('Datos delta'!DI24&gt;0,REASIGN(0,'Datos Protegidos'!$I24,PARTIDOS!DJ$11),0)</f>
        <v>0</v>
      </c>
      <c r="EA24" s="24">
        <v>0</v>
      </c>
      <c r="EB24" s="19">
        <f>+IF('Datos delta'!DK24&gt;0,REASIGN(0,'Datos Protegidos'!$I24,PARTIDOS!DL$11),0)</f>
        <v>0</v>
      </c>
      <c r="EC24" s="24">
        <v>0</v>
      </c>
      <c r="ED24" s="19">
        <f>+IF('Datos delta'!DM24&gt;0,REASIGN(0,'Datos Protegidos'!$I24,PARTIDOS!DN$11),0)</f>
        <v>0</v>
      </c>
      <c r="EE24" s="24">
        <v>0</v>
      </c>
      <c r="EF24" s="19">
        <f>+IF('Datos delta'!DO24&gt;0,REASIGN(0,'Datos Protegidos'!$I24,PARTIDOS!DP$11),0)</f>
        <v>0</v>
      </c>
      <c r="EG24" s="24">
        <v>0</v>
      </c>
      <c r="EH24" s="19">
        <f>+IF('Datos delta'!DQ24&gt;0,REASIGN(0,'Datos Protegidos'!$I24,PARTIDOS!DR$11),0)</f>
        <v>0</v>
      </c>
      <c r="EI24" s="24">
        <v>0</v>
      </c>
      <c r="EJ24" s="19">
        <f>+IF('Datos delta'!DS24&gt;0,REASIGN(0,'Datos Protegidos'!$I24,PARTIDOS!DT$11),0)</f>
        <v>0</v>
      </c>
      <c r="EK24" s="24">
        <v>0</v>
      </c>
      <c r="EL24" s="19">
        <f>+IF('Datos delta'!DU24&gt;0,REASIGN(0,'Datos Protegidos'!$I24,PARTIDOS!DV$11),0)</f>
        <v>0</v>
      </c>
      <c r="EM24" s="24">
        <v>0</v>
      </c>
      <c r="EN24" s="19">
        <f>+IF('Datos delta'!DW24&gt;0,REASIGN(0,'Datos Protegidos'!$I24,PARTIDOS!DX$11),0)</f>
        <v>0</v>
      </c>
      <c r="EO24" s="24">
        <v>0</v>
      </c>
      <c r="EP24" s="19">
        <f>+IF('Datos delta'!DY24&gt;0,REASIGN(0,'Datos Protegidos'!$I24,PARTIDOS!DZ$11),0)</f>
        <v>0</v>
      </c>
      <c r="EQ24" s="24">
        <v>0</v>
      </c>
      <c r="ER24" s="19">
        <f>+IF('Datos delta'!EA24&gt;0,REASIGN(0,'Datos Protegidos'!$I24,PARTIDOS!EB$11),0)</f>
        <v>0</v>
      </c>
      <c r="ES24" s="24">
        <v>0</v>
      </c>
      <c r="ET24" s="19">
        <f>+IF('Datos delta'!EC24&gt;0,REASIGN(0,'Datos Protegidos'!$I24,PARTIDOS!ED$11),0)</f>
        <v>0</v>
      </c>
      <c r="EU24" s="24">
        <v>0</v>
      </c>
    </row>
    <row r="25" spans="1:151" x14ac:dyDescent="0.25">
      <c r="A25" s="24" t="s">
        <v>43</v>
      </c>
      <c r="B25" s="25">
        <v>24</v>
      </c>
      <c r="C25" s="24" t="s">
        <v>46</v>
      </c>
      <c r="D25" s="24">
        <v>463746</v>
      </c>
      <c r="E25" s="26">
        <v>729</v>
      </c>
      <c r="F25" s="26">
        <v>384892</v>
      </c>
      <c r="G25" s="26">
        <v>47181</v>
      </c>
      <c r="H25" s="26">
        <v>432073</v>
      </c>
      <c r="I25" s="1">
        <v>4232</v>
      </c>
      <c r="J25" s="19">
        <f>+INT(([1]Hoja1!M25/[1]Hoja1!O25)*M25)</f>
        <v>262679</v>
      </c>
      <c r="K25" s="19">
        <f>+INT(([1]Hoja1!N25/[1]Hoja1!O25)*M25)</f>
        <v>259969</v>
      </c>
      <c r="L25" s="19">
        <f t="shared" si="1"/>
        <v>5742</v>
      </c>
      <c r="M25" s="19">
        <f t="shared" si="2"/>
        <v>2710</v>
      </c>
      <c r="N25" s="22">
        <f t="shared" si="0"/>
        <v>0</v>
      </c>
      <c r="O25" s="26">
        <v>2710</v>
      </c>
      <c r="P25" s="26">
        <v>3032</v>
      </c>
      <c r="Q25" s="22">
        <f t="shared" si="3"/>
        <v>4</v>
      </c>
      <c r="R25" s="19">
        <f>+IF('Datos delta'!A25&gt;0,REASIGN(0,'Datos Protegidos'!$I25,PARTIDOS!B$11),0)</f>
        <v>0</v>
      </c>
      <c r="S25" s="24">
        <v>2</v>
      </c>
      <c r="T25" s="19">
        <f>+IF('Datos delta'!C25&gt;0,REASIGN(0,'Datos Protegidos'!$I25,PARTIDOS!D$11),0)</f>
        <v>0</v>
      </c>
      <c r="U25" s="24">
        <v>1</v>
      </c>
      <c r="V25" s="19">
        <f>+IF('Datos delta'!E25&gt;0,REASIGN(0,'Datos Protegidos'!$I25,PARTIDOS!F$11),0)</f>
        <v>0</v>
      </c>
      <c r="W25" s="24">
        <v>1</v>
      </c>
      <c r="X25" s="19">
        <f>+IF('Datos delta'!G25&gt;0,REASIGN(0,'Datos Protegidos'!$I25,PARTIDOS!H$11),0)</f>
        <v>0</v>
      </c>
      <c r="Y25" s="24">
        <v>0</v>
      </c>
      <c r="Z25" s="19">
        <f>+IF('Datos delta'!I25&gt;0,REASIGN(0,'Datos Protegidos'!$I25,PARTIDOS!J$11),0)</f>
        <v>0</v>
      </c>
      <c r="AA25" s="24">
        <v>0</v>
      </c>
      <c r="AB25" s="19">
        <f>+IF('Datos delta'!K25&gt;0,REASIGN(0,'Datos Protegidos'!$I25,PARTIDOS!L$11),0)</f>
        <v>0</v>
      </c>
      <c r="AC25" s="24">
        <v>0</v>
      </c>
      <c r="AD25" s="19">
        <f>+IF('Datos delta'!M25&gt;0,REASIGN(0,'Datos Protegidos'!$I25,PARTIDOS!N$11),0)</f>
        <v>0</v>
      </c>
      <c r="AE25" s="24">
        <v>0</v>
      </c>
      <c r="AF25" s="19">
        <f>+IF('Datos delta'!O25&gt;0,REASIGN(0,'Datos Protegidos'!$I25,PARTIDOS!P$11),0)</f>
        <v>0</v>
      </c>
      <c r="AG25" s="24">
        <v>0</v>
      </c>
      <c r="AH25" s="19">
        <f>+IF('Datos delta'!Q25&gt;0,REASIGN(0,'Datos Protegidos'!$I25,PARTIDOS!R$11),0)</f>
        <v>0</v>
      </c>
      <c r="AI25" s="24">
        <v>0</v>
      </c>
      <c r="AJ25" s="19">
        <f>+IF('Datos delta'!S25&gt;0,REASIGN(0,'Datos Protegidos'!$I25,PARTIDOS!T$11),0)</f>
        <v>0</v>
      </c>
      <c r="AK25" s="24">
        <v>0</v>
      </c>
      <c r="AL25" s="19">
        <f>+IF('Datos delta'!U25&gt;0,REASIGN(0,'Datos Protegidos'!$I25,PARTIDOS!V$11),0)</f>
        <v>0</v>
      </c>
      <c r="AM25" s="24">
        <v>0</v>
      </c>
      <c r="AN25" s="19">
        <f>+IF('Datos delta'!W25&gt;0,REASIGN(0,'Datos Protegidos'!$I25,PARTIDOS!X$11),0)</f>
        <v>0</v>
      </c>
      <c r="AO25" s="24">
        <v>0</v>
      </c>
      <c r="AP25" s="19">
        <f>+IF('Datos delta'!Y25&gt;0,REASIGN(0,'Datos Protegidos'!$I25,PARTIDOS!Z$11),0)</f>
        <v>0</v>
      </c>
      <c r="AQ25" s="24">
        <v>0</v>
      </c>
      <c r="AR25" s="19">
        <f>+IF('Datos delta'!AA25&gt;0,REASIGN(0,'Datos Protegidos'!$I25,PARTIDOS!AB$11),0)</f>
        <v>0</v>
      </c>
      <c r="AS25" s="24">
        <v>0</v>
      </c>
      <c r="AT25" s="19">
        <f>+IF('Datos delta'!AC25&gt;0,REASIGN(0,'Datos Protegidos'!$I25,PARTIDOS!AD$11),0)</f>
        <v>0</v>
      </c>
      <c r="AU25" s="24">
        <v>0</v>
      </c>
      <c r="AV25" s="19">
        <f>+IF('Datos delta'!AE25&gt;0,REASIGN(0,'Datos Protegidos'!$I25,PARTIDOS!AF$11),0)</f>
        <v>0</v>
      </c>
      <c r="AW25" s="24">
        <v>0</v>
      </c>
      <c r="AX25" s="19">
        <f>+IF('Datos delta'!AG25&gt;0,REASIGN(0,'Datos Protegidos'!$I25,PARTIDOS!AH$11),0)</f>
        <v>0</v>
      </c>
      <c r="AY25" s="24">
        <v>0</v>
      </c>
      <c r="AZ25" s="19">
        <f>+IF('Datos delta'!AI25&gt;0,REASIGN(0,'Datos Protegidos'!$I25,PARTIDOS!AJ$11),0)</f>
        <v>0</v>
      </c>
      <c r="BA25" s="24">
        <v>0</v>
      </c>
      <c r="BB25" s="19">
        <f>+IF('Datos delta'!AK25&gt;0,REASIGN(0,'Datos Protegidos'!$I25,PARTIDOS!AL$11),0)</f>
        <v>0</v>
      </c>
      <c r="BC25" s="24">
        <v>0</v>
      </c>
      <c r="BD25" s="19">
        <f>+IF('Datos delta'!AM25&gt;0,REASIGN(0,'Datos Protegidos'!$I25,PARTIDOS!AN$11),0)</f>
        <v>0</v>
      </c>
      <c r="BE25" s="24">
        <v>0</v>
      </c>
      <c r="BF25" s="19">
        <f>+IF('Datos delta'!AO25&gt;0,REASIGN(0,'Datos Protegidos'!$I25,PARTIDOS!AP$11),0)</f>
        <v>0</v>
      </c>
      <c r="BG25" s="24">
        <v>0</v>
      </c>
      <c r="BH25" s="19">
        <f>+IF('Datos delta'!AQ25&gt;0,REASIGN(0,'Datos Protegidos'!$I25,PARTIDOS!AR$11),0)</f>
        <v>0</v>
      </c>
      <c r="BI25" s="24">
        <v>0</v>
      </c>
      <c r="BJ25" s="19">
        <f>+IF('Datos delta'!AS25&gt;0,REASIGN(0,'Datos Protegidos'!$I25,PARTIDOS!AT$11),0)</f>
        <v>0</v>
      </c>
      <c r="BK25" s="24">
        <v>0</v>
      </c>
      <c r="BL25" s="19">
        <f>+IF('Datos delta'!AU25&gt;0,REASIGN(0,'Datos Protegidos'!$I25,PARTIDOS!AV$11),0)</f>
        <v>0</v>
      </c>
      <c r="BM25" s="24">
        <v>0</v>
      </c>
      <c r="BN25" s="19">
        <f>+IF('Datos delta'!AW25&gt;0,REASIGN(0,'Datos Protegidos'!$I25,PARTIDOS!AX$11),0)</f>
        <v>0</v>
      </c>
      <c r="BO25" s="24">
        <v>0</v>
      </c>
      <c r="BP25" s="19">
        <f>+IF('Datos delta'!AY25&gt;0,REASIGN(0,'Datos Protegidos'!$I25,PARTIDOS!AZ$11),0)</f>
        <v>0</v>
      </c>
      <c r="BQ25" s="24">
        <v>0</v>
      </c>
      <c r="BR25" s="19">
        <f>+IF('Datos delta'!BA25&gt;0,REASIGN(0,'Datos Protegidos'!$I25,PARTIDOS!BB$11),0)</f>
        <v>0</v>
      </c>
      <c r="BS25" s="24">
        <v>0</v>
      </c>
      <c r="BT25" s="19">
        <f>+IF('Datos delta'!BC25&gt;0,REASIGN(0,'Datos Protegidos'!$I25,PARTIDOS!BD$11),0)</f>
        <v>0</v>
      </c>
      <c r="BU25" s="24">
        <v>0</v>
      </c>
      <c r="BV25" s="19">
        <f>+IF('Datos delta'!BE25&gt;0,REASIGN(0,'Datos Protegidos'!$I25,PARTIDOS!BF$11),0)</f>
        <v>0</v>
      </c>
      <c r="BW25" s="24">
        <v>0</v>
      </c>
      <c r="BX25" s="19">
        <f>+IF('Datos delta'!BG25&gt;0,REASIGN(0,'Datos Protegidos'!$I25,PARTIDOS!BH$11),0)</f>
        <v>0</v>
      </c>
      <c r="BY25" s="24">
        <v>0</v>
      </c>
      <c r="BZ25" s="19">
        <f>+IF('Datos delta'!BI25&gt;0,REASIGN(0,'Datos Protegidos'!$I25,PARTIDOS!BJ$11),0)</f>
        <v>0</v>
      </c>
      <c r="CA25" s="24">
        <v>0</v>
      </c>
      <c r="CB25" s="19">
        <f>+IF('Datos delta'!BK25&gt;0,REASIGN(0,'Datos Protegidos'!$I25,PARTIDOS!BL$11),0)</f>
        <v>0</v>
      </c>
      <c r="CC25" s="24">
        <v>0</v>
      </c>
      <c r="CD25" s="19">
        <f>+IF('Datos delta'!BM25&gt;0,REASIGN(0,'Datos Protegidos'!$I25,PARTIDOS!BN$11),0)</f>
        <v>0</v>
      </c>
      <c r="CE25" s="24">
        <v>0</v>
      </c>
      <c r="CF25" s="19">
        <f>+IF('Datos delta'!BO25&gt;0,REASIGN(0,'Datos Protegidos'!$I25,PARTIDOS!BP$11),0)</f>
        <v>0</v>
      </c>
      <c r="CG25" s="24">
        <v>0</v>
      </c>
      <c r="CH25" s="19">
        <f>+IF('Datos delta'!BQ25&gt;0,REASIGN(0,'Datos Protegidos'!$I25,PARTIDOS!BR$11),0)</f>
        <v>0</v>
      </c>
      <c r="CI25" s="24">
        <v>0</v>
      </c>
      <c r="CJ25" s="19">
        <f>+IF('Datos delta'!BS25&gt;0,REASIGN(0,'Datos Protegidos'!$I25,PARTIDOS!BT$11),0)</f>
        <v>0</v>
      </c>
      <c r="CK25" s="24">
        <v>0</v>
      </c>
      <c r="CL25" s="19">
        <f>+IF('Datos delta'!BU25&gt;0,REASIGN(0,'Datos Protegidos'!$I25,PARTIDOS!BV$11),0)</f>
        <v>0</v>
      </c>
      <c r="CM25" s="24">
        <v>0</v>
      </c>
      <c r="CN25" s="19">
        <f>+IF('Datos delta'!BW25&gt;0,REASIGN(0,'Datos Protegidos'!$I25,PARTIDOS!BX$11),0)</f>
        <v>0</v>
      </c>
      <c r="CO25" s="24">
        <v>0</v>
      </c>
      <c r="CP25" s="19">
        <f>+IF('Datos delta'!BY25&gt;0,REASIGN(0,'Datos Protegidos'!$I25,PARTIDOS!BZ$11),0)</f>
        <v>0</v>
      </c>
      <c r="CQ25" s="24">
        <v>0</v>
      </c>
      <c r="CR25" s="19">
        <f>+IF('Datos delta'!CA25&gt;0,REASIGN(0,'Datos Protegidos'!$I25,PARTIDOS!CB$11),0)</f>
        <v>0</v>
      </c>
      <c r="CS25" s="24">
        <v>0</v>
      </c>
      <c r="CT25" s="19">
        <f>+IF('Datos delta'!CC25&gt;0,REASIGN(0,'Datos Protegidos'!$I25,PARTIDOS!CD$11),0)</f>
        <v>0</v>
      </c>
      <c r="CU25" s="24">
        <v>0</v>
      </c>
      <c r="CV25" s="19">
        <f>+IF('Datos delta'!CE25&gt;0,REASIGN(0,'Datos Protegidos'!$I25,PARTIDOS!CF$11),0)</f>
        <v>0</v>
      </c>
      <c r="CW25" s="24">
        <v>0</v>
      </c>
      <c r="CX25" s="19">
        <f>+IF('Datos delta'!CG25&gt;0,REASIGN(0,'Datos Protegidos'!$I25,PARTIDOS!CH$11),0)</f>
        <v>0</v>
      </c>
      <c r="CY25" s="24">
        <v>0</v>
      </c>
      <c r="CZ25" s="19">
        <f>+IF('Datos delta'!CI25&gt;0,REASIGN(0,'Datos Protegidos'!$I25,PARTIDOS!CJ$11),0)</f>
        <v>0</v>
      </c>
      <c r="DA25" s="24">
        <v>0</v>
      </c>
      <c r="DB25" s="19">
        <f>+IF('Datos delta'!CK25&gt;0,REASIGN(0,'Datos Protegidos'!$I25,PARTIDOS!CL$11),0)</f>
        <v>0</v>
      </c>
      <c r="DC25" s="24">
        <v>0</v>
      </c>
      <c r="DD25" s="19">
        <f>+IF('Datos delta'!CM25&gt;0,REASIGN(0,'Datos Protegidos'!$I25,PARTIDOS!CN$11),0)</f>
        <v>0</v>
      </c>
      <c r="DE25" s="24">
        <v>0</v>
      </c>
      <c r="DF25" s="19">
        <f>+IF('Datos delta'!CO25&gt;0,REASIGN(0,'Datos Protegidos'!$I25,PARTIDOS!CP$11),0)</f>
        <v>0</v>
      </c>
      <c r="DG25" s="24">
        <v>0</v>
      </c>
      <c r="DH25" s="19">
        <f>+IF('Datos delta'!CQ25&gt;0,REASIGN(0,'Datos Protegidos'!$I25,PARTIDOS!CR$11),0)</f>
        <v>0</v>
      </c>
      <c r="DI25" s="24">
        <v>0</v>
      </c>
      <c r="DJ25" s="19">
        <f>+IF('Datos delta'!CS25&gt;0,REASIGN(0,'Datos Protegidos'!$I25,PARTIDOS!CT$11),0)</f>
        <v>0</v>
      </c>
      <c r="DK25" s="24">
        <v>0</v>
      </c>
      <c r="DL25" s="19">
        <f>+IF('Datos delta'!CU25&gt;0,REASIGN(0,'Datos Protegidos'!$I25,PARTIDOS!CV$11),0)</f>
        <v>0</v>
      </c>
      <c r="DM25" s="24">
        <v>0</v>
      </c>
      <c r="DN25" s="19">
        <f>+IF('Datos delta'!CW25&gt;0,REASIGN(0,'Datos Protegidos'!$I25,PARTIDOS!CX$11),0)</f>
        <v>0</v>
      </c>
      <c r="DO25" s="24">
        <v>0</v>
      </c>
      <c r="DP25" s="19">
        <f>+IF('Datos delta'!CY25&gt;0,REASIGN(0,'Datos Protegidos'!$I25,PARTIDOS!CZ$11),0)</f>
        <v>0</v>
      </c>
      <c r="DQ25" s="24">
        <v>0</v>
      </c>
      <c r="DR25" s="19">
        <f>+IF('Datos delta'!DA25&gt;0,REASIGN(0,'Datos Protegidos'!$I25,PARTIDOS!DB$11),0)</f>
        <v>0</v>
      </c>
      <c r="DS25" s="24">
        <v>0</v>
      </c>
      <c r="DT25" s="19">
        <f>+IF('Datos delta'!DC25&gt;0,REASIGN(0,'Datos Protegidos'!$I25,PARTIDOS!DD$11),0)</f>
        <v>0</v>
      </c>
      <c r="DU25" s="24">
        <v>0</v>
      </c>
      <c r="DV25" s="19">
        <f>+IF('Datos delta'!DE25&gt;0,REASIGN(0,'Datos Protegidos'!$I25,PARTIDOS!DF$11),0)</f>
        <v>0</v>
      </c>
      <c r="DW25" s="24">
        <v>0</v>
      </c>
      <c r="DX25" s="19">
        <f>+IF('Datos delta'!DG25&gt;0,REASIGN(0,'Datos Protegidos'!$I25,PARTIDOS!DH$11),0)</f>
        <v>0</v>
      </c>
      <c r="DY25" s="24">
        <v>0</v>
      </c>
      <c r="DZ25" s="19">
        <f>+IF('Datos delta'!DI25&gt;0,REASIGN(0,'Datos Protegidos'!$I25,PARTIDOS!DJ$11),0)</f>
        <v>0</v>
      </c>
      <c r="EA25" s="24">
        <v>0</v>
      </c>
      <c r="EB25" s="19">
        <f>+IF('Datos delta'!DK25&gt;0,REASIGN(0,'Datos Protegidos'!$I25,PARTIDOS!DL$11),0)</f>
        <v>0</v>
      </c>
      <c r="EC25" s="24">
        <v>0</v>
      </c>
      <c r="ED25" s="19">
        <f>+IF('Datos delta'!DM25&gt;0,REASIGN(0,'Datos Protegidos'!$I25,PARTIDOS!DN$11),0)</f>
        <v>0</v>
      </c>
      <c r="EE25" s="24">
        <v>0</v>
      </c>
      <c r="EF25" s="19">
        <f>+IF('Datos delta'!DO25&gt;0,REASIGN(0,'Datos Protegidos'!$I25,PARTIDOS!DP$11),0)</f>
        <v>0</v>
      </c>
      <c r="EG25" s="24">
        <v>0</v>
      </c>
      <c r="EH25" s="19">
        <f>+IF('Datos delta'!DQ25&gt;0,REASIGN(0,'Datos Protegidos'!$I25,PARTIDOS!DR$11),0)</f>
        <v>0</v>
      </c>
      <c r="EI25" s="24">
        <v>0</v>
      </c>
      <c r="EJ25" s="19">
        <f>+IF('Datos delta'!DS25&gt;0,REASIGN(0,'Datos Protegidos'!$I25,PARTIDOS!DT$11),0)</f>
        <v>0</v>
      </c>
      <c r="EK25" s="24">
        <v>0</v>
      </c>
      <c r="EL25" s="19">
        <f>+IF('Datos delta'!DU25&gt;0,REASIGN(0,'Datos Protegidos'!$I25,PARTIDOS!DV$11),0)</f>
        <v>0</v>
      </c>
      <c r="EM25" s="24">
        <v>0</v>
      </c>
      <c r="EN25" s="19">
        <f>+IF('Datos delta'!DW25&gt;0,REASIGN(0,'Datos Protegidos'!$I25,PARTIDOS!DX$11),0)</f>
        <v>0</v>
      </c>
      <c r="EO25" s="24">
        <v>0</v>
      </c>
      <c r="EP25" s="19">
        <f>+IF('Datos delta'!DY25&gt;0,REASIGN(0,'Datos Protegidos'!$I25,PARTIDOS!DZ$11),0)</f>
        <v>0</v>
      </c>
      <c r="EQ25" s="24">
        <v>0</v>
      </c>
      <c r="ER25" s="19">
        <f>+IF('Datos delta'!EA25&gt;0,REASIGN(0,'Datos Protegidos'!$I25,PARTIDOS!EB$11),0)</f>
        <v>0</v>
      </c>
      <c r="ES25" s="24">
        <v>0</v>
      </c>
      <c r="ET25" s="19">
        <f>+IF('Datos delta'!EC25&gt;0,REASIGN(0,'Datos Protegidos'!$I25,PARTIDOS!ED$11),0)</f>
        <v>0</v>
      </c>
      <c r="EU25" s="24">
        <v>0</v>
      </c>
    </row>
    <row r="26" spans="1:151" x14ac:dyDescent="0.25">
      <c r="A26" s="24" t="s">
        <v>43</v>
      </c>
      <c r="B26" s="25">
        <v>34</v>
      </c>
      <c r="C26" s="24" t="s">
        <v>47</v>
      </c>
      <c r="D26" s="24">
        <v>162035</v>
      </c>
      <c r="E26" s="26">
        <v>324</v>
      </c>
      <c r="F26" s="26">
        <v>133955</v>
      </c>
      <c r="G26" s="26">
        <v>7366</v>
      </c>
      <c r="H26" s="26">
        <v>141321</v>
      </c>
      <c r="I26">
        <v>838</v>
      </c>
      <c r="J26" s="19">
        <f>+INT(([1]Hoja1!M26/[1]Hoja1!O26)*M26)</f>
        <v>95788</v>
      </c>
      <c r="K26" s="19">
        <f>+INT(([1]Hoja1!N26/[1]Hoja1!O26)*M26)</f>
        <v>94773</v>
      </c>
      <c r="L26" s="19">
        <f t="shared" si="1"/>
        <v>2265</v>
      </c>
      <c r="M26" s="19">
        <f t="shared" si="2"/>
        <v>1015</v>
      </c>
      <c r="N26" s="22">
        <f t="shared" si="0"/>
        <v>0</v>
      </c>
      <c r="O26" s="26">
        <v>1015</v>
      </c>
      <c r="P26" s="26">
        <v>1250</v>
      </c>
      <c r="Q26" s="22">
        <f t="shared" si="3"/>
        <v>3</v>
      </c>
      <c r="R26" s="19">
        <f>+IF('Datos delta'!A26&gt;0,REASIGN(0,'Datos Protegidos'!$I26,PARTIDOS!B$11),0)</f>
        <v>0</v>
      </c>
      <c r="S26" s="24">
        <v>1</v>
      </c>
      <c r="T26" s="19">
        <f>+IF('Datos delta'!C26&gt;0,REASIGN(0,'Datos Protegidos'!$I26,PARTIDOS!D$11),0)</f>
        <v>0</v>
      </c>
      <c r="U26" s="24">
        <v>2</v>
      </c>
      <c r="V26" s="19">
        <f>+IF('Datos delta'!E26&gt;0,REASIGN(0,'Datos Protegidos'!$I26,PARTIDOS!F$11),0)</f>
        <v>0</v>
      </c>
      <c r="W26" s="24">
        <v>0</v>
      </c>
      <c r="X26" s="19">
        <f>+IF('Datos delta'!G26&gt;0,REASIGN(0,'Datos Protegidos'!$I26,PARTIDOS!H$11),0)</f>
        <v>0</v>
      </c>
      <c r="Y26" s="24">
        <v>0</v>
      </c>
      <c r="Z26" s="19">
        <f>+IF('Datos delta'!I26&gt;0,REASIGN(0,'Datos Protegidos'!$I26,PARTIDOS!J$11),0)</f>
        <v>0</v>
      </c>
      <c r="AA26" s="24">
        <v>0</v>
      </c>
      <c r="AB26" s="19">
        <f>+IF('Datos delta'!K26&gt;0,REASIGN(0,'Datos Protegidos'!$I26,PARTIDOS!L$11),0)</f>
        <v>0</v>
      </c>
      <c r="AC26" s="24">
        <v>0</v>
      </c>
      <c r="AD26" s="19">
        <f>+IF('Datos delta'!M26&gt;0,REASIGN(0,'Datos Protegidos'!$I26,PARTIDOS!N$11),0)</f>
        <v>0</v>
      </c>
      <c r="AE26" s="24">
        <v>0</v>
      </c>
      <c r="AF26" s="19">
        <f>+IF('Datos delta'!O26&gt;0,REASIGN(0,'Datos Protegidos'!$I26,PARTIDOS!P$11),0)</f>
        <v>0</v>
      </c>
      <c r="AG26" s="24">
        <v>0</v>
      </c>
      <c r="AH26" s="19">
        <f>+IF('Datos delta'!Q26&gt;0,REASIGN(0,'Datos Protegidos'!$I26,PARTIDOS!R$11),0)</f>
        <v>0</v>
      </c>
      <c r="AI26" s="24">
        <v>0</v>
      </c>
      <c r="AJ26" s="19">
        <f>+IF('Datos delta'!S26&gt;0,REASIGN(0,'Datos Protegidos'!$I26,PARTIDOS!T$11),0)</f>
        <v>0</v>
      </c>
      <c r="AK26" s="24">
        <v>0</v>
      </c>
      <c r="AL26" s="19">
        <f>+IF('Datos delta'!U26&gt;0,REASIGN(0,'Datos Protegidos'!$I26,PARTIDOS!V$11),0)</f>
        <v>0</v>
      </c>
      <c r="AM26" s="24">
        <v>0</v>
      </c>
      <c r="AN26" s="19">
        <f>+IF('Datos delta'!W26&gt;0,REASIGN(0,'Datos Protegidos'!$I26,PARTIDOS!X$11),0)</f>
        <v>0</v>
      </c>
      <c r="AO26" s="24">
        <v>0</v>
      </c>
      <c r="AP26" s="19">
        <f>+IF('Datos delta'!Y26&gt;0,REASIGN(0,'Datos Protegidos'!$I26,PARTIDOS!Z$11),0)</f>
        <v>0</v>
      </c>
      <c r="AQ26" s="24">
        <v>0</v>
      </c>
      <c r="AR26" s="19">
        <f>+IF('Datos delta'!AA26&gt;0,REASIGN(0,'Datos Protegidos'!$I26,PARTIDOS!AB$11),0)</f>
        <v>0</v>
      </c>
      <c r="AS26" s="24">
        <v>0</v>
      </c>
      <c r="AT26" s="19">
        <f>+IF('Datos delta'!AC26&gt;0,REASIGN(0,'Datos Protegidos'!$I26,PARTIDOS!AD$11),0)</f>
        <v>0</v>
      </c>
      <c r="AU26" s="24">
        <v>0</v>
      </c>
      <c r="AV26" s="19">
        <f>+IF('Datos delta'!AE26&gt;0,REASIGN(0,'Datos Protegidos'!$I26,PARTIDOS!AF$11),0)</f>
        <v>0</v>
      </c>
      <c r="AW26" s="24">
        <v>0</v>
      </c>
      <c r="AX26" s="19">
        <f>+IF('Datos delta'!AG26&gt;0,REASIGN(0,'Datos Protegidos'!$I26,PARTIDOS!AH$11),0)</f>
        <v>0</v>
      </c>
      <c r="AY26" s="24">
        <v>0</v>
      </c>
      <c r="AZ26" s="19">
        <f>+IF('Datos delta'!AI26&gt;0,REASIGN(0,'Datos Protegidos'!$I26,PARTIDOS!AJ$11),0)</f>
        <v>0</v>
      </c>
      <c r="BA26" s="24">
        <v>0</v>
      </c>
      <c r="BB26" s="19">
        <f>+IF('Datos delta'!AK26&gt;0,REASIGN(0,'Datos Protegidos'!$I26,PARTIDOS!AL$11),0)</f>
        <v>0</v>
      </c>
      <c r="BC26" s="24">
        <v>0</v>
      </c>
      <c r="BD26" s="19">
        <f>+IF('Datos delta'!AM26&gt;0,REASIGN(0,'Datos Protegidos'!$I26,PARTIDOS!AN$11),0)</f>
        <v>0</v>
      </c>
      <c r="BE26" s="24">
        <v>0</v>
      </c>
      <c r="BF26" s="19">
        <f>+IF('Datos delta'!AO26&gt;0,REASIGN(0,'Datos Protegidos'!$I26,PARTIDOS!AP$11),0)</f>
        <v>0</v>
      </c>
      <c r="BG26" s="24">
        <v>0</v>
      </c>
      <c r="BH26" s="19">
        <f>+IF('Datos delta'!AQ26&gt;0,REASIGN(0,'Datos Protegidos'!$I26,PARTIDOS!AR$11),0)</f>
        <v>0</v>
      </c>
      <c r="BI26" s="24">
        <v>0</v>
      </c>
      <c r="BJ26" s="19">
        <f>+IF('Datos delta'!AS26&gt;0,REASIGN(0,'Datos Protegidos'!$I26,PARTIDOS!AT$11),0)</f>
        <v>0</v>
      </c>
      <c r="BK26" s="24">
        <v>0</v>
      </c>
      <c r="BL26" s="19">
        <f>+IF('Datos delta'!AU26&gt;0,REASIGN(0,'Datos Protegidos'!$I26,PARTIDOS!AV$11),0)</f>
        <v>0</v>
      </c>
      <c r="BM26" s="24">
        <v>0</v>
      </c>
      <c r="BN26" s="19">
        <f>+IF('Datos delta'!AW26&gt;0,REASIGN(0,'Datos Protegidos'!$I26,PARTIDOS!AX$11),0)</f>
        <v>0</v>
      </c>
      <c r="BO26" s="24">
        <v>0</v>
      </c>
      <c r="BP26" s="19">
        <f>+IF('Datos delta'!AY26&gt;0,REASIGN(0,'Datos Protegidos'!$I26,PARTIDOS!AZ$11),0)</f>
        <v>0</v>
      </c>
      <c r="BQ26" s="24">
        <v>0</v>
      </c>
      <c r="BR26" s="19">
        <f>+IF('Datos delta'!BA26&gt;0,REASIGN(0,'Datos Protegidos'!$I26,PARTIDOS!BB$11),0)</f>
        <v>0</v>
      </c>
      <c r="BS26" s="24">
        <v>0</v>
      </c>
      <c r="BT26" s="19">
        <f>+IF('Datos delta'!BC26&gt;0,REASIGN(0,'Datos Protegidos'!$I26,PARTIDOS!BD$11),0)</f>
        <v>0</v>
      </c>
      <c r="BU26" s="24">
        <v>0</v>
      </c>
      <c r="BV26" s="19">
        <f>+IF('Datos delta'!BE26&gt;0,REASIGN(0,'Datos Protegidos'!$I26,PARTIDOS!BF$11),0)</f>
        <v>0</v>
      </c>
      <c r="BW26" s="24">
        <v>0</v>
      </c>
      <c r="BX26" s="19">
        <f>+IF('Datos delta'!BG26&gt;0,REASIGN(0,'Datos Protegidos'!$I26,PARTIDOS!BH$11),0)</f>
        <v>0</v>
      </c>
      <c r="BY26" s="24">
        <v>0</v>
      </c>
      <c r="BZ26" s="19">
        <f>+IF('Datos delta'!BI26&gt;0,REASIGN(0,'Datos Protegidos'!$I26,PARTIDOS!BJ$11),0)</f>
        <v>0</v>
      </c>
      <c r="CA26" s="24">
        <v>0</v>
      </c>
      <c r="CB26" s="19">
        <f>+IF('Datos delta'!BK26&gt;0,REASIGN(0,'Datos Protegidos'!$I26,PARTIDOS!BL$11),0)</f>
        <v>0</v>
      </c>
      <c r="CC26" s="24">
        <v>0</v>
      </c>
      <c r="CD26" s="19">
        <f>+IF('Datos delta'!BM26&gt;0,REASIGN(0,'Datos Protegidos'!$I26,PARTIDOS!BN$11),0)</f>
        <v>0</v>
      </c>
      <c r="CE26" s="24">
        <v>0</v>
      </c>
      <c r="CF26" s="19">
        <f>+IF('Datos delta'!BO26&gt;0,REASIGN(0,'Datos Protegidos'!$I26,PARTIDOS!BP$11),0)</f>
        <v>0</v>
      </c>
      <c r="CG26" s="24">
        <v>0</v>
      </c>
      <c r="CH26" s="19">
        <f>+IF('Datos delta'!BQ26&gt;0,REASIGN(0,'Datos Protegidos'!$I26,PARTIDOS!BR$11),0)</f>
        <v>0</v>
      </c>
      <c r="CI26" s="24">
        <v>0</v>
      </c>
      <c r="CJ26" s="19">
        <f>+IF('Datos delta'!BS26&gt;0,REASIGN(0,'Datos Protegidos'!$I26,PARTIDOS!BT$11),0)</f>
        <v>0</v>
      </c>
      <c r="CK26" s="24">
        <v>0</v>
      </c>
      <c r="CL26" s="19">
        <f>+IF('Datos delta'!BU26&gt;0,REASIGN(0,'Datos Protegidos'!$I26,PARTIDOS!BV$11),0)</f>
        <v>0</v>
      </c>
      <c r="CM26" s="24">
        <v>0</v>
      </c>
      <c r="CN26" s="19">
        <f>+IF('Datos delta'!BW26&gt;0,REASIGN(0,'Datos Protegidos'!$I26,PARTIDOS!BX$11),0)</f>
        <v>0</v>
      </c>
      <c r="CO26" s="24">
        <v>0</v>
      </c>
      <c r="CP26" s="19">
        <f>+IF('Datos delta'!BY26&gt;0,REASIGN(0,'Datos Protegidos'!$I26,PARTIDOS!BZ$11),0)</f>
        <v>0</v>
      </c>
      <c r="CQ26" s="24">
        <v>0</v>
      </c>
      <c r="CR26" s="19">
        <f>+IF('Datos delta'!CA26&gt;0,REASIGN(0,'Datos Protegidos'!$I26,PARTIDOS!CB$11),0)</f>
        <v>0</v>
      </c>
      <c r="CS26" s="24">
        <v>0</v>
      </c>
      <c r="CT26" s="19">
        <f>+IF('Datos delta'!CC26&gt;0,REASIGN(0,'Datos Protegidos'!$I26,PARTIDOS!CD$11),0)</f>
        <v>0</v>
      </c>
      <c r="CU26" s="24">
        <v>0</v>
      </c>
      <c r="CV26" s="19">
        <f>+IF('Datos delta'!CE26&gt;0,REASIGN(0,'Datos Protegidos'!$I26,PARTIDOS!CF$11),0)</f>
        <v>0</v>
      </c>
      <c r="CW26" s="24">
        <v>0</v>
      </c>
      <c r="CX26" s="19">
        <f>+IF('Datos delta'!CG26&gt;0,REASIGN(0,'Datos Protegidos'!$I26,PARTIDOS!CH$11),0)</f>
        <v>0</v>
      </c>
      <c r="CY26" s="24">
        <v>0</v>
      </c>
      <c r="CZ26" s="19">
        <f>+IF('Datos delta'!CI26&gt;0,REASIGN(0,'Datos Protegidos'!$I26,PARTIDOS!CJ$11),0)</f>
        <v>0</v>
      </c>
      <c r="DA26" s="24">
        <v>0</v>
      </c>
      <c r="DB26" s="19">
        <f>+IF('Datos delta'!CK26&gt;0,REASIGN(0,'Datos Protegidos'!$I26,PARTIDOS!CL$11),0)</f>
        <v>0</v>
      </c>
      <c r="DC26" s="24">
        <v>0</v>
      </c>
      <c r="DD26" s="19">
        <f>+IF('Datos delta'!CM26&gt;0,REASIGN(0,'Datos Protegidos'!$I26,PARTIDOS!CN$11),0)</f>
        <v>0</v>
      </c>
      <c r="DE26" s="24">
        <v>0</v>
      </c>
      <c r="DF26" s="19">
        <f>+IF('Datos delta'!CO26&gt;0,REASIGN(0,'Datos Protegidos'!$I26,PARTIDOS!CP$11),0)</f>
        <v>0</v>
      </c>
      <c r="DG26" s="24">
        <v>0</v>
      </c>
      <c r="DH26" s="19">
        <f>+IF('Datos delta'!CQ26&gt;0,REASIGN(0,'Datos Protegidos'!$I26,PARTIDOS!CR$11),0)</f>
        <v>0</v>
      </c>
      <c r="DI26" s="24">
        <v>0</v>
      </c>
      <c r="DJ26" s="19">
        <f>+IF('Datos delta'!CS26&gt;0,REASIGN(0,'Datos Protegidos'!$I26,PARTIDOS!CT$11),0)</f>
        <v>0</v>
      </c>
      <c r="DK26" s="24">
        <v>0</v>
      </c>
      <c r="DL26" s="19">
        <f>+IF('Datos delta'!CU26&gt;0,REASIGN(0,'Datos Protegidos'!$I26,PARTIDOS!CV$11),0)</f>
        <v>0</v>
      </c>
      <c r="DM26" s="24">
        <v>0</v>
      </c>
      <c r="DN26" s="19">
        <f>+IF('Datos delta'!CW26&gt;0,REASIGN(0,'Datos Protegidos'!$I26,PARTIDOS!CX$11),0)</f>
        <v>0</v>
      </c>
      <c r="DO26" s="24">
        <v>0</v>
      </c>
      <c r="DP26" s="19">
        <f>+IF('Datos delta'!CY26&gt;0,REASIGN(0,'Datos Protegidos'!$I26,PARTIDOS!CZ$11),0)</f>
        <v>0</v>
      </c>
      <c r="DQ26" s="24">
        <v>0</v>
      </c>
      <c r="DR26" s="19">
        <f>+IF('Datos delta'!DA26&gt;0,REASIGN(0,'Datos Protegidos'!$I26,PARTIDOS!DB$11),0)</f>
        <v>0</v>
      </c>
      <c r="DS26" s="24">
        <v>0</v>
      </c>
      <c r="DT26" s="19">
        <f>+IF('Datos delta'!DC26&gt;0,REASIGN(0,'Datos Protegidos'!$I26,PARTIDOS!DD$11),0)</f>
        <v>0</v>
      </c>
      <c r="DU26" s="24">
        <v>0</v>
      </c>
      <c r="DV26" s="19">
        <f>+IF('Datos delta'!DE26&gt;0,REASIGN(0,'Datos Protegidos'!$I26,PARTIDOS!DF$11),0)</f>
        <v>0</v>
      </c>
      <c r="DW26" s="24">
        <v>0</v>
      </c>
      <c r="DX26" s="19">
        <f>+IF('Datos delta'!DG26&gt;0,REASIGN(0,'Datos Protegidos'!$I26,PARTIDOS!DH$11),0)</f>
        <v>0</v>
      </c>
      <c r="DY26" s="24">
        <v>0</v>
      </c>
      <c r="DZ26" s="19">
        <f>+IF('Datos delta'!DI26&gt;0,REASIGN(0,'Datos Protegidos'!$I26,PARTIDOS!DJ$11),0)</f>
        <v>0</v>
      </c>
      <c r="EA26" s="24">
        <v>0</v>
      </c>
      <c r="EB26" s="19">
        <f>+IF('Datos delta'!DK26&gt;0,REASIGN(0,'Datos Protegidos'!$I26,PARTIDOS!DL$11),0)</f>
        <v>0</v>
      </c>
      <c r="EC26" s="24">
        <v>0</v>
      </c>
      <c r="ED26" s="19">
        <f>+IF('Datos delta'!DM26&gt;0,REASIGN(0,'Datos Protegidos'!$I26,PARTIDOS!DN$11),0)</f>
        <v>0</v>
      </c>
      <c r="EE26" s="24">
        <v>0</v>
      </c>
      <c r="EF26" s="19">
        <f>+IF('Datos delta'!DO26&gt;0,REASIGN(0,'Datos Protegidos'!$I26,PARTIDOS!DP$11),0)</f>
        <v>0</v>
      </c>
      <c r="EG26" s="24">
        <v>0</v>
      </c>
      <c r="EH26" s="19">
        <f>+IF('Datos delta'!DQ26&gt;0,REASIGN(0,'Datos Protegidos'!$I26,PARTIDOS!DR$11),0)</f>
        <v>0</v>
      </c>
      <c r="EI26" s="24">
        <v>0</v>
      </c>
      <c r="EJ26" s="19">
        <f>+IF('Datos delta'!DS26&gt;0,REASIGN(0,'Datos Protegidos'!$I26,PARTIDOS!DT$11),0)</f>
        <v>0</v>
      </c>
      <c r="EK26" s="24">
        <v>0</v>
      </c>
      <c r="EL26" s="19">
        <f>+IF('Datos delta'!DU26&gt;0,REASIGN(0,'Datos Protegidos'!$I26,PARTIDOS!DV$11),0)</f>
        <v>0</v>
      </c>
      <c r="EM26" s="24">
        <v>0</v>
      </c>
      <c r="EN26" s="19">
        <f>+IF('Datos delta'!DW26&gt;0,REASIGN(0,'Datos Protegidos'!$I26,PARTIDOS!DX$11),0)</f>
        <v>0</v>
      </c>
      <c r="EO26" s="24">
        <v>0</v>
      </c>
      <c r="EP26" s="19">
        <f>+IF('Datos delta'!DY26&gt;0,REASIGN(0,'Datos Protegidos'!$I26,PARTIDOS!DZ$11),0)</f>
        <v>0</v>
      </c>
      <c r="EQ26" s="24">
        <v>0</v>
      </c>
      <c r="ER26" s="19">
        <f>+IF('Datos delta'!EA26&gt;0,REASIGN(0,'Datos Protegidos'!$I26,PARTIDOS!EB$11),0)</f>
        <v>0</v>
      </c>
      <c r="ES26" s="24">
        <v>0</v>
      </c>
      <c r="ET26" s="19">
        <f>+IF('Datos delta'!EC26&gt;0,REASIGN(0,'Datos Protegidos'!$I26,PARTIDOS!ED$11),0)</f>
        <v>0</v>
      </c>
      <c r="EU26" s="24">
        <v>0</v>
      </c>
    </row>
    <row r="27" spans="1:151" x14ac:dyDescent="0.25">
      <c r="A27" s="24" t="s">
        <v>43</v>
      </c>
      <c r="B27" s="25">
        <v>37</v>
      </c>
      <c r="C27" s="24" t="s">
        <v>48</v>
      </c>
      <c r="D27" s="24">
        <v>331473</v>
      </c>
      <c r="E27" s="26">
        <v>684</v>
      </c>
      <c r="F27" s="26">
        <v>274805</v>
      </c>
      <c r="G27" s="26">
        <v>30731</v>
      </c>
      <c r="H27" s="26">
        <v>305536</v>
      </c>
      <c r="I27" s="1">
        <v>2889</v>
      </c>
      <c r="J27" s="19">
        <f>+INT(([1]Hoja1!M27/[1]Hoja1!O27)*M27)</f>
        <v>195170</v>
      </c>
      <c r="K27" s="19">
        <f>+INT(([1]Hoja1!N27/[1]Hoja1!O27)*M27)</f>
        <v>193188</v>
      </c>
      <c r="L27" s="19">
        <f t="shared" si="1"/>
        <v>4485</v>
      </c>
      <c r="M27" s="19">
        <f t="shared" si="2"/>
        <v>1982</v>
      </c>
      <c r="N27" s="22">
        <f t="shared" si="0"/>
        <v>0</v>
      </c>
      <c r="O27" s="26">
        <v>1982</v>
      </c>
      <c r="P27" s="26">
        <v>2503</v>
      </c>
      <c r="Q27" s="22">
        <f t="shared" si="3"/>
        <v>4</v>
      </c>
      <c r="R27" s="19">
        <f>+IF('Datos delta'!A27&gt;0,REASIGN(0,'Datos Protegidos'!$I27,PARTIDOS!B$11),0)</f>
        <v>0</v>
      </c>
      <c r="S27" s="24">
        <v>1</v>
      </c>
      <c r="T27" s="19">
        <f>+IF('Datos delta'!C27&gt;0,REASIGN(0,'Datos Protegidos'!$I27,PARTIDOS!D$11),0)</f>
        <v>0</v>
      </c>
      <c r="U27" s="24">
        <v>2</v>
      </c>
      <c r="V27" s="19">
        <f>+IF('Datos delta'!E27&gt;0,REASIGN(0,'Datos Protegidos'!$I27,PARTIDOS!F$11),0)</f>
        <v>0</v>
      </c>
      <c r="W27" s="24">
        <v>1</v>
      </c>
      <c r="X27" s="19">
        <f>+IF('Datos delta'!G27&gt;0,REASIGN(0,'Datos Protegidos'!$I27,PARTIDOS!H$11),0)</f>
        <v>0</v>
      </c>
      <c r="Y27" s="24">
        <v>0</v>
      </c>
      <c r="Z27" s="19">
        <f>+IF('Datos delta'!I27&gt;0,REASIGN(0,'Datos Protegidos'!$I27,PARTIDOS!J$11),0)</f>
        <v>0</v>
      </c>
      <c r="AA27" s="24">
        <v>0</v>
      </c>
      <c r="AB27" s="19">
        <f>+IF('Datos delta'!K27&gt;0,REASIGN(0,'Datos Protegidos'!$I27,PARTIDOS!L$11),0)</f>
        <v>0</v>
      </c>
      <c r="AC27" s="24">
        <v>0</v>
      </c>
      <c r="AD27" s="19">
        <f>+IF('Datos delta'!M27&gt;0,REASIGN(0,'Datos Protegidos'!$I27,PARTIDOS!N$11),0)</f>
        <v>0</v>
      </c>
      <c r="AE27" s="24">
        <v>0</v>
      </c>
      <c r="AF27" s="19">
        <f>+IF('Datos delta'!O27&gt;0,REASIGN(0,'Datos Protegidos'!$I27,PARTIDOS!P$11),0)</f>
        <v>0</v>
      </c>
      <c r="AG27" s="24">
        <v>0</v>
      </c>
      <c r="AH27" s="19">
        <f>+IF('Datos delta'!Q27&gt;0,REASIGN(0,'Datos Protegidos'!$I27,PARTIDOS!R$11),0)</f>
        <v>0</v>
      </c>
      <c r="AI27" s="24">
        <v>0</v>
      </c>
      <c r="AJ27" s="19">
        <f>+IF('Datos delta'!S27&gt;0,REASIGN(0,'Datos Protegidos'!$I27,PARTIDOS!T$11),0)</f>
        <v>0</v>
      </c>
      <c r="AK27" s="24">
        <v>0</v>
      </c>
      <c r="AL27" s="19">
        <f>+IF('Datos delta'!U27&gt;0,REASIGN(0,'Datos Protegidos'!$I27,PARTIDOS!V$11),0)</f>
        <v>0</v>
      </c>
      <c r="AM27" s="24">
        <v>0</v>
      </c>
      <c r="AN27" s="19">
        <f>+IF('Datos delta'!W27&gt;0,REASIGN(0,'Datos Protegidos'!$I27,PARTIDOS!X$11),0)</f>
        <v>0</v>
      </c>
      <c r="AO27" s="24">
        <v>0</v>
      </c>
      <c r="AP27" s="19">
        <f>+IF('Datos delta'!Y27&gt;0,REASIGN(0,'Datos Protegidos'!$I27,PARTIDOS!Z$11),0)</f>
        <v>0</v>
      </c>
      <c r="AQ27" s="24">
        <v>0</v>
      </c>
      <c r="AR27" s="19">
        <f>+IF('Datos delta'!AA27&gt;0,REASIGN(0,'Datos Protegidos'!$I27,PARTIDOS!AB$11),0)</f>
        <v>0</v>
      </c>
      <c r="AS27" s="24">
        <v>0</v>
      </c>
      <c r="AT27" s="19">
        <f>+IF('Datos delta'!AC27&gt;0,REASIGN(0,'Datos Protegidos'!$I27,PARTIDOS!AD$11),0)</f>
        <v>0</v>
      </c>
      <c r="AU27" s="24">
        <v>0</v>
      </c>
      <c r="AV27" s="19">
        <f>+IF('Datos delta'!AE27&gt;0,REASIGN(0,'Datos Protegidos'!$I27,PARTIDOS!AF$11),0)</f>
        <v>0</v>
      </c>
      <c r="AW27" s="24">
        <v>0</v>
      </c>
      <c r="AX27" s="19">
        <f>+IF('Datos delta'!AG27&gt;0,REASIGN(0,'Datos Protegidos'!$I27,PARTIDOS!AH$11),0)</f>
        <v>0</v>
      </c>
      <c r="AY27" s="24">
        <v>0</v>
      </c>
      <c r="AZ27" s="19">
        <f>+IF('Datos delta'!AI27&gt;0,REASIGN(0,'Datos Protegidos'!$I27,PARTIDOS!AJ$11),0)</f>
        <v>0</v>
      </c>
      <c r="BA27" s="24">
        <v>0</v>
      </c>
      <c r="BB27" s="19">
        <f>+IF('Datos delta'!AK27&gt;0,REASIGN(0,'Datos Protegidos'!$I27,PARTIDOS!AL$11),0)</f>
        <v>0</v>
      </c>
      <c r="BC27" s="24">
        <v>0</v>
      </c>
      <c r="BD27" s="19">
        <f>+IF('Datos delta'!AM27&gt;0,REASIGN(0,'Datos Protegidos'!$I27,PARTIDOS!AN$11),0)</f>
        <v>0</v>
      </c>
      <c r="BE27" s="24">
        <v>0</v>
      </c>
      <c r="BF27" s="19">
        <f>+IF('Datos delta'!AO27&gt;0,REASIGN(0,'Datos Protegidos'!$I27,PARTIDOS!AP$11),0)</f>
        <v>0</v>
      </c>
      <c r="BG27" s="24">
        <v>0</v>
      </c>
      <c r="BH27" s="19">
        <f>+IF('Datos delta'!AQ27&gt;0,REASIGN(0,'Datos Protegidos'!$I27,PARTIDOS!AR$11),0)</f>
        <v>0</v>
      </c>
      <c r="BI27" s="24">
        <v>0</v>
      </c>
      <c r="BJ27" s="19">
        <f>+IF('Datos delta'!AS27&gt;0,REASIGN(0,'Datos Protegidos'!$I27,PARTIDOS!AT$11),0)</f>
        <v>0</v>
      </c>
      <c r="BK27" s="24">
        <v>0</v>
      </c>
      <c r="BL27" s="19">
        <f>+IF('Datos delta'!AU27&gt;0,REASIGN(0,'Datos Protegidos'!$I27,PARTIDOS!AV$11),0)</f>
        <v>0</v>
      </c>
      <c r="BM27" s="24">
        <v>0</v>
      </c>
      <c r="BN27" s="19">
        <f>+IF('Datos delta'!AW27&gt;0,REASIGN(0,'Datos Protegidos'!$I27,PARTIDOS!AX$11),0)</f>
        <v>0</v>
      </c>
      <c r="BO27" s="24">
        <v>0</v>
      </c>
      <c r="BP27" s="19">
        <f>+IF('Datos delta'!AY27&gt;0,REASIGN(0,'Datos Protegidos'!$I27,PARTIDOS!AZ$11),0)</f>
        <v>0</v>
      </c>
      <c r="BQ27" s="24">
        <v>0</v>
      </c>
      <c r="BR27" s="19">
        <f>+IF('Datos delta'!BA27&gt;0,REASIGN(0,'Datos Protegidos'!$I27,PARTIDOS!BB$11),0)</f>
        <v>0</v>
      </c>
      <c r="BS27" s="24">
        <v>0</v>
      </c>
      <c r="BT27" s="19">
        <f>+IF('Datos delta'!BC27&gt;0,REASIGN(0,'Datos Protegidos'!$I27,PARTIDOS!BD$11),0)</f>
        <v>0</v>
      </c>
      <c r="BU27" s="24">
        <v>0</v>
      </c>
      <c r="BV27" s="19">
        <f>+IF('Datos delta'!BE27&gt;0,REASIGN(0,'Datos Protegidos'!$I27,PARTIDOS!BF$11),0)</f>
        <v>0</v>
      </c>
      <c r="BW27" s="24">
        <v>0</v>
      </c>
      <c r="BX27" s="19">
        <f>+IF('Datos delta'!BG27&gt;0,REASIGN(0,'Datos Protegidos'!$I27,PARTIDOS!BH$11),0)</f>
        <v>0</v>
      </c>
      <c r="BY27" s="24">
        <v>0</v>
      </c>
      <c r="BZ27" s="19">
        <f>+IF('Datos delta'!BI27&gt;0,REASIGN(0,'Datos Protegidos'!$I27,PARTIDOS!BJ$11),0)</f>
        <v>0</v>
      </c>
      <c r="CA27" s="24">
        <v>0</v>
      </c>
      <c r="CB27" s="19">
        <f>+IF('Datos delta'!BK27&gt;0,REASIGN(0,'Datos Protegidos'!$I27,PARTIDOS!BL$11),0)</f>
        <v>0</v>
      </c>
      <c r="CC27" s="24">
        <v>0</v>
      </c>
      <c r="CD27" s="19">
        <f>+IF('Datos delta'!BM27&gt;0,REASIGN(0,'Datos Protegidos'!$I27,PARTIDOS!BN$11),0)</f>
        <v>0</v>
      </c>
      <c r="CE27" s="24">
        <v>0</v>
      </c>
      <c r="CF27" s="19">
        <f>+IF('Datos delta'!BO27&gt;0,REASIGN(0,'Datos Protegidos'!$I27,PARTIDOS!BP$11),0)</f>
        <v>0</v>
      </c>
      <c r="CG27" s="24">
        <v>0</v>
      </c>
      <c r="CH27" s="19">
        <f>+IF('Datos delta'!BQ27&gt;0,REASIGN(0,'Datos Protegidos'!$I27,PARTIDOS!BR$11),0)</f>
        <v>0</v>
      </c>
      <c r="CI27" s="24">
        <v>0</v>
      </c>
      <c r="CJ27" s="19">
        <f>+IF('Datos delta'!BS27&gt;0,REASIGN(0,'Datos Protegidos'!$I27,PARTIDOS!BT$11),0)</f>
        <v>0</v>
      </c>
      <c r="CK27" s="24">
        <v>0</v>
      </c>
      <c r="CL27" s="19">
        <f>+IF('Datos delta'!BU27&gt;0,REASIGN(0,'Datos Protegidos'!$I27,PARTIDOS!BV$11),0)</f>
        <v>0</v>
      </c>
      <c r="CM27" s="24">
        <v>0</v>
      </c>
      <c r="CN27" s="19">
        <f>+IF('Datos delta'!BW27&gt;0,REASIGN(0,'Datos Protegidos'!$I27,PARTIDOS!BX$11),0)</f>
        <v>0</v>
      </c>
      <c r="CO27" s="24">
        <v>0</v>
      </c>
      <c r="CP27" s="19">
        <f>+IF('Datos delta'!BY27&gt;0,REASIGN(0,'Datos Protegidos'!$I27,PARTIDOS!BZ$11),0)</f>
        <v>0</v>
      </c>
      <c r="CQ27" s="24">
        <v>0</v>
      </c>
      <c r="CR27" s="19">
        <f>+IF('Datos delta'!CA27&gt;0,REASIGN(0,'Datos Protegidos'!$I27,PARTIDOS!CB$11),0)</f>
        <v>0</v>
      </c>
      <c r="CS27" s="24">
        <v>0</v>
      </c>
      <c r="CT27" s="19">
        <f>+IF('Datos delta'!CC27&gt;0,REASIGN(0,'Datos Protegidos'!$I27,PARTIDOS!CD$11),0)</f>
        <v>0</v>
      </c>
      <c r="CU27" s="24">
        <v>0</v>
      </c>
      <c r="CV27" s="19">
        <f>+IF('Datos delta'!CE27&gt;0,REASIGN(0,'Datos Protegidos'!$I27,PARTIDOS!CF$11),0)</f>
        <v>0</v>
      </c>
      <c r="CW27" s="24">
        <v>0</v>
      </c>
      <c r="CX27" s="19">
        <f>+IF('Datos delta'!CG27&gt;0,REASIGN(0,'Datos Protegidos'!$I27,PARTIDOS!CH$11),0)</f>
        <v>0</v>
      </c>
      <c r="CY27" s="24">
        <v>0</v>
      </c>
      <c r="CZ27" s="19">
        <f>+IF('Datos delta'!CI27&gt;0,REASIGN(0,'Datos Protegidos'!$I27,PARTIDOS!CJ$11),0)</f>
        <v>0</v>
      </c>
      <c r="DA27" s="24">
        <v>0</v>
      </c>
      <c r="DB27" s="19">
        <f>+IF('Datos delta'!CK27&gt;0,REASIGN(0,'Datos Protegidos'!$I27,PARTIDOS!CL$11),0)</f>
        <v>0</v>
      </c>
      <c r="DC27" s="24">
        <v>0</v>
      </c>
      <c r="DD27" s="19">
        <f>+IF('Datos delta'!CM27&gt;0,REASIGN(0,'Datos Protegidos'!$I27,PARTIDOS!CN$11),0)</f>
        <v>0</v>
      </c>
      <c r="DE27" s="24">
        <v>0</v>
      </c>
      <c r="DF27" s="19">
        <f>+IF('Datos delta'!CO27&gt;0,REASIGN(0,'Datos Protegidos'!$I27,PARTIDOS!CP$11),0)</f>
        <v>0</v>
      </c>
      <c r="DG27" s="24">
        <v>0</v>
      </c>
      <c r="DH27" s="19">
        <f>+IF('Datos delta'!CQ27&gt;0,REASIGN(0,'Datos Protegidos'!$I27,PARTIDOS!CR$11),0)</f>
        <v>0</v>
      </c>
      <c r="DI27" s="24">
        <v>0</v>
      </c>
      <c r="DJ27" s="19">
        <f>+IF('Datos delta'!CS27&gt;0,REASIGN(0,'Datos Protegidos'!$I27,PARTIDOS!CT$11),0)</f>
        <v>0</v>
      </c>
      <c r="DK27" s="24">
        <v>0</v>
      </c>
      <c r="DL27" s="19">
        <f>+IF('Datos delta'!CU27&gt;0,REASIGN(0,'Datos Protegidos'!$I27,PARTIDOS!CV$11),0)</f>
        <v>0</v>
      </c>
      <c r="DM27" s="24">
        <v>0</v>
      </c>
      <c r="DN27" s="19">
        <f>+IF('Datos delta'!CW27&gt;0,REASIGN(0,'Datos Protegidos'!$I27,PARTIDOS!CX$11),0)</f>
        <v>0</v>
      </c>
      <c r="DO27" s="24">
        <v>0</v>
      </c>
      <c r="DP27" s="19">
        <f>+IF('Datos delta'!CY27&gt;0,REASIGN(0,'Datos Protegidos'!$I27,PARTIDOS!CZ$11),0)</f>
        <v>0</v>
      </c>
      <c r="DQ27" s="24">
        <v>0</v>
      </c>
      <c r="DR27" s="19">
        <f>+IF('Datos delta'!DA27&gt;0,REASIGN(0,'Datos Protegidos'!$I27,PARTIDOS!DB$11),0)</f>
        <v>0</v>
      </c>
      <c r="DS27" s="24">
        <v>0</v>
      </c>
      <c r="DT27" s="19">
        <f>+IF('Datos delta'!DC27&gt;0,REASIGN(0,'Datos Protegidos'!$I27,PARTIDOS!DD$11),0)</f>
        <v>0</v>
      </c>
      <c r="DU27" s="24">
        <v>0</v>
      </c>
      <c r="DV27" s="19">
        <f>+IF('Datos delta'!DE27&gt;0,REASIGN(0,'Datos Protegidos'!$I27,PARTIDOS!DF$11),0)</f>
        <v>0</v>
      </c>
      <c r="DW27" s="24">
        <v>0</v>
      </c>
      <c r="DX27" s="19">
        <f>+IF('Datos delta'!DG27&gt;0,REASIGN(0,'Datos Protegidos'!$I27,PARTIDOS!DH$11),0)</f>
        <v>0</v>
      </c>
      <c r="DY27" s="24">
        <v>0</v>
      </c>
      <c r="DZ27" s="19">
        <f>+IF('Datos delta'!DI27&gt;0,REASIGN(0,'Datos Protegidos'!$I27,PARTIDOS!DJ$11),0)</f>
        <v>0</v>
      </c>
      <c r="EA27" s="24">
        <v>0</v>
      </c>
      <c r="EB27" s="19">
        <f>+IF('Datos delta'!DK27&gt;0,REASIGN(0,'Datos Protegidos'!$I27,PARTIDOS!DL$11),0)</f>
        <v>0</v>
      </c>
      <c r="EC27" s="24">
        <v>0</v>
      </c>
      <c r="ED27" s="19">
        <f>+IF('Datos delta'!DM27&gt;0,REASIGN(0,'Datos Protegidos'!$I27,PARTIDOS!DN$11),0)</f>
        <v>0</v>
      </c>
      <c r="EE27" s="24">
        <v>0</v>
      </c>
      <c r="EF27" s="19">
        <f>+IF('Datos delta'!DO27&gt;0,REASIGN(0,'Datos Protegidos'!$I27,PARTIDOS!DP$11),0)</f>
        <v>0</v>
      </c>
      <c r="EG27" s="24">
        <v>0</v>
      </c>
      <c r="EH27" s="19">
        <f>+IF('Datos delta'!DQ27&gt;0,REASIGN(0,'Datos Protegidos'!$I27,PARTIDOS!DR$11),0)</f>
        <v>0</v>
      </c>
      <c r="EI27" s="24">
        <v>0</v>
      </c>
      <c r="EJ27" s="19">
        <f>+IF('Datos delta'!DS27&gt;0,REASIGN(0,'Datos Protegidos'!$I27,PARTIDOS!DT$11),0)</f>
        <v>0</v>
      </c>
      <c r="EK27" s="24">
        <v>0</v>
      </c>
      <c r="EL27" s="19">
        <f>+IF('Datos delta'!DU27&gt;0,REASIGN(0,'Datos Protegidos'!$I27,PARTIDOS!DV$11),0)</f>
        <v>0</v>
      </c>
      <c r="EM27" s="24">
        <v>0</v>
      </c>
      <c r="EN27" s="19">
        <f>+IF('Datos delta'!DW27&gt;0,REASIGN(0,'Datos Protegidos'!$I27,PARTIDOS!DX$11),0)</f>
        <v>0</v>
      </c>
      <c r="EO27" s="24">
        <v>0</v>
      </c>
      <c r="EP27" s="19">
        <f>+IF('Datos delta'!DY27&gt;0,REASIGN(0,'Datos Protegidos'!$I27,PARTIDOS!DZ$11),0)</f>
        <v>0</v>
      </c>
      <c r="EQ27" s="24">
        <v>0</v>
      </c>
      <c r="ER27" s="19">
        <f>+IF('Datos delta'!EA27&gt;0,REASIGN(0,'Datos Protegidos'!$I27,PARTIDOS!EB$11),0)</f>
        <v>0</v>
      </c>
      <c r="ES27" s="24">
        <v>0</v>
      </c>
      <c r="ET27" s="19">
        <f>+IF('Datos delta'!EC27&gt;0,REASIGN(0,'Datos Protegidos'!$I27,PARTIDOS!ED$11),0)</f>
        <v>0</v>
      </c>
      <c r="EU27" s="24">
        <v>0</v>
      </c>
    </row>
    <row r="28" spans="1:151" x14ac:dyDescent="0.25">
      <c r="A28" s="24" t="s">
        <v>43</v>
      </c>
      <c r="B28" s="25">
        <v>40</v>
      </c>
      <c r="C28" s="24" t="s">
        <v>49</v>
      </c>
      <c r="D28" s="24">
        <v>153342</v>
      </c>
      <c r="E28" s="26">
        <v>319</v>
      </c>
      <c r="F28" s="26">
        <v>116131</v>
      </c>
      <c r="G28" s="26">
        <v>3361</v>
      </c>
      <c r="H28" s="26">
        <v>119492</v>
      </c>
      <c r="I28">
        <v>516</v>
      </c>
      <c r="J28" s="19">
        <f>+INT(([1]Hoja1!M28/[1]Hoja1!O28)*M28)</f>
        <v>85039</v>
      </c>
      <c r="K28" s="19">
        <f>+INT(([1]Hoja1!N28/[1]Hoja1!O28)*M28)</f>
        <v>84034</v>
      </c>
      <c r="L28" s="19">
        <f t="shared" si="1"/>
        <v>2417</v>
      </c>
      <c r="M28" s="19">
        <f t="shared" si="2"/>
        <v>1005</v>
      </c>
      <c r="N28" s="22">
        <f t="shared" si="0"/>
        <v>0</v>
      </c>
      <c r="O28" s="26">
        <v>1005</v>
      </c>
      <c r="P28" s="26">
        <v>1412</v>
      </c>
      <c r="Q28" s="22">
        <f t="shared" si="3"/>
        <v>3</v>
      </c>
      <c r="R28" s="19">
        <f>+IF('Datos delta'!A28&gt;0,REASIGN(0,'Datos Protegidos'!$I28,PARTIDOS!B$11),0)</f>
        <v>0</v>
      </c>
      <c r="S28" s="24">
        <v>1</v>
      </c>
      <c r="T28" s="19">
        <f>+IF('Datos delta'!C28&gt;0,REASIGN(0,'Datos Protegidos'!$I28,PARTIDOS!D$11),0)</f>
        <v>0</v>
      </c>
      <c r="U28" s="24">
        <v>1</v>
      </c>
      <c r="V28" s="19">
        <f>+IF('Datos delta'!E28&gt;0,REASIGN(0,'Datos Protegidos'!$I28,PARTIDOS!F$11),0)</f>
        <v>0</v>
      </c>
      <c r="W28" s="24">
        <v>1</v>
      </c>
      <c r="X28" s="19">
        <f>+IF('Datos delta'!G28&gt;0,REASIGN(0,'Datos Protegidos'!$I28,PARTIDOS!H$11),0)</f>
        <v>0</v>
      </c>
      <c r="Y28" s="24">
        <v>0</v>
      </c>
      <c r="Z28" s="19">
        <f>+IF('Datos delta'!I28&gt;0,REASIGN(0,'Datos Protegidos'!$I28,PARTIDOS!J$11),0)</f>
        <v>0</v>
      </c>
      <c r="AA28" s="24">
        <v>0</v>
      </c>
      <c r="AB28" s="19">
        <f>+IF('Datos delta'!K28&gt;0,REASIGN(0,'Datos Protegidos'!$I28,PARTIDOS!L$11),0)</f>
        <v>0</v>
      </c>
      <c r="AC28" s="24">
        <v>0</v>
      </c>
      <c r="AD28" s="19">
        <f>+IF('Datos delta'!M28&gt;0,REASIGN(0,'Datos Protegidos'!$I28,PARTIDOS!N$11),0)</f>
        <v>0</v>
      </c>
      <c r="AE28" s="24">
        <v>0</v>
      </c>
      <c r="AF28" s="19">
        <f>+IF('Datos delta'!O28&gt;0,REASIGN(0,'Datos Protegidos'!$I28,PARTIDOS!P$11),0)</f>
        <v>0</v>
      </c>
      <c r="AG28" s="24">
        <v>0</v>
      </c>
      <c r="AH28" s="19">
        <f>+IF('Datos delta'!Q28&gt;0,REASIGN(0,'Datos Protegidos'!$I28,PARTIDOS!R$11),0)</f>
        <v>0</v>
      </c>
      <c r="AI28" s="24">
        <v>0</v>
      </c>
      <c r="AJ28" s="19">
        <f>+IF('Datos delta'!S28&gt;0,REASIGN(0,'Datos Protegidos'!$I28,PARTIDOS!T$11),0)</f>
        <v>0</v>
      </c>
      <c r="AK28" s="24">
        <v>0</v>
      </c>
      <c r="AL28" s="19">
        <f>+IF('Datos delta'!U28&gt;0,REASIGN(0,'Datos Protegidos'!$I28,PARTIDOS!V$11),0)</f>
        <v>0</v>
      </c>
      <c r="AM28" s="24">
        <v>0</v>
      </c>
      <c r="AN28" s="19">
        <f>+IF('Datos delta'!W28&gt;0,REASIGN(0,'Datos Protegidos'!$I28,PARTIDOS!X$11),0)</f>
        <v>0</v>
      </c>
      <c r="AO28" s="24">
        <v>0</v>
      </c>
      <c r="AP28" s="19">
        <f>+IF('Datos delta'!Y28&gt;0,REASIGN(0,'Datos Protegidos'!$I28,PARTIDOS!Z$11),0)</f>
        <v>0</v>
      </c>
      <c r="AQ28" s="24">
        <v>0</v>
      </c>
      <c r="AR28" s="19">
        <f>+IF('Datos delta'!AA28&gt;0,REASIGN(0,'Datos Protegidos'!$I28,PARTIDOS!AB$11),0)</f>
        <v>0</v>
      </c>
      <c r="AS28" s="24">
        <v>0</v>
      </c>
      <c r="AT28" s="19">
        <f>+IF('Datos delta'!AC28&gt;0,REASIGN(0,'Datos Protegidos'!$I28,PARTIDOS!AD$11),0)</f>
        <v>0</v>
      </c>
      <c r="AU28" s="24">
        <v>0</v>
      </c>
      <c r="AV28" s="19">
        <f>+IF('Datos delta'!AE28&gt;0,REASIGN(0,'Datos Protegidos'!$I28,PARTIDOS!AF$11),0)</f>
        <v>0</v>
      </c>
      <c r="AW28" s="24">
        <v>0</v>
      </c>
      <c r="AX28" s="19">
        <f>+IF('Datos delta'!AG28&gt;0,REASIGN(0,'Datos Protegidos'!$I28,PARTIDOS!AH$11),0)</f>
        <v>0</v>
      </c>
      <c r="AY28" s="24">
        <v>0</v>
      </c>
      <c r="AZ28" s="19">
        <f>+IF('Datos delta'!AI28&gt;0,REASIGN(0,'Datos Protegidos'!$I28,PARTIDOS!AJ$11),0)</f>
        <v>0</v>
      </c>
      <c r="BA28" s="24">
        <v>0</v>
      </c>
      <c r="BB28" s="19">
        <f>+IF('Datos delta'!AK28&gt;0,REASIGN(0,'Datos Protegidos'!$I28,PARTIDOS!AL$11),0)</f>
        <v>0</v>
      </c>
      <c r="BC28" s="24">
        <v>0</v>
      </c>
      <c r="BD28" s="19">
        <f>+IF('Datos delta'!AM28&gt;0,REASIGN(0,'Datos Protegidos'!$I28,PARTIDOS!AN$11),0)</f>
        <v>0</v>
      </c>
      <c r="BE28" s="24">
        <v>0</v>
      </c>
      <c r="BF28" s="19">
        <f>+IF('Datos delta'!AO28&gt;0,REASIGN(0,'Datos Protegidos'!$I28,PARTIDOS!AP$11),0)</f>
        <v>0</v>
      </c>
      <c r="BG28" s="24">
        <v>0</v>
      </c>
      <c r="BH28" s="19">
        <f>+IF('Datos delta'!AQ28&gt;0,REASIGN(0,'Datos Protegidos'!$I28,PARTIDOS!AR$11),0)</f>
        <v>0</v>
      </c>
      <c r="BI28" s="24">
        <v>0</v>
      </c>
      <c r="BJ28" s="19">
        <f>+IF('Datos delta'!AS28&gt;0,REASIGN(0,'Datos Protegidos'!$I28,PARTIDOS!AT$11),0)</f>
        <v>0</v>
      </c>
      <c r="BK28" s="24">
        <v>0</v>
      </c>
      <c r="BL28" s="19">
        <f>+IF('Datos delta'!AU28&gt;0,REASIGN(0,'Datos Protegidos'!$I28,PARTIDOS!AV$11),0)</f>
        <v>0</v>
      </c>
      <c r="BM28" s="24">
        <v>0</v>
      </c>
      <c r="BN28" s="19">
        <f>+IF('Datos delta'!AW28&gt;0,REASIGN(0,'Datos Protegidos'!$I28,PARTIDOS!AX$11),0)</f>
        <v>0</v>
      </c>
      <c r="BO28" s="24">
        <v>0</v>
      </c>
      <c r="BP28" s="19">
        <f>+IF('Datos delta'!AY28&gt;0,REASIGN(0,'Datos Protegidos'!$I28,PARTIDOS!AZ$11),0)</f>
        <v>0</v>
      </c>
      <c r="BQ28" s="24">
        <v>0</v>
      </c>
      <c r="BR28" s="19">
        <f>+IF('Datos delta'!BA28&gt;0,REASIGN(0,'Datos Protegidos'!$I28,PARTIDOS!BB$11),0)</f>
        <v>0</v>
      </c>
      <c r="BS28" s="24">
        <v>0</v>
      </c>
      <c r="BT28" s="19">
        <f>+IF('Datos delta'!BC28&gt;0,REASIGN(0,'Datos Protegidos'!$I28,PARTIDOS!BD$11),0)</f>
        <v>0</v>
      </c>
      <c r="BU28" s="24">
        <v>0</v>
      </c>
      <c r="BV28" s="19">
        <f>+IF('Datos delta'!BE28&gt;0,REASIGN(0,'Datos Protegidos'!$I28,PARTIDOS!BF$11),0)</f>
        <v>0</v>
      </c>
      <c r="BW28" s="24">
        <v>0</v>
      </c>
      <c r="BX28" s="19">
        <f>+IF('Datos delta'!BG28&gt;0,REASIGN(0,'Datos Protegidos'!$I28,PARTIDOS!BH$11),0)</f>
        <v>0</v>
      </c>
      <c r="BY28" s="24">
        <v>0</v>
      </c>
      <c r="BZ28" s="19">
        <f>+IF('Datos delta'!BI28&gt;0,REASIGN(0,'Datos Protegidos'!$I28,PARTIDOS!BJ$11),0)</f>
        <v>0</v>
      </c>
      <c r="CA28" s="24">
        <v>0</v>
      </c>
      <c r="CB28" s="19">
        <f>+IF('Datos delta'!BK28&gt;0,REASIGN(0,'Datos Protegidos'!$I28,PARTIDOS!BL$11),0)</f>
        <v>0</v>
      </c>
      <c r="CC28" s="24">
        <v>0</v>
      </c>
      <c r="CD28" s="19">
        <f>+IF('Datos delta'!BM28&gt;0,REASIGN(0,'Datos Protegidos'!$I28,PARTIDOS!BN$11),0)</f>
        <v>0</v>
      </c>
      <c r="CE28" s="24">
        <v>0</v>
      </c>
      <c r="CF28" s="19">
        <f>+IF('Datos delta'!BO28&gt;0,REASIGN(0,'Datos Protegidos'!$I28,PARTIDOS!BP$11),0)</f>
        <v>0</v>
      </c>
      <c r="CG28" s="24">
        <v>0</v>
      </c>
      <c r="CH28" s="19">
        <f>+IF('Datos delta'!BQ28&gt;0,REASIGN(0,'Datos Protegidos'!$I28,PARTIDOS!BR$11),0)</f>
        <v>0</v>
      </c>
      <c r="CI28" s="24">
        <v>0</v>
      </c>
      <c r="CJ28" s="19">
        <f>+IF('Datos delta'!BS28&gt;0,REASIGN(0,'Datos Protegidos'!$I28,PARTIDOS!BT$11),0)</f>
        <v>0</v>
      </c>
      <c r="CK28" s="24">
        <v>0</v>
      </c>
      <c r="CL28" s="19">
        <f>+IF('Datos delta'!BU28&gt;0,REASIGN(0,'Datos Protegidos'!$I28,PARTIDOS!BV$11),0)</f>
        <v>0</v>
      </c>
      <c r="CM28" s="24">
        <v>0</v>
      </c>
      <c r="CN28" s="19">
        <f>+IF('Datos delta'!BW28&gt;0,REASIGN(0,'Datos Protegidos'!$I28,PARTIDOS!BX$11),0)</f>
        <v>0</v>
      </c>
      <c r="CO28" s="24">
        <v>0</v>
      </c>
      <c r="CP28" s="19">
        <f>+IF('Datos delta'!BY28&gt;0,REASIGN(0,'Datos Protegidos'!$I28,PARTIDOS!BZ$11),0)</f>
        <v>0</v>
      </c>
      <c r="CQ28" s="24">
        <v>0</v>
      </c>
      <c r="CR28" s="19">
        <f>+IF('Datos delta'!CA28&gt;0,REASIGN(0,'Datos Protegidos'!$I28,PARTIDOS!CB$11),0)</f>
        <v>0</v>
      </c>
      <c r="CS28" s="24">
        <v>0</v>
      </c>
      <c r="CT28" s="19">
        <f>+IF('Datos delta'!CC28&gt;0,REASIGN(0,'Datos Protegidos'!$I28,PARTIDOS!CD$11),0)</f>
        <v>0</v>
      </c>
      <c r="CU28" s="24">
        <v>0</v>
      </c>
      <c r="CV28" s="19">
        <f>+IF('Datos delta'!CE28&gt;0,REASIGN(0,'Datos Protegidos'!$I28,PARTIDOS!CF$11),0)</f>
        <v>0</v>
      </c>
      <c r="CW28" s="24">
        <v>0</v>
      </c>
      <c r="CX28" s="19">
        <f>+IF('Datos delta'!CG28&gt;0,REASIGN(0,'Datos Protegidos'!$I28,PARTIDOS!CH$11),0)</f>
        <v>0</v>
      </c>
      <c r="CY28" s="24">
        <v>0</v>
      </c>
      <c r="CZ28" s="19">
        <f>+IF('Datos delta'!CI28&gt;0,REASIGN(0,'Datos Protegidos'!$I28,PARTIDOS!CJ$11),0)</f>
        <v>0</v>
      </c>
      <c r="DA28" s="24">
        <v>0</v>
      </c>
      <c r="DB28" s="19">
        <f>+IF('Datos delta'!CK28&gt;0,REASIGN(0,'Datos Protegidos'!$I28,PARTIDOS!CL$11),0)</f>
        <v>0</v>
      </c>
      <c r="DC28" s="24">
        <v>0</v>
      </c>
      <c r="DD28" s="19">
        <f>+IF('Datos delta'!CM28&gt;0,REASIGN(0,'Datos Protegidos'!$I28,PARTIDOS!CN$11),0)</f>
        <v>0</v>
      </c>
      <c r="DE28" s="24">
        <v>0</v>
      </c>
      <c r="DF28" s="19">
        <f>+IF('Datos delta'!CO28&gt;0,REASIGN(0,'Datos Protegidos'!$I28,PARTIDOS!CP$11),0)</f>
        <v>0</v>
      </c>
      <c r="DG28" s="24">
        <v>0</v>
      </c>
      <c r="DH28" s="19">
        <f>+IF('Datos delta'!CQ28&gt;0,REASIGN(0,'Datos Protegidos'!$I28,PARTIDOS!CR$11),0)</f>
        <v>0</v>
      </c>
      <c r="DI28" s="24">
        <v>0</v>
      </c>
      <c r="DJ28" s="19">
        <f>+IF('Datos delta'!CS28&gt;0,REASIGN(0,'Datos Protegidos'!$I28,PARTIDOS!CT$11),0)</f>
        <v>0</v>
      </c>
      <c r="DK28" s="24">
        <v>0</v>
      </c>
      <c r="DL28" s="19">
        <f>+IF('Datos delta'!CU28&gt;0,REASIGN(0,'Datos Protegidos'!$I28,PARTIDOS!CV$11),0)</f>
        <v>0</v>
      </c>
      <c r="DM28" s="24">
        <v>0</v>
      </c>
      <c r="DN28" s="19">
        <f>+IF('Datos delta'!CW28&gt;0,REASIGN(0,'Datos Protegidos'!$I28,PARTIDOS!CX$11),0)</f>
        <v>0</v>
      </c>
      <c r="DO28" s="24">
        <v>0</v>
      </c>
      <c r="DP28" s="19">
        <f>+IF('Datos delta'!CY28&gt;0,REASIGN(0,'Datos Protegidos'!$I28,PARTIDOS!CZ$11),0)</f>
        <v>0</v>
      </c>
      <c r="DQ28" s="24">
        <v>0</v>
      </c>
      <c r="DR28" s="19">
        <f>+IF('Datos delta'!DA28&gt;0,REASIGN(0,'Datos Protegidos'!$I28,PARTIDOS!DB$11),0)</f>
        <v>0</v>
      </c>
      <c r="DS28" s="24">
        <v>0</v>
      </c>
      <c r="DT28" s="19">
        <f>+IF('Datos delta'!DC28&gt;0,REASIGN(0,'Datos Protegidos'!$I28,PARTIDOS!DD$11),0)</f>
        <v>0</v>
      </c>
      <c r="DU28" s="24">
        <v>0</v>
      </c>
      <c r="DV28" s="19">
        <f>+IF('Datos delta'!DE28&gt;0,REASIGN(0,'Datos Protegidos'!$I28,PARTIDOS!DF$11),0)</f>
        <v>0</v>
      </c>
      <c r="DW28" s="24">
        <v>0</v>
      </c>
      <c r="DX28" s="19">
        <f>+IF('Datos delta'!DG28&gt;0,REASIGN(0,'Datos Protegidos'!$I28,PARTIDOS!DH$11),0)</f>
        <v>0</v>
      </c>
      <c r="DY28" s="24">
        <v>0</v>
      </c>
      <c r="DZ28" s="19">
        <f>+IF('Datos delta'!DI28&gt;0,REASIGN(0,'Datos Protegidos'!$I28,PARTIDOS!DJ$11),0)</f>
        <v>0</v>
      </c>
      <c r="EA28" s="24">
        <v>0</v>
      </c>
      <c r="EB28" s="19">
        <f>+IF('Datos delta'!DK28&gt;0,REASIGN(0,'Datos Protegidos'!$I28,PARTIDOS!DL$11),0)</f>
        <v>0</v>
      </c>
      <c r="EC28" s="24">
        <v>0</v>
      </c>
      <c r="ED28" s="19">
        <f>+IF('Datos delta'!DM28&gt;0,REASIGN(0,'Datos Protegidos'!$I28,PARTIDOS!DN$11),0)</f>
        <v>0</v>
      </c>
      <c r="EE28" s="24">
        <v>0</v>
      </c>
      <c r="EF28" s="19">
        <f>+IF('Datos delta'!DO28&gt;0,REASIGN(0,'Datos Protegidos'!$I28,PARTIDOS!DP$11),0)</f>
        <v>0</v>
      </c>
      <c r="EG28" s="24">
        <v>0</v>
      </c>
      <c r="EH28" s="19">
        <f>+IF('Datos delta'!DQ28&gt;0,REASIGN(0,'Datos Protegidos'!$I28,PARTIDOS!DR$11),0)</f>
        <v>0</v>
      </c>
      <c r="EI28" s="24">
        <v>0</v>
      </c>
      <c r="EJ28" s="19">
        <f>+IF('Datos delta'!DS28&gt;0,REASIGN(0,'Datos Protegidos'!$I28,PARTIDOS!DT$11),0)</f>
        <v>0</v>
      </c>
      <c r="EK28" s="24">
        <v>0</v>
      </c>
      <c r="EL28" s="19">
        <f>+IF('Datos delta'!DU28&gt;0,REASIGN(0,'Datos Protegidos'!$I28,PARTIDOS!DV$11),0)</f>
        <v>0</v>
      </c>
      <c r="EM28" s="24">
        <v>0</v>
      </c>
      <c r="EN28" s="19">
        <f>+IF('Datos delta'!DW28&gt;0,REASIGN(0,'Datos Protegidos'!$I28,PARTIDOS!DX$11),0)</f>
        <v>0</v>
      </c>
      <c r="EO28" s="24">
        <v>0</v>
      </c>
      <c r="EP28" s="19">
        <f>+IF('Datos delta'!DY28&gt;0,REASIGN(0,'Datos Protegidos'!$I28,PARTIDOS!DZ$11),0)</f>
        <v>0</v>
      </c>
      <c r="EQ28" s="24">
        <v>0</v>
      </c>
      <c r="ER28" s="19">
        <f>+IF('Datos delta'!EA28&gt;0,REASIGN(0,'Datos Protegidos'!$I28,PARTIDOS!EB$11),0)</f>
        <v>0</v>
      </c>
      <c r="ES28" s="24">
        <v>0</v>
      </c>
      <c r="ET28" s="19">
        <f>+IF('Datos delta'!EC28&gt;0,REASIGN(0,'Datos Protegidos'!$I28,PARTIDOS!ED$11),0)</f>
        <v>0</v>
      </c>
      <c r="EU28" s="24">
        <v>0</v>
      </c>
    </row>
    <row r="29" spans="1:151" x14ac:dyDescent="0.25">
      <c r="A29" s="24" t="s">
        <v>43</v>
      </c>
      <c r="B29" s="25">
        <v>42</v>
      </c>
      <c r="C29" s="24" t="s">
        <v>50</v>
      </c>
      <c r="D29" s="24">
        <v>88600</v>
      </c>
      <c r="E29" s="26">
        <v>255</v>
      </c>
      <c r="F29" s="26">
        <v>69905</v>
      </c>
      <c r="G29" s="26">
        <v>6922</v>
      </c>
      <c r="H29" s="26">
        <v>76827</v>
      </c>
      <c r="I29">
        <v>550</v>
      </c>
      <c r="J29" s="19">
        <f>+INT(([1]Hoja1!M29/[1]Hoja1!O29)*M29)</f>
        <v>46410</v>
      </c>
      <c r="K29" s="19">
        <f>+INT(([1]Hoja1!N29/[1]Hoja1!O29)*M29)</f>
        <v>45689</v>
      </c>
      <c r="L29" s="19">
        <f t="shared" si="1"/>
        <v>1559</v>
      </c>
      <c r="M29" s="19">
        <f t="shared" si="2"/>
        <v>721</v>
      </c>
      <c r="N29" s="22">
        <f t="shared" si="0"/>
        <v>0</v>
      </c>
      <c r="O29" s="26">
        <v>721</v>
      </c>
      <c r="P29" s="26">
        <v>838</v>
      </c>
      <c r="Q29" s="22">
        <f t="shared" si="3"/>
        <v>2</v>
      </c>
      <c r="R29" s="19">
        <f>+IF('Datos delta'!A29&gt;0,REASIGN(0,'Datos Protegidos'!$I29,PARTIDOS!B$11),0)</f>
        <v>0</v>
      </c>
      <c r="S29" s="24">
        <v>1</v>
      </c>
      <c r="T29" s="19">
        <f>+IF('Datos delta'!C29&gt;0,REASIGN(0,'Datos Protegidos'!$I29,PARTIDOS!D$11),0)</f>
        <v>0</v>
      </c>
      <c r="U29" s="24">
        <v>1</v>
      </c>
      <c r="V29" s="19">
        <f>+IF('Datos delta'!E29&gt;0,REASIGN(0,'Datos Protegidos'!$I29,PARTIDOS!F$11),0)</f>
        <v>0</v>
      </c>
      <c r="W29" s="24">
        <v>0</v>
      </c>
      <c r="X29" s="19">
        <f>+IF('Datos delta'!G29&gt;0,REASIGN(0,'Datos Protegidos'!$I29,PARTIDOS!H$11),0)</f>
        <v>0</v>
      </c>
      <c r="Y29" s="24">
        <v>0</v>
      </c>
      <c r="Z29" s="19">
        <f>+IF('Datos delta'!I29&gt;0,REASIGN(0,'Datos Protegidos'!$I29,PARTIDOS!J$11),0)</f>
        <v>0</v>
      </c>
      <c r="AA29" s="24">
        <v>0</v>
      </c>
      <c r="AB29" s="19">
        <f>+IF('Datos delta'!K29&gt;0,REASIGN(0,'Datos Protegidos'!$I29,PARTIDOS!L$11),0)</f>
        <v>0</v>
      </c>
      <c r="AC29" s="24">
        <v>0</v>
      </c>
      <c r="AD29" s="19">
        <f>+IF('Datos delta'!M29&gt;0,REASIGN(0,'Datos Protegidos'!$I29,PARTIDOS!N$11),0)</f>
        <v>0</v>
      </c>
      <c r="AE29" s="24">
        <v>0</v>
      </c>
      <c r="AF29" s="19">
        <f>+IF('Datos delta'!O29&gt;0,REASIGN(0,'Datos Protegidos'!$I29,PARTIDOS!P$11),0)</f>
        <v>0</v>
      </c>
      <c r="AG29" s="24">
        <v>0</v>
      </c>
      <c r="AH29" s="19">
        <f>+IF('Datos delta'!Q29&gt;0,REASIGN(0,'Datos Protegidos'!$I29,PARTIDOS!R$11),0)</f>
        <v>0</v>
      </c>
      <c r="AI29" s="24">
        <v>0</v>
      </c>
      <c r="AJ29" s="19">
        <f>+IF('Datos delta'!S29&gt;0,REASIGN(0,'Datos Protegidos'!$I29,PARTIDOS!T$11),0)</f>
        <v>0</v>
      </c>
      <c r="AK29" s="24">
        <v>0</v>
      </c>
      <c r="AL29" s="19">
        <f>+IF('Datos delta'!U29&gt;0,REASIGN(0,'Datos Protegidos'!$I29,PARTIDOS!V$11),0)</f>
        <v>0</v>
      </c>
      <c r="AM29" s="24">
        <v>0</v>
      </c>
      <c r="AN29" s="19">
        <f>+IF('Datos delta'!W29&gt;0,REASIGN(0,'Datos Protegidos'!$I29,PARTIDOS!X$11),0)</f>
        <v>0</v>
      </c>
      <c r="AO29" s="24">
        <v>0</v>
      </c>
      <c r="AP29" s="19">
        <f>+IF('Datos delta'!Y29&gt;0,REASIGN(0,'Datos Protegidos'!$I29,PARTIDOS!Z$11),0)</f>
        <v>0</v>
      </c>
      <c r="AQ29" s="24">
        <v>0</v>
      </c>
      <c r="AR29" s="19">
        <f>+IF('Datos delta'!AA29&gt;0,REASIGN(0,'Datos Protegidos'!$I29,PARTIDOS!AB$11),0)</f>
        <v>0</v>
      </c>
      <c r="AS29" s="24">
        <v>0</v>
      </c>
      <c r="AT29" s="19">
        <f>+IF('Datos delta'!AC29&gt;0,REASIGN(0,'Datos Protegidos'!$I29,PARTIDOS!AD$11),0)</f>
        <v>0</v>
      </c>
      <c r="AU29" s="24">
        <v>0</v>
      </c>
      <c r="AV29" s="19">
        <f>+IF('Datos delta'!AE29&gt;0,REASIGN(0,'Datos Protegidos'!$I29,PARTIDOS!AF$11),0)</f>
        <v>0</v>
      </c>
      <c r="AW29" s="24">
        <v>0</v>
      </c>
      <c r="AX29" s="19">
        <f>+IF('Datos delta'!AG29&gt;0,REASIGN(0,'Datos Protegidos'!$I29,PARTIDOS!AH$11),0)</f>
        <v>0</v>
      </c>
      <c r="AY29" s="24">
        <v>0</v>
      </c>
      <c r="AZ29" s="19">
        <f>+IF('Datos delta'!AI29&gt;0,REASIGN(0,'Datos Protegidos'!$I29,PARTIDOS!AJ$11),0)</f>
        <v>0</v>
      </c>
      <c r="BA29" s="24">
        <v>0</v>
      </c>
      <c r="BB29" s="19">
        <f>+IF('Datos delta'!AK29&gt;0,REASIGN(0,'Datos Protegidos'!$I29,PARTIDOS!AL$11),0)</f>
        <v>0</v>
      </c>
      <c r="BC29" s="24">
        <v>0</v>
      </c>
      <c r="BD29" s="19">
        <f>+IF('Datos delta'!AM29&gt;0,REASIGN(0,'Datos Protegidos'!$I29,PARTIDOS!AN$11),0)</f>
        <v>0</v>
      </c>
      <c r="BE29" s="24">
        <v>0</v>
      </c>
      <c r="BF29" s="19">
        <f>+IF('Datos delta'!AO29&gt;0,REASIGN(0,'Datos Protegidos'!$I29,PARTIDOS!AP$11),0)</f>
        <v>0</v>
      </c>
      <c r="BG29" s="24">
        <v>0</v>
      </c>
      <c r="BH29" s="19">
        <f>+IF('Datos delta'!AQ29&gt;0,REASIGN(0,'Datos Protegidos'!$I29,PARTIDOS!AR$11),0)</f>
        <v>0</v>
      </c>
      <c r="BI29" s="24">
        <v>0</v>
      </c>
      <c r="BJ29" s="19">
        <f>+IF('Datos delta'!AS29&gt;0,REASIGN(0,'Datos Protegidos'!$I29,PARTIDOS!AT$11),0)</f>
        <v>0</v>
      </c>
      <c r="BK29" s="24">
        <v>0</v>
      </c>
      <c r="BL29" s="19">
        <f>+IF('Datos delta'!AU29&gt;0,REASIGN(0,'Datos Protegidos'!$I29,PARTIDOS!AV$11),0)</f>
        <v>0</v>
      </c>
      <c r="BM29" s="24">
        <v>0</v>
      </c>
      <c r="BN29" s="19">
        <f>+IF('Datos delta'!AW29&gt;0,REASIGN(0,'Datos Protegidos'!$I29,PARTIDOS!AX$11),0)</f>
        <v>0</v>
      </c>
      <c r="BO29" s="24">
        <v>0</v>
      </c>
      <c r="BP29" s="19">
        <f>+IF('Datos delta'!AY29&gt;0,REASIGN(0,'Datos Protegidos'!$I29,PARTIDOS!AZ$11),0)</f>
        <v>0</v>
      </c>
      <c r="BQ29" s="24">
        <v>0</v>
      </c>
      <c r="BR29" s="19">
        <f>+IF('Datos delta'!BA29&gt;0,REASIGN(0,'Datos Protegidos'!$I29,PARTIDOS!BB$11),0)</f>
        <v>0</v>
      </c>
      <c r="BS29" s="24">
        <v>0</v>
      </c>
      <c r="BT29" s="19">
        <f>+IF('Datos delta'!BC29&gt;0,REASIGN(0,'Datos Protegidos'!$I29,PARTIDOS!BD$11),0)</f>
        <v>0</v>
      </c>
      <c r="BU29" s="24">
        <v>0</v>
      </c>
      <c r="BV29" s="19">
        <f>+IF('Datos delta'!BE29&gt;0,REASIGN(0,'Datos Protegidos'!$I29,PARTIDOS!BF$11),0)</f>
        <v>0</v>
      </c>
      <c r="BW29" s="24">
        <v>0</v>
      </c>
      <c r="BX29" s="19">
        <f>+IF('Datos delta'!BG29&gt;0,REASIGN(0,'Datos Protegidos'!$I29,PARTIDOS!BH$11),0)</f>
        <v>0</v>
      </c>
      <c r="BY29" s="24">
        <v>0</v>
      </c>
      <c r="BZ29" s="19">
        <f>+IF('Datos delta'!BI29&gt;0,REASIGN(0,'Datos Protegidos'!$I29,PARTIDOS!BJ$11),0)</f>
        <v>0</v>
      </c>
      <c r="CA29" s="24">
        <v>0</v>
      </c>
      <c r="CB29" s="19">
        <f>+IF('Datos delta'!BK29&gt;0,REASIGN(0,'Datos Protegidos'!$I29,PARTIDOS!BL$11),0)</f>
        <v>0</v>
      </c>
      <c r="CC29" s="24">
        <v>0</v>
      </c>
      <c r="CD29" s="19">
        <f>+IF('Datos delta'!BM29&gt;0,REASIGN(0,'Datos Protegidos'!$I29,PARTIDOS!BN$11),0)</f>
        <v>0</v>
      </c>
      <c r="CE29" s="24">
        <v>0</v>
      </c>
      <c r="CF29" s="19">
        <f>+IF('Datos delta'!BO29&gt;0,REASIGN(0,'Datos Protegidos'!$I29,PARTIDOS!BP$11),0)</f>
        <v>0</v>
      </c>
      <c r="CG29" s="24">
        <v>0</v>
      </c>
      <c r="CH29" s="19">
        <f>+IF('Datos delta'!BQ29&gt;0,REASIGN(0,'Datos Protegidos'!$I29,PARTIDOS!BR$11),0)</f>
        <v>0</v>
      </c>
      <c r="CI29" s="24">
        <v>0</v>
      </c>
      <c r="CJ29" s="19">
        <f>+IF('Datos delta'!BS29&gt;0,REASIGN(0,'Datos Protegidos'!$I29,PARTIDOS!BT$11),0)</f>
        <v>0</v>
      </c>
      <c r="CK29" s="24">
        <v>0</v>
      </c>
      <c r="CL29" s="19">
        <f>+IF('Datos delta'!BU29&gt;0,REASIGN(0,'Datos Protegidos'!$I29,PARTIDOS!BV$11),0)</f>
        <v>0</v>
      </c>
      <c r="CM29" s="24">
        <v>0</v>
      </c>
      <c r="CN29" s="19">
        <f>+IF('Datos delta'!BW29&gt;0,REASIGN(0,'Datos Protegidos'!$I29,PARTIDOS!BX$11),0)</f>
        <v>0</v>
      </c>
      <c r="CO29" s="24">
        <v>0</v>
      </c>
      <c r="CP29" s="19">
        <f>+IF('Datos delta'!BY29&gt;0,REASIGN(0,'Datos Protegidos'!$I29,PARTIDOS!BZ$11),0)</f>
        <v>0</v>
      </c>
      <c r="CQ29" s="24">
        <v>0</v>
      </c>
      <c r="CR29" s="19">
        <f>+IF('Datos delta'!CA29&gt;0,REASIGN(0,'Datos Protegidos'!$I29,PARTIDOS!CB$11),0)</f>
        <v>0</v>
      </c>
      <c r="CS29" s="24">
        <v>0</v>
      </c>
      <c r="CT29" s="19">
        <f>+IF('Datos delta'!CC29&gt;0,REASIGN(0,'Datos Protegidos'!$I29,PARTIDOS!CD$11),0)</f>
        <v>0</v>
      </c>
      <c r="CU29" s="24">
        <v>0</v>
      </c>
      <c r="CV29" s="19">
        <f>+IF('Datos delta'!CE29&gt;0,REASIGN(0,'Datos Protegidos'!$I29,PARTIDOS!CF$11),0)</f>
        <v>0</v>
      </c>
      <c r="CW29" s="24">
        <v>0</v>
      </c>
      <c r="CX29" s="19">
        <f>+IF('Datos delta'!CG29&gt;0,REASIGN(0,'Datos Protegidos'!$I29,PARTIDOS!CH$11),0)</f>
        <v>0</v>
      </c>
      <c r="CY29" s="24">
        <v>0</v>
      </c>
      <c r="CZ29" s="19">
        <f>+IF('Datos delta'!CI29&gt;0,REASIGN(0,'Datos Protegidos'!$I29,PARTIDOS!CJ$11),0)</f>
        <v>0</v>
      </c>
      <c r="DA29" s="24">
        <v>0</v>
      </c>
      <c r="DB29" s="19">
        <f>+IF('Datos delta'!CK29&gt;0,REASIGN(0,'Datos Protegidos'!$I29,PARTIDOS!CL$11),0)</f>
        <v>0</v>
      </c>
      <c r="DC29" s="24">
        <v>0</v>
      </c>
      <c r="DD29" s="19">
        <f>+IF('Datos delta'!CM29&gt;0,REASIGN(0,'Datos Protegidos'!$I29,PARTIDOS!CN$11),0)</f>
        <v>0</v>
      </c>
      <c r="DE29" s="24">
        <v>0</v>
      </c>
      <c r="DF29" s="19">
        <f>+IF('Datos delta'!CO29&gt;0,REASIGN(0,'Datos Protegidos'!$I29,PARTIDOS!CP$11),0)</f>
        <v>0</v>
      </c>
      <c r="DG29" s="24">
        <v>0</v>
      </c>
      <c r="DH29" s="19">
        <f>+IF('Datos delta'!CQ29&gt;0,REASIGN(0,'Datos Protegidos'!$I29,PARTIDOS!CR$11),0)</f>
        <v>0</v>
      </c>
      <c r="DI29" s="24">
        <v>0</v>
      </c>
      <c r="DJ29" s="19">
        <f>+IF('Datos delta'!CS29&gt;0,REASIGN(0,'Datos Protegidos'!$I29,PARTIDOS!CT$11),0)</f>
        <v>0</v>
      </c>
      <c r="DK29" s="24">
        <v>0</v>
      </c>
      <c r="DL29" s="19">
        <f>+IF('Datos delta'!CU29&gt;0,REASIGN(0,'Datos Protegidos'!$I29,PARTIDOS!CV$11),0)</f>
        <v>0</v>
      </c>
      <c r="DM29" s="24">
        <v>0</v>
      </c>
      <c r="DN29" s="19">
        <f>+IF('Datos delta'!CW29&gt;0,REASIGN(0,'Datos Protegidos'!$I29,PARTIDOS!CX$11),0)</f>
        <v>0</v>
      </c>
      <c r="DO29" s="24">
        <v>0</v>
      </c>
      <c r="DP29" s="19">
        <f>+IF('Datos delta'!CY29&gt;0,REASIGN(0,'Datos Protegidos'!$I29,PARTIDOS!CZ$11),0)</f>
        <v>0</v>
      </c>
      <c r="DQ29" s="24">
        <v>0</v>
      </c>
      <c r="DR29" s="19">
        <f>+IF('Datos delta'!DA29&gt;0,REASIGN(0,'Datos Protegidos'!$I29,PARTIDOS!DB$11),0)</f>
        <v>0</v>
      </c>
      <c r="DS29" s="24">
        <v>0</v>
      </c>
      <c r="DT29" s="19">
        <f>+IF('Datos delta'!DC29&gt;0,REASIGN(0,'Datos Protegidos'!$I29,PARTIDOS!DD$11),0)</f>
        <v>0</v>
      </c>
      <c r="DU29" s="24">
        <v>0</v>
      </c>
      <c r="DV29" s="19">
        <f>+IF('Datos delta'!DE29&gt;0,REASIGN(0,'Datos Protegidos'!$I29,PARTIDOS!DF$11),0)</f>
        <v>0</v>
      </c>
      <c r="DW29" s="24">
        <v>0</v>
      </c>
      <c r="DX29" s="19">
        <f>+IF('Datos delta'!DG29&gt;0,REASIGN(0,'Datos Protegidos'!$I29,PARTIDOS!DH$11),0)</f>
        <v>0</v>
      </c>
      <c r="DY29" s="24">
        <v>0</v>
      </c>
      <c r="DZ29" s="19">
        <f>+IF('Datos delta'!DI29&gt;0,REASIGN(0,'Datos Protegidos'!$I29,PARTIDOS!DJ$11),0)</f>
        <v>0</v>
      </c>
      <c r="EA29" s="24">
        <v>0</v>
      </c>
      <c r="EB29" s="19">
        <f>+IF('Datos delta'!DK29&gt;0,REASIGN(0,'Datos Protegidos'!$I29,PARTIDOS!DL$11),0)</f>
        <v>0</v>
      </c>
      <c r="EC29" s="24">
        <v>0</v>
      </c>
      <c r="ED29" s="19">
        <f>+IF('Datos delta'!DM29&gt;0,REASIGN(0,'Datos Protegidos'!$I29,PARTIDOS!DN$11),0)</f>
        <v>0</v>
      </c>
      <c r="EE29" s="24">
        <v>0</v>
      </c>
      <c r="EF29" s="19">
        <f>+IF('Datos delta'!DO29&gt;0,REASIGN(0,'Datos Protegidos'!$I29,PARTIDOS!DP$11),0)</f>
        <v>0</v>
      </c>
      <c r="EG29" s="24">
        <v>0</v>
      </c>
      <c r="EH29" s="19">
        <f>+IF('Datos delta'!DQ29&gt;0,REASIGN(0,'Datos Protegidos'!$I29,PARTIDOS!DR$11),0)</f>
        <v>0</v>
      </c>
      <c r="EI29" s="24">
        <v>0</v>
      </c>
      <c r="EJ29" s="19">
        <f>+IF('Datos delta'!DS29&gt;0,REASIGN(0,'Datos Protegidos'!$I29,PARTIDOS!DT$11),0)</f>
        <v>0</v>
      </c>
      <c r="EK29" s="24">
        <v>0</v>
      </c>
      <c r="EL29" s="19">
        <f>+IF('Datos delta'!DU29&gt;0,REASIGN(0,'Datos Protegidos'!$I29,PARTIDOS!DV$11),0)</f>
        <v>0</v>
      </c>
      <c r="EM29" s="24">
        <v>0</v>
      </c>
      <c r="EN29" s="19">
        <f>+IF('Datos delta'!DW29&gt;0,REASIGN(0,'Datos Protegidos'!$I29,PARTIDOS!DX$11),0)</f>
        <v>0</v>
      </c>
      <c r="EO29" s="24">
        <v>0</v>
      </c>
      <c r="EP29" s="19">
        <f>+IF('Datos delta'!DY29&gt;0,REASIGN(0,'Datos Protegidos'!$I29,PARTIDOS!DZ$11),0)</f>
        <v>0</v>
      </c>
      <c r="EQ29" s="24">
        <v>0</v>
      </c>
      <c r="ER29" s="19">
        <f>+IF('Datos delta'!EA29&gt;0,REASIGN(0,'Datos Protegidos'!$I29,PARTIDOS!EB$11),0)</f>
        <v>0</v>
      </c>
      <c r="ES29" s="24">
        <v>0</v>
      </c>
      <c r="ET29" s="19">
        <f>+IF('Datos delta'!EC29&gt;0,REASIGN(0,'Datos Protegidos'!$I29,PARTIDOS!ED$11),0)</f>
        <v>0</v>
      </c>
      <c r="EU29" s="24">
        <v>0</v>
      </c>
    </row>
    <row r="30" spans="1:151" x14ac:dyDescent="0.25">
      <c r="A30" s="24" t="s">
        <v>43</v>
      </c>
      <c r="B30" s="25">
        <v>47</v>
      </c>
      <c r="C30" s="24" t="s">
        <v>51</v>
      </c>
      <c r="D30" s="24">
        <v>519851</v>
      </c>
      <c r="E30" s="26">
        <v>769</v>
      </c>
      <c r="F30" s="26">
        <v>418782</v>
      </c>
      <c r="G30" s="26">
        <v>13873</v>
      </c>
      <c r="H30" s="26">
        <v>432655</v>
      </c>
      <c r="I30" s="1">
        <v>2577</v>
      </c>
      <c r="J30" s="19">
        <f>+INT(([1]Hoja1!M30/[1]Hoja1!O30)*M30)</f>
        <v>311454</v>
      </c>
      <c r="K30" s="19">
        <f>+INT(([1]Hoja1!N30/[1]Hoja1!O30)*M30)</f>
        <v>308307</v>
      </c>
      <c r="L30" s="19">
        <f t="shared" si="1"/>
        <v>6480</v>
      </c>
      <c r="M30" s="19">
        <f t="shared" si="2"/>
        <v>3147</v>
      </c>
      <c r="N30" s="22">
        <f t="shared" si="0"/>
        <v>0</v>
      </c>
      <c r="O30" s="26">
        <v>3147</v>
      </c>
      <c r="P30" s="26">
        <v>3333</v>
      </c>
      <c r="Q30" s="22">
        <f t="shared" si="3"/>
        <v>5</v>
      </c>
      <c r="R30" s="19">
        <f>+IF('Datos delta'!A30&gt;0,REASIGN(0,'Datos Protegidos'!$I30,PARTIDOS!B$11),0)</f>
        <v>0</v>
      </c>
      <c r="S30" s="24">
        <v>2</v>
      </c>
      <c r="T30" s="19">
        <f>+IF('Datos delta'!C30&gt;0,REASIGN(0,'Datos Protegidos'!$I30,PARTIDOS!D$11),0)</f>
        <v>0</v>
      </c>
      <c r="U30" s="24">
        <v>2</v>
      </c>
      <c r="V30" s="19">
        <f>+IF('Datos delta'!E30&gt;0,REASIGN(0,'Datos Protegidos'!$I30,PARTIDOS!F$11),0)</f>
        <v>0</v>
      </c>
      <c r="W30" s="24">
        <v>1</v>
      </c>
      <c r="X30" s="19">
        <f>+IF('Datos delta'!G30&gt;0,REASIGN(0,'Datos Protegidos'!$I30,PARTIDOS!H$11),0)</f>
        <v>0</v>
      </c>
      <c r="Y30" s="24">
        <v>0</v>
      </c>
      <c r="Z30" s="19">
        <f>+IF('Datos delta'!I30&gt;0,REASIGN(0,'Datos Protegidos'!$I30,PARTIDOS!J$11),0)</f>
        <v>0</v>
      </c>
      <c r="AA30" s="24">
        <v>0</v>
      </c>
      <c r="AB30" s="19">
        <f>+IF('Datos delta'!K30&gt;0,REASIGN(0,'Datos Protegidos'!$I30,PARTIDOS!L$11),0)</f>
        <v>0</v>
      </c>
      <c r="AC30" s="24">
        <v>0</v>
      </c>
      <c r="AD30" s="19">
        <f>+IF('Datos delta'!M30&gt;0,REASIGN(0,'Datos Protegidos'!$I30,PARTIDOS!N$11),0)</f>
        <v>0</v>
      </c>
      <c r="AE30" s="24">
        <v>0</v>
      </c>
      <c r="AF30" s="19">
        <f>+IF('Datos delta'!O30&gt;0,REASIGN(0,'Datos Protegidos'!$I30,PARTIDOS!P$11),0)</f>
        <v>0</v>
      </c>
      <c r="AG30" s="24">
        <v>0</v>
      </c>
      <c r="AH30" s="19">
        <f>+IF('Datos delta'!Q30&gt;0,REASIGN(0,'Datos Protegidos'!$I30,PARTIDOS!R$11),0)</f>
        <v>0</v>
      </c>
      <c r="AI30" s="24">
        <v>0</v>
      </c>
      <c r="AJ30" s="19">
        <f>+IF('Datos delta'!S30&gt;0,REASIGN(0,'Datos Protegidos'!$I30,PARTIDOS!T$11),0)</f>
        <v>0</v>
      </c>
      <c r="AK30" s="24">
        <v>0</v>
      </c>
      <c r="AL30" s="19">
        <f>+IF('Datos delta'!U30&gt;0,REASIGN(0,'Datos Protegidos'!$I30,PARTIDOS!V$11),0)</f>
        <v>0</v>
      </c>
      <c r="AM30" s="24">
        <v>0</v>
      </c>
      <c r="AN30" s="19">
        <f>+IF('Datos delta'!W30&gt;0,REASIGN(0,'Datos Protegidos'!$I30,PARTIDOS!X$11),0)</f>
        <v>0</v>
      </c>
      <c r="AO30" s="24">
        <v>0</v>
      </c>
      <c r="AP30" s="19">
        <f>+IF('Datos delta'!Y30&gt;0,REASIGN(0,'Datos Protegidos'!$I30,PARTIDOS!Z$11),0)</f>
        <v>0</v>
      </c>
      <c r="AQ30" s="24">
        <v>0</v>
      </c>
      <c r="AR30" s="19">
        <f>+IF('Datos delta'!AA30&gt;0,REASIGN(0,'Datos Protegidos'!$I30,PARTIDOS!AB$11),0)</f>
        <v>0</v>
      </c>
      <c r="AS30" s="24">
        <v>0</v>
      </c>
      <c r="AT30" s="19">
        <f>+IF('Datos delta'!AC30&gt;0,REASIGN(0,'Datos Protegidos'!$I30,PARTIDOS!AD$11),0)</f>
        <v>0</v>
      </c>
      <c r="AU30" s="24">
        <v>0</v>
      </c>
      <c r="AV30" s="19">
        <f>+IF('Datos delta'!AE30&gt;0,REASIGN(0,'Datos Protegidos'!$I30,PARTIDOS!AF$11),0)</f>
        <v>0</v>
      </c>
      <c r="AW30" s="24">
        <v>0</v>
      </c>
      <c r="AX30" s="19">
        <f>+IF('Datos delta'!AG30&gt;0,REASIGN(0,'Datos Protegidos'!$I30,PARTIDOS!AH$11),0)</f>
        <v>0</v>
      </c>
      <c r="AY30" s="24">
        <v>0</v>
      </c>
      <c r="AZ30" s="19">
        <f>+IF('Datos delta'!AI30&gt;0,REASIGN(0,'Datos Protegidos'!$I30,PARTIDOS!AJ$11),0)</f>
        <v>0</v>
      </c>
      <c r="BA30" s="24">
        <v>0</v>
      </c>
      <c r="BB30" s="19">
        <f>+IF('Datos delta'!AK30&gt;0,REASIGN(0,'Datos Protegidos'!$I30,PARTIDOS!AL$11),0)</f>
        <v>0</v>
      </c>
      <c r="BC30" s="24">
        <v>0</v>
      </c>
      <c r="BD30" s="19">
        <f>+IF('Datos delta'!AM30&gt;0,REASIGN(0,'Datos Protegidos'!$I30,PARTIDOS!AN$11),0)</f>
        <v>0</v>
      </c>
      <c r="BE30" s="24">
        <v>0</v>
      </c>
      <c r="BF30" s="19">
        <f>+IF('Datos delta'!AO30&gt;0,REASIGN(0,'Datos Protegidos'!$I30,PARTIDOS!AP$11),0)</f>
        <v>0</v>
      </c>
      <c r="BG30" s="24">
        <v>0</v>
      </c>
      <c r="BH30" s="19">
        <f>+IF('Datos delta'!AQ30&gt;0,REASIGN(0,'Datos Protegidos'!$I30,PARTIDOS!AR$11),0)</f>
        <v>0</v>
      </c>
      <c r="BI30" s="24">
        <v>0</v>
      </c>
      <c r="BJ30" s="19">
        <f>+IF('Datos delta'!AS30&gt;0,REASIGN(0,'Datos Protegidos'!$I30,PARTIDOS!AT$11),0)</f>
        <v>0</v>
      </c>
      <c r="BK30" s="24">
        <v>0</v>
      </c>
      <c r="BL30" s="19">
        <f>+IF('Datos delta'!AU30&gt;0,REASIGN(0,'Datos Protegidos'!$I30,PARTIDOS!AV$11),0)</f>
        <v>0</v>
      </c>
      <c r="BM30" s="24">
        <v>0</v>
      </c>
      <c r="BN30" s="19">
        <f>+IF('Datos delta'!AW30&gt;0,REASIGN(0,'Datos Protegidos'!$I30,PARTIDOS!AX$11),0)</f>
        <v>0</v>
      </c>
      <c r="BO30" s="24">
        <v>0</v>
      </c>
      <c r="BP30" s="19">
        <f>+IF('Datos delta'!AY30&gt;0,REASIGN(0,'Datos Protegidos'!$I30,PARTIDOS!AZ$11),0)</f>
        <v>0</v>
      </c>
      <c r="BQ30" s="24">
        <v>0</v>
      </c>
      <c r="BR30" s="19">
        <f>+IF('Datos delta'!BA30&gt;0,REASIGN(0,'Datos Protegidos'!$I30,PARTIDOS!BB$11),0)</f>
        <v>0</v>
      </c>
      <c r="BS30" s="24">
        <v>0</v>
      </c>
      <c r="BT30" s="19">
        <f>+IF('Datos delta'!BC30&gt;0,REASIGN(0,'Datos Protegidos'!$I30,PARTIDOS!BD$11),0)</f>
        <v>0</v>
      </c>
      <c r="BU30" s="24">
        <v>0</v>
      </c>
      <c r="BV30" s="19">
        <f>+IF('Datos delta'!BE30&gt;0,REASIGN(0,'Datos Protegidos'!$I30,PARTIDOS!BF$11),0)</f>
        <v>0</v>
      </c>
      <c r="BW30" s="24">
        <v>0</v>
      </c>
      <c r="BX30" s="19">
        <f>+IF('Datos delta'!BG30&gt;0,REASIGN(0,'Datos Protegidos'!$I30,PARTIDOS!BH$11),0)</f>
        <v>0</v>
      </c>
      <c r="BY30" s="24">
        <v>0</v>
      </c>
      <c r="BZ30" s="19">
        <f>+IF('Datos delta'!BI30&gt;0,REASIGN(0,'Datos Protegidos'!$I30,PARTIDOS!BJ$11),0)</f>
        <v>0</v>
      </c>
      <c r="CA30" s="24">
        <v>0</v>
      </c>
      <c r="CB30" s="19">
        <f>+IF('Datos delta'!BK30&gt;0,REASIGN(0,'Datos Protegidos'!$I30,PARTIDOS!BL$11),0)</f>
        <v>0</v>
      </c>
      <c r="CC30" s="24">
        <v>0</v>
      </c>
      <c r="CD30" s="19">
        <f>+IF('Datos delta'!BM30&gt;0,REASIGN(0,'Datos Protegidos'!$I30,PARTIDOS!BN$11),0)</f>
        <v>0</v>
      </c>
      <c r="CE30" s="24">
        <v>0</v>
      </c>
      <c r="CF30" s="19">
        <f>+IF('Datos delta'!BO30&gt;0,REASIGN(0,'Datos Protegidos'!$I30,PARTIDOS!BP$11),0)</f>
        <v>0</v>
      </c>
      <c r="CG30" s="24">
        <v>0</v>
      </c>
      <c r="CH30" s="19">
        <f>+IF('Datos delta'!BQ30&gt;0,REASIGN(0,'Datos Protegidos'!$I30,PARTIDOS!BR$11),0)</f>
        <v>0</v>
      </c>
      <c r="CI30" s="24">
        <v>0</v>
      </c>
      <c r="CJ30" s="19">
        <f>+IF('Datos delta'!BS30&gt;0,REASIGN(0,'Datos Protegidos'!$I30,PARTIDOS!BT$11),0)</f>
        <v>0</v>
      </c>
      <c r="CK30" s="24">
        <v>0</v>
      </c>
      <c r="CL30" s="19">
        <f>+IF('Datos delta'!BU30&gt;0,REASIGN(0,'Datos Protegidos'!$I30,PARTIDOS!BV$11),0)</f>
        <v>0</v>
      </c>
      <c r="CM30" s="24">
        <v>0</v>
      </c>
      <c r="CN30" s="19">
        <f>+IF('Datos delta'!BW30&gt;0,REASIGN(0,'Datos Protegidos'!$I30,PARTIDOS!BX$11),0)</f>
        <v>0</v>
      </c>
      <c r="CO30" s="24">
        <v>0</v>
      </c>
      <c r="CP30" s="19">
        <f>+IF('Datos delta'!BY30&gt;0,REASIGN(0,'Datos Protegidos'!$I30,PARTIDOS!BZ$11),0)</f>
        <v>0</v>
      </c>
      <c r="CQ30" s="24">
        <v>0</v>
      </c>
      <c r="CR30" s="19">
        <f>+IF('Datos delta'!CA30&gt;0,REASIGN(0,'Datos Protegidos'!$I30,PARTIDOS!CB$11),0)</f>
        <v>0</v>
      </c>
      <c r="CS30" s="24">
        <v>0</v>
      </c>
      <c r="CT30" s="19">
        <f>+IF('Datos delta'!CC30&gt;0,REASIGN(0,'Datos Protegidos'!$I30,PARTIDOS!CD$11),0)</f>
        <v>0</v>
      </c>
      <c r="CU30" s="24">
        <v>0</v>
      </c>
      <c r="CV30" s="19">
        <f>+IF('Datos delta'!CE30&gt;0,REASIGN(0,'Datos Protegidos'!$I30,PARTIDOS!CF$11),0)</f>
        <v>0</v>
      </c>
      <c r="CW30" s="24">
        <v>0</v>
      </c>
      <c r="CX30" s="19">
        <f>+IF('Datos delta'!CG30&gt;0,REASIGN(0,'Datos Protegidos'!$I30,PARTIDOS!CH$11),0)</f>
        <v>0</v>
      </c>
      <c r="CY30" s="24">
        <v>0</v>
      </c>
      <c r="CZ30" s="19">
        <f>+IF('Datos delta'!CI30&gt;0,REASIGN(0,'Datos Protegidos'!$I30,PARTIDOS!CJ$11),0)</f>
        <v>0</v>
      </c>
      <c r="DA30" s="24">
        <v>0</v>
      </c>
      <c r="DB30" s="19">
        <f>+IF('Datos delta'!CK30&gt;0,REASIGN(0,'Datos Protegidos'!$I30,PARTIDOS!CL$11),0)</f>
        <v>0</v>
      </c>
      <c r="DC30" s="24">
        <v>0</v>
      </c>
      <c r="DD30" s="19">
        <f>+IF('Datos delta'!CM30&gt;0,REASIGN(0,'Datos Protegidos'!$I30,PARTIDOS!CN$11),0)</f>
        <v>0</v>
      </c>
      <c r="DE30" s="24">
        <v>0</v>
      </c>
      <c r="DF30" s="19">
        <f>+IF('Datos delta'!CO30&gt;0,REASIGN(0,'Datos Protegidos'!$I30,PARTIDOS!CP$11),0)</f>
        <v>0</v>
      </c>
      <c r="DG30" s="24">
        <v>0</v>
      </c>
      <c r="DH30" s="19">
        <f>+IF('Datos delta'!CQ30&gt;0,REASIGN(0,'Datos Protegidos'!$I30,PARTIDOS!CR$11),0)</f>
        <v>0</v>
      </c>
      <c r="DI30" s="24">
        <v>0</v>
      </c>
      <c r="DJ30" s="19">
        <f>+IF('Datos delta'!CS30&gt;0,REASIGN(0,'Datos Protegidos'!$I30,PARTIDOS!CT$11),0)</f>
        <v>0</v>
      </c>
      <c r="DK30" s="24">
        <v>0</v>
      </c>
      <c r="DL30" s="19">
        <f>+IF('Datos delta'!CU30&gt;0,REASIGN(0,'Datos Protegidos'!$I30,PARTIDOS!CV$11),0)</f>
        <v>0</v>
      </c>
      <c r="DM30" s="24">
        <v>0</v>
      </c>
      <c r="DN30" s="19">
        <f>+IF('Datos delta'!CW30&gt;0,REASIGN(0,'Datos Protegidos'!$I30,PARTIDOS!CX$11),0)</f>
        <v>0</v>
      </c>
      <c r="DO30" s="24">
        <v>0</v>
      </c>
      <c r="DP30" s="19">
        <f>+IF('Datos delta'!CY30&gt;0,REASIGN(0,'Datos Protegidos'!$I30,PARTIDOS!CZ$11),0)</f>
        <v>0</v>
      </c>
      <c r="DQ30" s="24">
        <v>0</v>
      </c>
      <c r="DR30" s="19">
        <f>+IF('Datos delta'!DA30&gt;0,REASIGN(0,'Datos Protegidos'!$I30,PARTIDOS!DB$11),0)</f>
        <v>0</v>
      </c>
      <c r="DS30" s="24">
        <v>0</v>
      </c>
      <c r="DT30" s="19">
        <f>+IF('Datos delta'!DC30&gt;0,REASIGN(0,'Datos Protegidos'!$I30,PARTIDOS!DD$11),0)</f>
        <v>0</v>
      </c>
      <c r="DU30" s="24">
        <v>0</v>
      </c>
      <c r="DV30" s="19">
        <f>+IF('Datos delta'!DE30&gt;0,REASIGN(0,'Datos Protegidos'!$I30,PARTIDOS!DF$11),0)</f>
        <v>0</v>
      </c>
      <c r="DW30" s="24">
        <v>0</v>
      </c>
      <c r="DX30" s="19">
        <f>+IF('Datos delta'!DG30&gt;0,REASIGN(0,'Datos Protegidos'!$I30,PARTIDOS!DH$11),0)</f>
        <v>0</v>
      </c>
      <c r="DY30" s="24">
        <v>0</v>
      </c>
      <c r="DZ30" s="19">
        <f>+IF('Datos delta'!DI30&gt;0,REASIGN(0,'Datos Protegidos'!$I30,PARTIDOS!DJ$11),0)</f>
        <v>0</v>
      </c>
      <c r="EA30" s="24">
        <v>0</v>
      </c>
      <c r="EB30" s="19">
        <f>+IF('Datos delta'!DK30&gt;0,REASIGN(0,'Datos Protegidos'!$I30,PARTIDOS!DL$11),0)</f>
        <v>0</v>
      </c>
      <c r="EC30" s="24">
        <v>0</v>
      </c>
      <c r="ED30" s="19">
        <f>+IF('Datos delta'!DM30&gt;0,REASIGN(0,'Datos Protegidos'!$I30,PARTIDOS!DN$11),0)</f>
        <v>0</v>
      </c>
      <c r="EE30" s="24">
        <v>0</v>
      </c>
      <c r="EF30" s="19">
        <f>+IF('Datos delta'!DO30&gt;0,REASIGN(0,'Datos Protegidos'!$I30,PARTIDOS!DP$11),0)</f>
        <v>0</v>
      </c>
      <c r="EG30" s="24">
        <v>0</v>
      </c>
      <c r="EH30" s="19">
        <f>+IF('Datos delta'!DQ30&gt;0,REASIGN(0,'Datos Protegidos'!$I30,PARTIDOS!DR$11),0)</f>
        <v>0</v>
      </c>
      <c r="EI30" s="24">
        <v>0</v>
      </c>
      <c r="EJ30" s="19">
        <f>+IF('Datos delta'!DS30&gt;0,REASIGN(0,'Datos Protegidos'!$I30,PARTIDOS!DT$11),0)</f>
        <v>0</v>
      </c>
      <c r="EK30" s="24">
        <v>0</v>
      </c>
      <c r="EL30" s="19">
        <f>+IF('Datos delta'!DU30&gt;0,REASIGN(0,'Datos Protegidos'!$I30,PARTIDOS!DV$11),0)</f>
        <v>0</v>
      </c>
      <c r="EM30" s="24">
        <v>0</v>
      </c>
      <c r="EN30" s="19">
        <f>+IF('Datos delta'!DW30&gt;0,REASIGN(0,'Datos Protegidos'!$I30,PARTIDOS!DX$11),0)</f>
        <v>0</v>
      </c>
      <c r="EO30" s="24">
        <v>0</v>
      </c>
      <c r="EP30" s="19">
        <f>+IF('Datos delta'!DY30&gt;0,REASIGN(0,'Datos Protegidos'!$I30,PARTIDOS!DZ$11),0)</f>
        <v>0</v>
      </c>
      <c r="EQ30" s="24">
        <v>0</v>
      </c>
      <c r="ER30" s="19">
        <f>+IF('Datos delta'!EA30&gt;0,REASIGN(0,'Datos Protegidos'!$I30,PARTIDOS!EB$11),0)</f>
        <v>0</v>
      </c>
      <c r="ES30" s="24">
        <v>0</v>
      </c>
      <c r="ET30" s="19">
        <f>+IF('Datos delta'!EC30&gt;0,REASIGN(0,'Datos Protegidos'!$I30,PARTIDOS!ED$11),0)</f>
        <v>0</v>
      </c>
      <c r="EU30" s="24">
        <v>0</v>
      </c>
    </row>
    <row r="31" spans="1:151" x14ac:dyDescent="0.25">
      <c r="A31" s="24" t="s">
        <v>43</v>
      </c>
      <c r="B31" s="25">
        <v>49</v>
      </c>
      <c r="C31" s="24" t="s">
        <v>52</v>
      </c>
      <c r="D31" s="24">
        <v>174549</v>
      </c>
      <c r="E31" s="26">
        <v>371</v>
      </c>
      <c r="F31" s="26">
        <v>147932</v>
      </c>
      <c r="G31" s="26">
        <v>20336</v>
      </c>
      <c r="H31" s="26">
        <v>168268</v>
      </c>
      <c r="I31" s="1">
        <v>1402</v>
      </c>
      <c r="J31" s="19">
        <f>+INT(([1]Hoja1!M31/[1]Hoja1!O31)*M31)</f>
        <v>99791</v>
      </c>
      <c r="K31" s="19">
        <f>+INT(([1]Hoja1!N31/[1]Hoja1!O31)*M31)</f>
        <v>98585</v>
      </c>
      <c r="L31" s="19">
        <f t="shared" si="1"/>
        <v>2749</v>
      </c>
      <c r="M31" s="19">
        <f t="shared" si="2"/>
        <v>1206</v>
      </c>
      <c r="N31" s="22">
        <f t="shared" si="0"/>
        <v>0</v>
      </c>
      <c r="O31" s="26">
        <v>1206</v>
      </c>
      <c r="P31" s="26">
        <v>1543</v>
      </c>
      <c r="Q31" s="22">
        <f t="shared" si="3"/>
        <v>3</v>
      </c>
      <c r="R31" s="19">
        <f>+IF('Datos delta'!A31&gt;0,REASIGN(0,'Datos Protegidos'!$I31,PARTIDOS!B$11),0)</f>
        <v>0</v>
      </c>
      <c r="S31" s="24">
        <v>1</v>
      </c>
      <c r="T31" s="19">
        <f>+IF('Datos delta'!C31&gt;0,REASIGN(0,'Datos Protegidos'!$I31,PARTIDOS!D$11),0)</f>
        <v>0</v>
      </c>
      <c r="U31" s="24">
        <v>1</v>
      </c>
      <c r="V31" s="19">
        <f>+IF('Datos delta'!E31&gt;0,REASIGN(0,'Datos Protegidos'!$I31,PARTIDOS!F$11),0)</f>
        <v>0</v>
      </c>
      <c r="W31" s="24">
        <v>1</v>
      </c>
      <c r="X31" s="19">
        <f>+IF('Datos delta'!G31&gt;0,REASIGN(0,'Datos Protegidos'!$I31,PARTIDOS!H$11),0)</f>
        <v>0</v>
      </c>
      <c r="Y31" s="24">
        <v>0</v>
      </c>
      <c r="Z31" s="19">
        <f>+IF('Datos delta'!I31&gt;0,REASIGN(0,'Datos Protegidos'!$I31,PARTIDOS!J$11),0)</f>
        <v>0</v>
      </c>
      <c r="AA31" s="24">
        <v>0</v>
      </c>
      <c r="AB31" s="19">
        <f>+IF('Datos delta'!K31&gt;0,REASIGN(0,'Datos Protegidos'!$I31,PARTIDOS!L$11),0)</f>
        <v>0</v>
      </c>
      <c r="AC31" s="24">
        <v>0</v>
      </c>
      <c r="AD31" s="19">
        <f>+IF('Datos delta'!M31&gt;0,REASIGN(0,'Datos Protegidos'!$I31,PARTIDOS!N$11),0)</f>
        <v>0</v>
      </c>
      <c r="AE31" s="24">
        <v>0</v>
      </c>
      <c r="AF31" s="19">
        <f>+IF('Datos delta'!O31&gt;0,REASIGN(0,'Datos Protegidos'!$I31,PARTIDOS!P$11),0)</f>
        <v>0</v>
      </c>
      <c r="AG31" s="24">
        <v>0</v>
      </c>
      <c r="AH31" s="19">
        <f>+IF('Datos delta'!Q31&gt;0,REASIGN(0,'Datos Protegidos'!$I31,PARTIDOS!R$11),0)</f>
        <v>0</v>
      </c>
      <c r="AI31" s="24">
        <v>0</v>
      </c>
      <c r="AJ31" s="19">
        <f>+IF('Datos delta'!S31&gt;0,REASIGN(0,'Datos Protegidos'!$I31,PARTIDOS!T$11),0)</f>
        <v>0</v>
      </c>
      <c r="AK31" s="24">
        <v>0</v>
      </c>
      <c r="AL31" s="19">
        <f>+IF('Datos delta'!U31&gt;0,REASIGN(0,'Datos Protegidos'!$I31,PARTIDOS!V$11),0)</f>
        <v>0</v>
      </c>
      <c r="AM31" s="24">
        <v>0</v>
      </c>
      <c r="AN31" s="19">
        <f>+IF('Datos delta'!W31&gt;0,REASIGN(0,'Datos Protegidos'!$I31,PARTIDOS!X$11),0)</f>
        <v>0</v>
      </c>
      <c r="AO31" s="24">
        <v>0</v>
      </c>
      <c r="AP31" s="19">
        <f>+IF('Datos delta'!Y31&gt;0,REASIGN(0,'Datos Protegidos'!$I31,PARTIDOS!Z$11),0)</f>
        <v>0</v>
      </c>
      <c r="AQ31" s="24">
        <v>0</v>
      </c>
      <c r="AR31" s="19">
        <f>+IF('Datos delta'!AA31&gt;0,REASIGN(0,'Datos Protegidos'!$I31,PARTIDOS!AB$11),0)</f>
        <v>0</v>
      </c>
      <c r="AS31" s="24">
        <v>0</v>
      </c>
      <c r="AT31" s="19">
        <f>+IF('Datos delta'!AC31&gt;0,REASIGN(0,'Datos Protegidos'!$I31,PARTIDOS!AD$11),0)</f>
        <v>0</v>
      </c>
      <c r="AU31" s="24">
        <v>0</v>
      </c>
      <c r="AV31" s="19">
        <f>+IF('Datos delta'!AE31&gt;0,REASIGN(0,'Datos Protegidos'!$I31,PARTIDOS!AF$11),0)</f>
        <v>0</v>
      </c>
      <c r="AW31" s="24">
        <v>0</v>
      </c>
      <c r="AX31" s="19">
        <f>+IF('Datos delta'!AG31&gt;0,REASIGN(0,'Datos Protegidos'!$I31,PARTIDOS!AH$11),0)</f>
        <v>0</v>
      </c>
      <c r="AY31" s="24">
        <v>0</v>
      </c>
      <c r="AZ31" s="19">
        <f>+IF('Datos delta'!AI31&gt;0,REASIGN(0,'Datos Protegidos'!$I31,PARTIDOS!AJ$11),0)</f>
        <v>0</v>
      </c>
      <c r="BA31" s="24">
        <v>0</v>
      </c>
      <c r="BB31" s="19">
        <f>+IF('Datos delta'!AK31&gt;0,REASIGN(0,'Datos Protegidos'!$I31,PARTIDOS!AL$11),0)</f>
        <v>0</v>
      </c>
      <c r="BC31" s="24">
        <v>0</v>
      </c>
      <c r="BD31" s="19">
        <f>+IF('Datos delta'!AM31&gt;0,REASIGN(0,'Datos Protegidos'!$I31,PARTIDOS!AN$11),0)</f>
        <v>0</v>
      </c>
      <c r="BE31" s="24">
        <v>0</v>
      </c>
      <c r="BF31" s="19">
        <f>+IF('Datos delta'!AO31&gt;0,REASIGN(0,'Datos Protegidos'!$I31,PARTIDOS!AP$11),0)</f>
        <v>0</v>
      </c>
      <c r="BG31" s="24">
        <v>0</v>
      </c>
      <c r="BH31" s="19">
        <f>+IF('Datos delta'!AQ31&gt;0,REASIGN(0,'Datos Protegidos'!$I31,PARTIDOS!AR$11),0)</f>
        <v>0</v>
      </c>
      <c r="BI31" s="24">
        <v>0</v>
      </c>
      <c r="BJ31" s="19">
        <f>+IF('Datos delta'!AS31&gt;0,REASIGN(0,'Datos Protegidos'!$I31,PARTIDOS!AT$11),0)</f>
        <v>0</v>
      </c>
      <c r="BK31" s="24">
        <v>0</v>
      </c>
      <c r="BL31" s="19">
        <f>+IF('Datos delta'!AU31&gt;0,REASIGN(0,'Datos Protegidos'!$I31,PARTIDOS!AV$11),0)</f>
        <v>0</v>
      </c>
      <c r="BM31" s="24">
        <v>0</v>
      </c>
      <c r="BN31" s="19">
        <f>+IF('Datos delta'!AW31&gt;0,REASIGN(0,'Datos Protegidos'!$I31,PARTIDOS!AX$11),0)</f>
        <v>0</v>
      </c>
      <c r="BO31" s="24">
        <v>0</v>
      </c>
      <c r="BP31" s="19">
        <f>+IF('Datos delta'!AY31&gt;0,REASIGN(0,'Datos Protegidos'!$I31,PARTIDOS!AZ$11),0)</f>
        <v>0</v>
      </c>
      <c r="BQ31" s="24">
        <v>0</v>
      </c>
      <c r="BR31" s="19">
        <f>+IF('Datos delta'!BA31&gt;0,REASIGN(0,'Datos Protegidos'!$I31,PARTIDOS!BB$11),0)</f>
        <v>0</v>
      </c>
      <c r="BS31" s="24">
        <v>0</v>
      </c>
      <c r="BT31" s="19">
        <f>+IF('Datos delta'!BC31&gt;0,REASIGN(0,'Datos Protegidos'!$I31,PARTIDOS!BD$11),0)</f>
        <v>0</v>
      </c>
      <c r="BU31" s="24">
        <v>0</v>
      </c>
      <c r="BV31" s="19">
        <f>+IF('Datos delta'!BE31&gt;0,REASIGN(0,'Datos Protegidos'!$I31,PARTIDOS!BF$11),0)</f>
        <v>0</v>
      </c>
      <c r="BW31" s="24">
        <v>0</v>
      </c>
      <c r="BX31" s="19">
        <f>+IF('Datos delta'!BG31&gt;0,REASIGN(0,'Datos Protegidos'!$I31,PARTIDOS!BH$11),0)</f>
        <v>0</v>
      </c>
      <c r="BY31" s="24">
        <v>0</v>
      </c>
      <c r="BZ31" s="19">
        <f>+IF('Datos delta'!BI31&gt;0,REASIGN(0,'Datos Protegidos'!$I31,PARTIDOS!BJ$11),0)</f>
        <v>0</v>
      </c>
      <c r="CA31" s="24">
        <v>0</v>
      </c>
      <c r="CB31" s="19">
        <f>+IF('Datos delta'!BK31&gt;0,REASIGN(0,'Datos Protegidos'!$I31,PARTIDOS!BL$11),0)</f>
        <v>0</v>
      </c>
      <c r="CC31" s="24">
        <v>0</v>
      </c>
      <c r="CD31" s="19">
        <f>+IF('Datos delta'!BM31&gt;0,REASIGN(0,'Datos Protegidos'!$I31,PARTIDOS!BN$11),0)</f>
        <v>0</v>
      </c>
      <c r="CE31" s="24">
        <v>0</v>
      </c>
      <c r="CF31" s="19">
        <f>+IF('Datos delta'!BO31&gt;0,REASIGN(0,'Datos Protegidos'!$I31,PARTIDOS!BP$11),0)</f>
        <v>0</v>
      </c>
      <c r="CG31" s="24">
        <v>0</v>
      </c>
      <c r="CH31" s="19">
        <f>+IF('Datos delta'!BQ31&gt;0,REASIGN(0,'Datos Protegidos'!$I31,PARTIDOS!BR$11),0)</f>
        <v>0</v>
      </c>
      <c r="CI31" s="24">
        <v>0</v>
      </c>
      <c r="CJ31" s="19">
        <f>+IF('Datos delta'!BS31&gt;0,REASIGN(0,'Datos Protegidos'!$I31,PARTIDOS!BT$11),0)</f>
        <v>0</v>
      </c>
      <c r="CK31" s="24">
        <v>0</v>
      </c>
      <c r="CL31" s="19">
        <f>+IF('Datos delta'!BU31&gt;0,REASIGN(0,'Datos Protegidos'!$I31,PARTIDOS!BV$11),0)</f>
        <v>0</v>
      </c>
      <c r="CM31" s="24">
        <v>0</v>
      </c>
      <c r="CN31" s="19">
        <f>+IF('Datos delta'!BW31&gt;0,REASIGN(0,'Datos Protegidos'!$I31,PARTIDOS!BX$11),0)</f>
        <v>0</v>
      </c>
      <c r="CO31" s="24">
        <v>0</v>
      </c>
      <c r="CP31" s="19">
        <f>+IF('Datos delta'!BY31&gt;0,REASIGN(0,'Datos Protegidos'!$I31,PARTIDOS!BZ$11),0)</f>
        <v>0</v>
      </c>
      <c r="CQ31" s="24">
        <v>0</v>
      </c>
      <c r="CR31" s="19">
        <f>+IF('Datos delta'!CA31&gt;0,REASIGN(0,'Datos Protegidos'!$I31,PARTIDOS!CB$11),0)</f>
        <v>0</v>
      </c>
      <c r="CS31" s="24">
        <v>0</v>
      </c>
      <c r="CT31" s="19">
        <f>+IF('Datos delta'!CC31&gt;0,REASIGN(0,'Datos Protegidos'!$I31,PARTIDOS!CD$11),0)</f>
        <v>0</v>
      </c>
      <c r="CU31" s="24">
        <v>0</v>
      </c>
      <c r="CV31" s="19">
        <f>+IF('Datos delta'!CE31&gt;0,REASIGN(0,'Datos Protegidos'!$I31,PARTIDOS!CF$11),0)</f>
        <v>0</v>
      </c>
      <c r="CW31" s="24">
        <v>0</v>
      </c>
      <c r="CX31" s="19">
        <f>+IF('Datos delta'!CG31&gt;0,REASIGN(0,'Datos Protegidos'!$I31,PARTIDOS!CH$11),0)</f>
        <v>0</v>
      </c>
      <c r="CY31" s="24">
        <v>0</v>
      </c>
      <c r="CZ31" s="19">
        <f>+IF('Datos delta'!CI31&gt;0,REASIGN(0,'Datos Protegidos'!$I31,PARTIDOS!CJ$11),0)</f>
        <v>0</v>
      </c>
      <c r="DA31" s="24">
        <v>0</v>
      </c>
      <c r="DB31" s="19">
        <f>+IF('Datos delta'!CK31&gt;0,REASIGN(0,'Datos Protegidos'!$I31,PARTIDOS!CL$11),0)</f>
        <v>0</v>
      </c>
      <c r="DC31" s="24">
        <v>0</v>
      </c>
      <c r="DD31" s="19">
        <f>+IF('Datos delta'!CM31&gt;0,REASIGN(0,'Datos Protegidos'!$I31,PARTIDOS!CN$11),0)</f>
        <v>0</v>
      </c>
      <c r="DE31" s="24">
        <v>0</v>
      </c>
      <c r="DF31" s="19">
        <f>+IF('Datos delta'!CO31&gt;0,REASIGN(0,'Datos Protegidos'!$I31,PARTIDOS!CP$11),0)</f>
        <v>0</v>
      </c>
      <c r="DG31" s="24">
        <v>0</v>
      </c>
      <c r="DH31" s="19">
        <f>+IF('Datos delta'!CQ31&gt;0,REASIGN(0,'Datos Protegidos'!$I31,PARTIDOS!CR$11),0)</f>
        <v>0</v>
      </c>
      <c r="DI31" s="24">
        <v>0</v>
      </c>
      <c r="DJ31" s="19">
        <f>+IF('Datos delta'!CS31&gt;0,REASIGN(0,'Datos Protegidos'!$I31,PARTIDOS!CT$11),0)</f>
        <v>0</v>
      </c>
      <c r="DK31" s="24">
        <v>0</v>
      </c>
      <c r="DL31" s="19">
        <f>+IF('Datos delta'!CU31&gt;0,REASIGN(0,'Datos Protegidos'!$I31,PARTIDOS!CV$11),0)</f>
        <v>0</v>
      </c>
      <c r="DM31" s="24">
        <v>0</v>
      </c>
      <c r="DN31" s="19">
        <f>+IF('Datos delta'!CW31&gt;0,REASIGN(0,'Datos Protegidos'!$I31,PARTIDOS!CX$11),0)</f>
        <v>0</v>
      </c>
      <c r="DO31" s="24">
        <v>0</v>
      </c>
      <c r="DP31" s="19">
        <f>+IF('Datos delta'!CY31&gt;0,REASIGN(0,'Datos Protegidos'!$I31,PARTIDOS!CZ$11),0)</f>
        <v>0</v>
      </c>
      <c r="DQ31" s="24">
        <v>0</v>
      </c>
      <c r="DR31" s="19">
        <f>+IF('Datos delta'!DA31&gt;0,REASIGN(0,'Datos Protegidos'!$I31,PARTIDOS!DB$11),0)</f>
        <v>0</v>
      </c>
      <c r="DS31" s="24">
        <v>0</v>
      </c>
      <c r="DT31" s="19">
        <f>+IF('Datos delta'!DC31&gt;0,REASIGN(0,'Datos Protegidos'!$I31,PARTIDOS!DD$11),0)</f>
        <v>0</v>
      </c>
      <c r="DU31" s="24">
        <v>0</v>
      </c>
      <c r="DV31" s="19">
        <f>+IF('Datos delta'!DE31&gt;0,REASIGN(0,'Datos Protegidos'!$I31,PARTIDOS!DF$11),0)</f>
        <v>0</v>
      </c>
      <c r="DW31" s="24">
        <v>0</v>
      </c>
      <c r="DX31" s="19">
        <f>+IF('Datos delta'!DG31&gt;0,REASIGN(0,'Datos Protegidos'!$I31,PARTIDOS!DH$11),0)</f>
        <v>0</v>
      </c>
      <c r="DY31" s="24">
        <v>0</v>
      </c>
      <c r="DZ31" s="19">
        <f>+IF('Datos delta'!DI31&gt;0,REASIGN(0,'Datos Protegidos'!$I31,PARTIDOS!DJ$11),0)</f>
        <v>0</v>
      </c>
      <c r="EA31" s="24">
        <v>0</v>
      </c>
      <c r="EB31" s="19">
        <f>+IF('Datos delta'!DK31&gt;0,REASIGN(0,'Datos Protegidos'!$I31,PARTIDOS!DL$11),0)</f>
        <v>0</v>
      </c>
      <c r="EC31" s="24">
        <v>0</v>
      </c>
      <c r="ED31" s="19">
        <f>+IF('Datos delta'!DM31&gt;0,REASIGN(0,'Datos Protegidos'!$I31,PARTIDOS!DN$11),0)</f>
        <v>0</v>
      </c>
      <c r="EE31" s="24">
        <v>0</v>
      </c>
      <c r="EF31" s="19">
        <f>+IF('Datos delta'!DO31&gt;0,REASIGN(0,'Datos Protegidos'!$I31,PARTIDOS!DP$11),0)</f>
        <v>0</v>
      </c>
      <c r="EG31" s="24">
        <v>0</v>
      </c>
      <c r="EH31" s="19">
        <f>+IF('Datos delta'!DQ31&gt;0,REASIGN(0,'Datos Protegidos'!$I31,PARTIDOS!DR$11),0)</f>
        <v>0</v>
      </c>
      <c r="EI31" s="24">
        <v>0</v>
      </c>
      <c r="EJ31" s="19">
        <f>+IF('Datos delta'!DS31&gt;0,REASIGN(0,'Datos Protegidos'!$I31,PARTIDOS!DT$11),0)</f>
        <v>0</v>
      </c>
      <c r="EK31" s="24">
        <v>0</v>
      </c>
      <c r="EL31" s="19">
        <f>+IF('Datos delta'!DU31&gt;0,REASIGN(0,'Datos Protegidos'!$I31,PARTIDOS!DV$11),0)</f>
        <v>0</v>
      </c>
      <c r="EM31" s="24">
        <v>0</v>
      </c>
      <c r="EN31" s="19">
        <f>+IF('Datos delta'!DW31&gt;0,REASIGN(0,'Datos Protegidos'!$I31,PARTIDOS!DX$11),0)</f>
        <v>0</v>
      </c>
      <c r="EO31" s="24">
        <v>0</v>
      </c>
      <c r="EP31" s="19">
        <f>+IF('Datos delta'!DY31&gt;0,REASIGN(0,'Datos Protegidos'!$I31,PARTIDOS!DZ$11),0)</f>
        <v>0</v>
      </c>
      <c r="EQ31" s="24">
        <v>0</v>
      </c>
      <c r="ER31" s="19">
        <f>+IF('Datos delta'!EA31&gt;0,REASIGN(0,'Datos Protegidos'!$I31,PARTIDOS!EB$11),0)</f>
        <v>0</v>
      </c>
      <c r="ES31" s="24">
        <v>0</v>
      </c>
      <c r="ET31" s="19">
        <f>+IF('Datos delta'!EC31&gt;0,REASIGN(0,'Datos Protegidos'!$I31,PARTIDOS!ED$11),0)</f>
        <v>0</v>
      </c>
      <c r="EU31" s="24">
        <v>0</v>
      </c>
    </row>
    <row r="32" spans="1:151" x14ac:dyDescent="0.25">
      <c r="A32" s="24" t="s">
        <v>53</v>
      </c>
      <c r="B32" s="25">
        <v>8</v>
      </c>
      <c r="C32" s="24" t="s">
        <v>54</v>
      </c>
      <c r="D32" s="24">
        <v>5609350</v>
      </c>
      <c r="E32" s="26">
        <v>5985</v>
      </c>
      <c r="F32" s="26">
        <v>4011909</v>
      </c>
      <c r="G32" s="26">
        <v>189242</v>
      </c>
      <c r="H32" s="26">
        <v>4201151</v>
      </c>
      <c r="I32" s="1">
        <v>27487</v>
      </c>
      <c r="J32" s="19">
        <f>+INT(([1]Hoja1!M32/[1]Hoja1!O32)*M32)</f>
        <v>2927611</v>
      </c>
      <c r="K32" s="19">
        <f>+INT(([1]Hoja1!N32/[1]Hoja1!O32)*M32)</f>
        <v>2907155</v>
      </c>
      <c r="L32" s="19">
        <f t="shared" si="1"/>
        <v>35055</v>
      </c>
      <c r="M32" s="19">
        <f t="shared" si="2"/>
        <v>20456</v>
      </c>
      <c r="N32" s="22">
        <f t="shared" si="0"/>
        <v>-1</v>
      </c>
      <c r="O32" s="26">
        <v>20457</v>
      </c>
      <c r="P32" s="26">
        <v>14599</v>
      </c>
      <c r="Q32" s="22">
        <f t="shared" si="3"/>
        <v>32</v>
      </c>
      <c r="R32" s="19">
        <f>+IF('Datos delta'!A32&gt;0,REASIGN(0,'Datos Protegidos'!$I32,PARTIDOS!B$11),0)</f>
        <v>92836</v>
      </c>
      <c r="S32" s="24">
        <v>8</v>
      </c>
      <c r="T32" s="19">
        <f>+IF('Datos delta'!C32&gt;0,REASIGN(0,'Datos Protegidos'!$I32,PARTIDOS!D$11),0)</f>
        <v>0</v>
      </c>
      <c r="U32" s="24">
        <v>2</v>
      </c>
      <c r="V32" s="19">
        <f>+IF('Datos delta'!E32&gt;0,REASIGN(0,'Datos Protegidos'!$I32,PARTIDOS!F$11),0)</f>
        <v>0</v>
      </c>
      <c r="W32" s="24">
        <v>2</v>
      </c>
      <c r="X32" s="19">
        <f>+IF('Datos delta'!G32&gt;0,REASIGN(0,'Datos Protegidos'!$I32,PARTIDOS!H$11),0)</f>
        <v>0</v>
      </c>
      <c r="Y32" s="24">
        <v>0</v>
      </c>
      <c r="Z32" s="19">
        <f>+IF('Datos delta'!I32&gt;0,REASIGN(0,'Datos Protegidos'!$I32,PARTIDOS!J$11),0)</f>
        <v>-92837</v>
      </c>
      <c r="AA32" s="24">
        <v>7</v>
      </c>
      <c r="AB32" s="19">
        <f>+IF('Datos delta'!K32&gt;0,REASIGN(0,'Datos Protegidos'!$I32,PARTIDOS!L$11),0)</f>
        <v>0</v>
      </c>
      <c r="AC32" s="24">
        <v>2</v>
      </c>
      <c r="AD32" s="19">
        <f>+IF('Datos delta'!M32&gt;0,REASIGN(0,'Datos Protegidos'!$I32,PARTIDOS!N$11),0)</f>
        <v>0</v>
      </c>
      <c r="AE32" s="24">
        <v>4</v>
      </c>
      <c r="AF32" s="19">
        <f>+IF('Datos delta'!O32&gt;0,REASIGN(0,'Datos Protegidos'!$I32,PARTIDOS!P$11),0)</f>
        <v>0</v>
      </c>
      <c r="AG32" s="24">
        <v>5</v>
      </c>
      <c r="AH32" s="19">
        <f>+IF('Datos delta'!Q32&gt;0,REASIGN(0,'Datos Protegidos'!$I32,PARTIDOS!R$11),0)</f>
        <v>0</v>
      </c>
      <c r="AI32" s="24">
        <v>0</v>
      </c>
      <c r="AJ32" s="19">
        <f>+IF('Datos delta'!S32&gt;0,REASIGN(0,'Datos Protegidos'!$I32,PARTIDOS!T$11),0)</f>
        <v>0</v>
      </c>
      <c r="AK32" s="24">
        <v>0</v>
      </c>
      <c r="AL32" s="19">
        <f>+IF('Datos delta'!U32&gt;0,REASIGN(0,'Datos Protegidos'!$I32,PARTIDOS!V$11),0)</f>
        <v>0</v>
      </c>
      <c r="AM32" s="24">
        <v>0</v>
      </c>
      <c r="AN32" s="19">
        <f>+IF('Datos delta'!W32&gt;0,REASIGN(0,'Datos Protegidos'!$I32,PARTIDOS!X$11),0)</f>
        <v>0</v>
      </c>
      <c r="AO32" s="24">
        <v>2</v>
      </c>
      <c r="AP32" s="19">
        <f>+IF('Datos delta'!Y32&gt;0,REASIGN(0,'Datos Protegidos'!$I32,PARTIDOS!Z$11),0)</f>
        <v>0</v>
      </c>
      <c r="AQ32" s="24">
        <v>0</v>
      </c>
      <c r="AR32" s="19">
        <f>+IF('Datos delta'!AA32&gt;0,REASIGN(0,'Datos Protegidos'!$I32,PARTIDOS!AB$11),0)</f>
        <v>0</v>
      </c>
      <c r="AS32" s="24">
        <v>0</v>
      </c>
      <c r="AT32" s="19">
        <f>+IF('Datos delta'!AC32&gt;0,REASIGN(0,'Datos Protegidos'!$I32,PARTIDOS!AD$11),0)</f>
        <v>0</v>
      </c>
      <c r="AU32" s="24">
        <v>0</v>
      </c>
      <c r="AV32" s="19">
        <f>+IF('Datos delta'!AE32&gt;0,REASIGN(0,'Datos Protegidos'!$I32,PARTIDOS!AF$11),0)</f>
        <v>0</v>
      </c>
      <c r="AW32" s="24">
        <v>0</v>
      </c>
      <c r="AX32" s="19">
        <f>+IF('Datos delta'!AG32&gt;0,REASIGN(0,'Datos Protegidos'!$I32,PARTIDOS!AH$11),0)</f>
        <v>0</v>
      </c>
      <c r="AY32" s="24">
        <v>0</v>
      </c>
      <c r="AZ32" s="19">
        <f>+IF('Datos delta'!AI32&gt;0,REASIGN(0,'Datos Protegidos'!$I32,PARTIDOS!AJ$11),0)</f>
        <v>0</v>
      </c>
      <c r="BA32" s="24">
        <v>0</v>
      </c>
      <c r="BB32" s="19">
        <f>+IF('Datos delta'!AK32&gt;0,REASIGN(0,'Datos Protegidos'!$I32,PARTIDOS!AL$11),0)</f>
        <v>0</v>
      </c>
      <c r="BC32" s="24">
        <v>0</v>
      </c>
      <c r="BD32" s="19">
        <f>+IF('Datos delta'!AM32&gt;0,REASIGN(0,'Datos Protegidos'!$I32,PARTIDOS!AN$11),0)</f>
        <v>0</v>
      </c>
      <c r="BE32" s="24">
        <v>0</v>
      </c>
      <c r="BF32" s="19">
        <f>+IF('Datos delta'!AO32&gt;0,REASIGN(0,'Datos Protegidos'!$I32,PARTIDOS!AP$11),0)</f>
        <v>0</v>
      </c>
      <c r="BG32" s="24">
        <v>0</v>
      </c>
      <c r="BH32" s="19">
        <f>+IF('Datos delta'!AQ32&gt;0,REASIGN(0,'Datos Protegidos'!$I32,PARTIDOS!AR$11),0)</f>
        <v>0</v>
      </c>
      <c r="BI32" s="24">
        <v>0</v>
      </c>
      <c r="BJ32" s="19">
        <f>+IF('Datos delta'!AS32&gt;0,REASIGN(0,'Datos Protegidos'!$I32,PARTIDOS!AT$11),0)</f>
        <v>0</v>
      </c>
      <c r="BK32" s="24">
        <v>0</v>
      </c>
      <c r="BL32" s="19">
        <f>+IF('Datos delta'!AU32&gt;0,REASIGN(0,'Datos Protegidos'!$I32,PARTIDOS!AV$11),0)</f>
        <v>0</v>
      </c>
      <c r="BM32" s="24">
        <v>0</v>
      </c>
      <c r="BN32" s="19">
        <f>+IF('Datos delta'!AW32&gt;0,REASIGN(0,'Datos Protegidos'!$I32,PARTIDOS!AX$11),0)</f>
        <v>0</v>
      </c>
      <c r="BO32" s="24">
        <v>0</v>
      </c>
      <c r="BP32" s="19">
        <f>+IF('Datos delta'!AY32&gt;0,REASIGN(0,'Datos Protegidos'!$I32,PARTIDOS!AZ$11),0)</f>
        <v>0</v>
      </c>
      <c r="BQ32" s="24">
        <v>0</v>
      </c>
      <c r="BR32" s="19">
        <f>+IF('Datos delta'!BA32&gt;0,REASIGN(0,'Datos Protegidos'!$I32,PARTIDOS!BB$11),0)</f>
        <v>0</v>
      </c>
      <c r="BS32" s="24">
        <v>0</v>
      </c>
      <c r="BT32" s="19">
        <f>+IF('Datos delta'!BC32&gt;0,REASIGN(0,'Datos Protegidos'!$I32,PARTIDOS!BD$11),0)</f>
        <v>0</v>
      </c>
      <c r="BU32" s="24">
        <v>0</v>
      </c>
      <c r="BV32" s="19">
        <f>+IF('Datos delta'!BE32&gt;0,REASIGN(0,'Datos Protegidos'!$I32,PARTIDOS!BF$11),0)</f>
        <v>0</v>
      </c>
      <c r="BW32" s="24">
        <v>0</v>
      </c>
      <c r="BX32" s="19">
        <f>+IF('Datos delta'!BG32&gt;0,REASIGN(0,'Datos Protegidos'!$I32,PARTIDOS!BH$11),0)</f>
        <v>0</v>
      </c>
      <c r="BY32" s="24">
        <v>0</v>
      </c>
      <c r="BZ32" s="19">
        <f>+IF('Datos delta'!BI32&gt;0,REASIGN(0,'Datos Protegidos'!$I32,PARTIDOS!BJ$11),0)</f>
        <v>0</v>
      </c>
      <c r="CA32" s="24">
        <v>0</v>
      </c>
      <c r="CB32" s="19">
        <f>+IF('Datos delta'!BK32&gt;0,REASIGN(0,'Datos Protegidos'!$I32,PARTIDOS!BL$11),0)</f>
        <v>0</v>
      </c>
      <c r="CC32" s="24">
        <v>0</v>
      </c>
      <c r="CD32" s="19">
        <f>+IF('Datos delta'!BM32&gt;0,REASIGN(0,'Datos Protegidos'!$I32,PARTIDOS!BN$11),0)</f>
        <v>0</v>
      </c>
      <c r="CE32" s="24">
        <v>0</v>
      </c>
      <c r="CF32" s="19">
        <f>+IF('Datos delta'!BO32&gt;0,REASIGN(0,'Datos Protegidos'!$I32,PARTIDOS!BP$11),0)</f>
        <v>0</v>
      </c>
      <c r="CG32" s="24">
        <v>0</v>
      </c>
      <c r="CH32" s="19">
        <f>+IF('Datos delta'!BQ32&gt;0,REASIGN(0,'Datos Protegidos'!$I32,PARTIDOS!BR$11),0)</f>
        <v>0</v>
      </c>
      <c r="CI32" s="24">
        <v>0</v>
      </c>
      <c r="CJ32" s="19">
        <f>+IF('Datos delta'!BS32&gt;0,REASIGN(0,'Datos Protegidos'!$I32,PARTIDOS!BT$11),0)</f>
        <v>0</v>
      </c>
      <c r="CK32" s="24">
        <v>0</v>
      </c>
      <c r="CL32" s="19">
        <f>+IF('Datos delta'!BU32&gt;0,REASIGN(0,'Datos Protegidos'!$I32,PARTIDOS!BV$11),0)</f>
        <v>0</v>
      </c>
      <c r="CM32" s="24">
        <v>0</v>
      </c>
      <c r="CN32" s="19">
        <f>+IF('Datos delta'!BW32&gt;0,REASIGN(0,'Datos Protegidos'!$I32,PARTIDOS!BX$11),0)</f>
        <v>0</v>
      </c>
      <c r="CO32" s="24">
        <v>0</v>
      </c>
      <c r="CP32" s="19">
        <f>+IF('Datos delta'!BY32&gt;0,REASIGN(0,'Datos Protegidos'!$I32,PARTIDOS!BZ$11),0)</f>
        <v>0</v>
      </c>
      <c r="CQ32" s="24">
        <v>0</v>
      </c>
      <c r="CR32" s="19">
        <f>+IF('Datos delta'!CA32&gt;0,REASIGN(0,'Datos Protegidos'!$I32,PARTIDOS!CB$11),0)</f>
        <v>0</v>
      </c>
      <c r="CS32" s="24">
        <v>0</v>
      </c>
      <c r="CT32" s="19">
        <f>+IF('Datos delta'!CC32&gt;0,REASIGN(0,'Datos Protegidos'!$I32,PARTIDOS!CD$11),0)</f>
        <v>0</v>
      </c>
      <c r="CU32" s="24">
        <v>0</v>
      </c>
      <c r="CV32" s="19">
        <f>+IF('Datos delta'!CE32&gt;0,REASIGN(0,'Datos Protegidos'!$I32,PARTIDOS!CF$11),0)</f>
        <v>0</v>
      </c>
      <c r="CW32" s="24">
        <v>0</v>
      </c>
      <c r="CX32" s="19">
        <f>+IF('Datos delta'!CG32&gt;0,REASIGN(0,'Datos Protegidos'!$I32,PARTIDOS!CH$11),0)</f>
        <v>0</v>
      </c>
      <c r="CY32" s="24">
        <v>0</v>
      </c>
      <c r="CZ32" s="19">
        <f>+IF('Datos delta'!CI32&gt;0,REASIGN(0,'Datos Protegidos'!$I32,PARTIDOS!CJ$11),0)</f>
        <v>0</v>
      </c>
      <c r="DA32" s="24">
        <v>0</v>
      </c>
      <c r="DB32" s="19">
        <f>+IF('Datos delta'!CK32&gt;0,REASIGN(0,'Datos Protegidos'!$I32,PARTIDOS!CL$11),0)</f>
        <v>0</v>
      </c>
      <c r="DC32" s="24">
        <v>0</v>
      </c>
      <c r="DD32" s="19">
        <f>+IF('Datos delta'!CM32&gt;0,REASIGN(0,'Datos Protegidos'!$I32,PARTIDOS!CN$11),0)</f>
        <v>0</v>
      </c>
      <c r="DE32" s="24">
        <v>0</v>
      </c>
      <c r="DF32" s="19">
        <f>+IF('Datos delta'!CO32&gt;0,REASIGN(0,'Datos Protegidos'!$I32,PARTIDOS!CP$11),0)</f>
        <v>0</v>
      </c>
      <c r="DG32" s="24">
        <v>0</v>
      </c>
      <c r="DH32" s="19">
        <f>+IF('Datos delta'!CQ32&gt;0,REASIGN(0,'Datos Protegidos'!$I32,PARTIDOS!CR$11),0)</f>
        <v>0</v>
      </c>
      <c r="DI32" s="24">
        <v>0</v>
      </c>
      <c r="DJ32" s="19">
        <f>+IF('Datos delta'!CS32&gt;0,REASIGN(0,'Datos Protegidos'!$I32,PARTIDOS!CT$11),0)</f>
        <v>0</v>
      </c>
      <c r="DK32" s="24">
        <v>0</v>
      </c>
      <c r="DL32" s="19">
        <f>+IF('Datos delta'!CU32&gt;0,REASIGN(0,'Datos Protegidos'!$I32,PARTIDOS!CV$11),0)</f>
        <v>0</v>
      </c>
      <c r="DM32" s="24">
        <v>0</v>
      </c>
      <c r="DN32" s="19">
        <f>+IF('Datos delta'!CW32&gt;0,REASIGN(0,'Datos Protegidos'!$I32,PARTIDOS!CX$11),0)</f>
        <v>0</v>
      </c>
      <c r="DO32" s="24">
        <v>0</v>
      </c>
      <c r="DP32" s="19">
        <f>+IF('Datos delta'!CY32&gt;0,REASIGN(0,'Datos Protegidos'!$I32,PARTIDOS!CZ$11),0)</f>
        <v>0</v>
      </c>
      <c r="DQ32" s="24">
        <v>0</v>
      </c>
      <c r="DR32" s="19">
        <f>+IF('Datos delta'!DA32&gt;0,REASIGN(0,'Datos Protegidos'!$I32,PARTIDOS!DB$11),0)</f>
        <v>0</v>
      </c>
      <c r="DS32" s="24">
        <v>0</v>
      </c>
      <c r="DT32" s="19">
        <f>+IF('Datos delta'!DC32&gt;0,REASIGN(0,'Datos Protegidos'!$I32,PARTIDOS!DD$11),0)</f>
        <v>0</v>
      </c>
      <c r="DU32" s="24">
        <v>0</v>
      </c>
      <c r="DV32" s="19">
        <f>+IF('Datos delta'!DE32&gt;0,REASIGN(0,'Datos Protegidos'!$I32,PARTIDOS!DF$11),0)</f>
        <v>0</v>
      </c>
      <c r="DW32" s="24">
        <v>0</v>
      </c>
      <c r="DX32" s="19">
        <f>+IF('Datos delta'!DG32&gt;0,REASIGN(0,'Datos Protegidos'!$I32,PARTIDOS!DH$11),0)</f>
        <v>0</v>
      </c>
      <c r="DY32" s="24">
        <v>0</v>
      </c>
      <c r="DZ32" s="19">
        <f>+IF('Datos delta'!DI32&gt;0,REASIGN(0,'Datos Protegidos'!$I32,PARTIDOS!DJ$11),0)</f>
        <v>0</v>
      </c>
      <c r="EA32" s="24">
        <v>0</v>
      </c>
      <c r="EB32" s="19">
        <f>+IF('Datos delta'!DK32&gt;0,REASIGN(0,'Datos Protegidos'!$I32,PARTIDOS!DL$11),0)</f>
        <v>0</v>
      </c>
      <c r="EC32" s="24">
        <v>0</v>
      </c>
      <c r="ED32" s="19">
        <f>+IF('Datos delta'!DM32&gt;0,REASIGN(0,'Datos Protegidos'!$I32,PARTIDOS!DN$11),0)</f>
        <v>0</v>
      </c>
      <c r="EE32" s="24">
        <v>0</v>
      </c>
      <c r="EF32" s="19">
        <f>+IF('Datos delta'!DO32&gt;0,REASIGN(0,'Datos Protegidos'!$I32,PARTIDOS!DP$11),0)</f>
        <v>0</v>
      </c>
      <c r="EG32" s="24">
        <v>0</v>
      </c>
      <c r="EH32" s="19">
        <f>+IF('Datos delta'!DQ32&gt;0,REASIGN(0,'Datos Protegidos'!$I32,PARTIDOS!DR$11),0)</f>
        <v>0</v>
      </c>
      <c r="EI32" s="24">
        <v>0</v>
      </c>
      <c r="EJ32" s="19">
        <f>+IF('Datos delta'!DS32&gt;0,REASIGN(0,'Datos Protegidos'!$I32,PARTIDOS!DT$11),0)</f>
        <v>0</v>
      </c>
      <c r="EK32" s="24">
        <v>0</v>
      </c>
      <c r="EL32" s="19">
        <f>+IF('Datos delta'!DU32&gt;0,REASIGN(0,'Datos Protegidos'!$I32,PARTIDOS!DV$11),0)</f>
        <v>0</v>
      </c>
      <c r="EM32" s="24">
        <v>0</v>
      </c>
      <c r="EN32" s="19">
        <f>+IF('Datos delta'!DW32&gt;0,REASIGN(0,'Datos Protegidos'!$I32,PARTIDOS!DX$11),0)</f>
        <v>0</v>
      </c>
      <c r="EO32" s="24">
        <v>0</v>
      </c>
      <c r="EP32" s="19">
        <f>+IF('Datos delta'!DY32&gt;0,REASIGN(0,'Datos Protegidos'!$I32,PARTIDOS!DZ$11),0)</f>
        <v>0</v>
      </c>
      <c r="EQ32" s="24">
        <v>0</v>
      </c>
      <c r="ER32" s="19">
        <f>+IF('Datos delta'!EA32&gt;0,REASIGN(0,'Datos Protegidos'!$I32,PARTIDOS!EB$11),0)</f>
        <v>0</v>
      </c>
      <c r="ES32" s="24">
        <v>0</v>
      </c>
      <c r="ET32" s="19">
        <f>+IF('Datos delta'!EC32&gt;0,REASIGN(0,'Datos Protegidos'!$I32,PARTIDOS!ED$11),0)</f>
        <v>0</v>
      </c>
      <c r="EU32" s="24">
        <v>0</v>
      </c>
    </row>
    <row r="33" spans="1:151" x14ac:dyDescent="0.25">
      <c r="A33" s="24" t="s">
        <v>53</v>
      </c>
      <c r="B33" s="25">
        <v>17</v>
      </c>
      <c r="C33" s="24" t="s">
        <v>55</v>
      </c>
      <c r="D33" s="24">
        <v>761947</v>
      </c>
      <c r="E33" s="26">
        <v>834</v>
      </c>
      <c r="F33" s="26">
        <v>504631</v>
      </c>
      <c r="G33" s="26">
        <v>20347</v>
      </c>
      <c r="H33" s="26">
        <v>524978</v>
      </c>
      <c r="I33" s="1">
        <v>3062</v>
      </c>
      <c r="J33" s="19">
        <f>+INT(([1]Hoja1!M33/[1]Hoja1!O33)*M33)</f>
        <v>355547</v>
      </c>
      <c r="K33" s="19">
        <f>+INT(([1]Hoja1!N33/[1]Hoja1!O33)*M33)</f>
        <v>353241</v>
      </c>
      <c r="L33" s="19">
        <f t="shared" si="1"/>
        <v>4405</v>
      </c>
      <c r="M33" s="19">
        <f t="shared" si="2"/>
        <v>2306</v>
      </c>
      <c r="N33" s="22">
        <f t="shared" si="0"/>
        <v>-1</v>
      </c>
      <c r="O33" s="26">
        <v>2307</v>
      </c>
      <c r="P33" s="26">
        <v>2099</v>
      </c>
      <c r="Q33" s="22">
        <f t="shared" si="3"/>
        <v>6</v>
      </c>
      <c r="R33" s="19">
        <f>+IF('Datos delta'!A33&gt;0,REASIGN(0,'Datos Protegidos'!$I33,PARTIDOS!B$11),0)</f>
        <v>13789</v>
      </c>
      <c r="S33" s="24">
        <v>1</v>
      </c>
      <c r="T33" s="19">
        <f>+IF('Datos delta'!C33&gt;0,REASIGN(0,'Datos Protegidos'!$I33,PARTIDOS!D$11),0)</f>
        <v>0</v>
      </c>
      <c r="U33" s="24">
        <v>0</v>
      </c>
      <c r="V33" s="19">
        <f>+IF('Datos delta'!E33&gt;0,REASIGN(0,'Datos Protegidos'!$I33,PARTIDOS!F$11),0)</f>
        <v>0</v>
      </c>
      <c r="W33" s="24">
        <v>0</v>
      </c>
      <c r="X33" s="19">
        <f>+IF('Datos delta'!G33&gt;0,REASIGN(0,'Datos Protegidos'!$I33,PARTIDOS!H$11),0)</f>
        <v>0</v>
      </c>
      <c r="Y33" s="24">
        <v>0</v>
      </c>
      <c r="Z33" s="19">
        <f>+IF('Datos delta'!I33&gt;0,REASIGN(0,'Datos Protegidos'!$I33,PARTIDOS!J$11),0)</f>
        <v>-13790</v>
      </c>
      <c r="AA33" s="24">
        <v>2</v>
      </c>
      <c r="AB33" s="19">
        <f>+IF('Datos delta'!K33&gt;0,REASIGN(0,'Datos Protegidos'!$I33,PARTIDOS!L$11),0)</f>
        <v>0</v>
      </c>
      <c r="AC33" s="24">
        <v>0</v>
      </c>
      <c r="AD33" s="19">
        <f>+IF('Datos delta'!M33&gt;0,REASIGN(0,'Datos Protegidos'!$I33,PARTIDOS!N$11),0)</f>
        <v>0</v>
      </c>
      <c r="AE33" s="24">
        <v>2</v>
      </c>
      <c r="AF33" s="19">
        <f>+IF('Datos delta'!O33&gt;0,REASIGN(0,'Datos Protegidos'!$I33,PARTIDOS!P$11),0)</f>
        <v>0</v>
      </c>
      <c r="AG33" s="24">
        <v>1</v>
      </c>
      <c r="AH33" s="19">
        <f>+IF('Datos delta'!Q33&gt;0,REASIGN(0,'Datos Protegidos'!$I33,PARTIDOS!R$11),0)</f>
        <v>0</v>
      </c>
      <c r="AI33" s="24">
        <v>0</v>
      </c>
      <c r="AJ33" s="19">
        <f>+IF('Datos delta'!S33&gt;0,REASIGN(0,'Datos Protegidos'!$I33,PARTIDOS!T$11),0)</f>
        <v>0</v>
      </c>
      <c r="AK33" s="24">
        <v>0</v>
      </c>
      <c r="AL33" s="19">
        <f>+IF('Datos delta'!U33&gt;0,REASIGN(0,'Datos Protegidos'!$I33,PARTIDOS!V$11),0)</f>
        <v>0</v>
      </c>
      <c r="AM33" s="24">
        <v>0</v>
      </c>
      <c r="AN33" s="19">
        <f>+IF('Datos delta'!W33&gt;0,REASIGN(0,'Datos Protegidos'!$I33,PARTIDOS!X$11),0)</f>
        <v>0</v>
      </c>
      <c r="AO33" s="24">
        <v>0</v>
      </c>
      <c r="AP33" s="19">
        <f>+IF('Datos delta'!Y33&gt;0,REASIGN(0,'Datos Protegidos'!$I33,PARTIDOS!Z$11),0)</f>
        <v>0</v>
      </c>
      <c r="AQ33" s="24">
        <v>0</v>
      </c>
      <c r="AR33" s="19">
        <f>+IF('Datos delta'!AA33&gt;0,REASIGN(0,'Datos Protegidos'!$I33,PARTIDOS!AB$11),0)</f>
        <v>0</v>
      </c>
      <c r="AS33" s="24">
        <v>0</v>
      </c>
      <c r="AT33" s="19">
        <f>+IF('Datos delta'!AC33&gt;0,REASIGN(0,'Datos Protegidos'!$I33,PARTIDOS!AD$11),0)</f>
        <v>0</v>
      </c>
      <c r="AU33" s="24">
        <v>0</v>
      </c>
      <c r="AV33" s="19">
        <f>+IF('Datos delta'!AE33&gt;0,REASIGN(0,'Datos Protegidos'!$I33,PARTIDOS!AF$11),0)</f>
        <v>0</v>
      </c>
      <c r="AW33" s="24">
        <v>0</v>
      </c>
      <c r="AX33" s="19">
        <f>+IF('Datos delta'!AG33&gt;0,REASIGN(0,'Datos Protegidos'!$I33,PARTIDOS!AH$11),0)</f>
        <v>0</v>
      </c>
      <c r="AY33" s="24">
        <v>0</v>
      </c>
      <c r="AZ33" s="19">
        <f>+IF('Datos delta'!AI33&gt;0,REASIGN(0,'Datos Protegidos'!$I33,PARTIDOS!AJ$11),0)</f>
        <v>0</v>
      </c>
      <c r="BA33" s="24">
        <v>0</v>
      </c>
      <c r="BB33" s="19">
        <f>+IF('Datos delta'!AK33&gt;0,REASIGN(0,'Datos Protegidos'!$I33,PARTIDOS!AL$11),0)</f>
        <v>0</v>
      </c>
      <c r="BC33" s="24">
        <v>0</v>
      </c>
      <c r="BD33" s="19">
        <f>+IF('Datos delta'!AM33&gt;0,REASIGN(0,'Datos Protegidos'!$I33,PARTIDOS!AN$11),0)</f>
        <v>0</v>
      </c>
      <c r="BE33" s="24">
        <v>0</v>
      </c>
      <c r="BF33" s="19">
        <f>+IF('Datos delta'!AO33&gt;0,REASIGN(0,'Datos Protegidos'!$I33,PARTIDOS!AP$11),0)</f>
        <v>0</v>
      </c>
      <c r="BG33" s="24">
        <v>0</v>
      </c>
      <c r="BH33" s="19">
        <f>+IF('Datos delta'!AQ33&gt;0,REASIGN(0,'Datos Protegidos'!$I33,PARTIDOS!AR$11),0)</f>
        <v>0</v>
      </c>
      <c r="BI33" s="24">
        <v>0</v>
      </c>
      <c r="BJ33" s="19">
        <f>+IF('Datos delta'!AS33&gt;0,REASIGN(0,'Datos Protegidos'!$I33,PARTIDOS!AT$11),0)</f>
        <v>0</v>
      </c>
      <c r="BK33" s="24">
        <v>0</v>
      </c>
      <c r="BL33" s="19">
        <f>+IF('Datos delta'!AU33&gt;0,REASIGN(0,'Datos Protegidos'!$I33,PARTIDOS!AV$11),0)</f>
        <v>0</v>
      </c>
      <c r="BM33" s="24">
        <v>0</v>
      </c>
      <c r="BN33" s="19">
        <f>+IF('Datos delta'!AW33&gt;0,REASIGN(0,'Datos Protegidos'!$I33,PARTIDOS!AX$11),0)</f>
        <v>0</v>
      </c>
      <c r="BO33" s="24">
        <v>0</v>
      </c>
      <c r="BP33" s="19">
        <f>+IF('Datos delta'!AY33&gt;0,REASIGN(0,'Datos Protegidos'!$I33,PARTIDOS!AZ$11),0)</f>
        <v>0</v>
      </c>
      <c r="BQ33" s="24">
        <v>0</v>
      </c>
      <c r="BR33" s="19">
        <f>+IF('Datos delta'!BA33&gt;0,REASIGN(0,'Datos Protegidos'!$I33,PARTIDOS!BB$11),0)</f>
        <v>0</v>
      </c>
      <c r="BS33" s="24">
        <v>0</v>
      </c>
      <c r="BT33" s="19">
        <f>+IF('Datos delta'!BC33&gt;0,REASIGN(0,'Datos Protegidos'!$I33,PARTIDOS!BD$11),0)</f>
        <v>0</v>
      </c>
      <c r="BU33" s="24">
        <v>0</v>
      </c>
      <c r="BV33" s="19">
        <f>+IF('Datos delta'!BE33&gt;0,REASIGN(0,'Datos Protegidos'!$I33,PARTIDOS!BF$11),0)</f>
        <v>0</v>
      </c>
      <c r="BW33" s="24">
        <v>0</v>
      </c>
      <c r="BX33" s="19">
        <f>+IF('Datos delta'!BG33&gt;0,REASIGN(0,'Datos Protegidos'!$I33,PARTIDOS!BH$11),0)</f>
        <v>0</v>
      </c>
      <c r="BY33" s="24">
        <v>0</v>
      </c>
      <c r="BZ33" s="19">
        <f>+IF('Datos delta'!BI33&gt;0,REASIGN(0,'Datos Protegidos'!$I33,PARTIDOS!BJ$11),0)</f>
        <v>0</v>
      </c>
      <c r="CA33" s="24">
        <v>0</v>
      </c>
      <c r="CB33" s="19">
        <f>+IF('Datos delta'!BK33&gt;0,REASIGN(0,'Datos Protegidos'!$I33,PARTIDOS!BL$11),0)</f>
        <v>0</v>
      </c>
      <c r="CC33" s="24">
        <v>0</v>
      </c>
      <c r="CD33" s="19">
        <f>+IF('Datos delta'!BM33&gt;0,REASIGN(0,'Datos Protegidos'!$I33,PARTIDOS!BN$11),0)</f>
        <v>0</v>
      </c>
      <c r="CE33" s="24">
        <v>0</v>
      </c>
      <c r="CF33" s="19">
        <f>+IF('Datos delta'!BO33&gt;0,REASIGN(0,'Datos Protegidos'!$I33,PARTIDOS!BP$11),0)</f>
        <v>0</v>
      </c>
      <c r="CG33" s="24">
        <v>0</v>
      </c>
      <c r="CH33" s="19">
        <f>+IF('Datos delta'!BQ33&gt;0,REASIGN(0,'Datos Protegidos'!$I33,PARTIDOS!BR$11),0)</f>
        <v>0</v>
      </c>
      <c r="CI33" s="24">
        <v>0</v>
      </c>
      <c r="CJ33" s="19">
        <f>+IF('Datos delta'!BS33&gt;0,REASIGN(0,'Datos Protegidos'!$I33,PARTIDOS!BT$11),0)</f>
        <v>0</v>
      </c>
      <c r="CK33" s="24">
        <v>0</v>
      </c>
      <c r="CL33" s="19">
        <f>+IF('Datos delta'!BU33&gt;0,REASIGN(0,'Datos Protegidos'!$I33,PARTIDOS!BV$11),0)</f>
        <v>0</v>
      </c>
      <c r="CM33" s="24">
        <v>0</v>
      </c>
      <c r="CN33" s="19">
        <f>+IF('Datos delta'!BW33&gt;0,REASIGN(0,'Datos Protegidos'!$I33,PARTIDOS!BX$11),0)</f>
        <v>0</v>
      </c>
      <c r="CO33" s="24">
        <v>0</v>
      </c>
      <c r="CP33" s="19">
        <f>+IF('Datos delta'!BY33&gt;0,REASIGN(0,'Datos Protegidos'!$I33,PARTIDOS!BZ$11),0)</f>
        <v>0</v>
      </c>
      <c r="CQ33" s="24">
        <v>0</v>
      </c>
      <c r="CR33" s="19">
        <f>+IF('Datos delta'!CA33&gt;0,REASIGN(0,'Datos Protegidos'!$I33,PARTIDOS!CB$11),0)</f>
        <v>0</v>
      </c>
      <c r="CS33" s="24">
        <v>0</v>
      </c>
      <c r="CT33" s="19">
        <f>+IF('Datos delta'!CC33&gt;0,REASIGN(0,'Datos Protegidos'!$I33,PARTIDOS!CD$11),0)</f>
        <v>0</v>
      </c>
      <c r="CU33" s="24">
        <v>0</v>
      </c>
      <c r="CV33" s="19">
        <f>+IF('Datos delta'!CE33&gt;0,REASIGN(0,'Datos Protegidos'!$I33,PARTIDOS!CF$11),0)</f>
        <v>0</v>
      </c>
      <c r="CW33" s="24">
        <v>0</v>
      </c>
      <c r="CX33" s="19">
        <f>+IF('Datos delta'!CG33&gt;0,REASIGN(0,'Datos Protegidos'!$I33,PARTIDOS!CH$11),0)</f>
        <v>0</v>
      </c>
      <c r="CY33" s="24">
        <v>0</v>
      </c>
      <c r="CZ33" s="19">
        <f>+IF('Datos delta'!CI33&gt;0,REASIGN(0,'Datos Protegidos'!$I33,PARTIDOS!CJ$11),0)</f>
        <v>0</v>
      </c>
      <c r="DA33" s="24">
        <v>0</v>
      </c>
      <c r="DB33" s="19">
        <f>+IF('Datos delta'!CK33&gt;0,REASIGN(0,'Datos Protegidos'!$I33,PARTIDOS!CL$11),0)</f>
        <v>0</v>
      </c>
      <c r="DC33" s="24">
        <v>0</v>
      </c>
      <c r="DD33" s="19">
        <f>+IF('Datos delta'!CM33&gt;0,REASIGN(0,'Datos Protegidos'!$I33,PARTIDOS!CN$11),0)</f>
        <v>0</v>
      </c>
      <c r="DE33" s="24">
        <v>0</v>
      </c>
      <c r="DF33" s="19">
        <f>+IF('Datos delta'!CO33&gt;0,REASIGN(0,'Datos Protegidos'!$I33,PARTIDOS!CP$11),0)</f>
        <v>0</v>
      </c>
      <c r="DG33" s="24">
        <v>0</v>
      </c>
      <c r="DH33" s="19">
        <f>+IF('Datos delta'!CQ33&gt;0,REASIGN(0,'Datos Protegidos'!$I33,PARTIDOS!CR$11),0)</f>
        <v>0</v>
      </c>
      <c r="DI33" s="24">
        <v>0</v>
      </c>
      <c r="DJ33" s="19">
        <f>+IF('Datos delta'!CS33&gt;0,REASIGN(0,'Datos Protegidos'!$I33,PARTIDOS!CT$11),0)</f>
        <v>0</v>
      </c>
      <c r="DK33" s="24">
        <v>0</v>
      </c>
      <c r="DL33" s="19">
        <f>+IF('Datos delta'!CU33&gt;0,REASIGN(0,'Datos Protegidos'!$I33,PARTIDOS!CV$11),0)</f>
        <v>0</v>
      </c>
      <c r="DM33" s="24">
        <v>0</v>
      </c>
      <c r="DN33" s="19">
        <f>+IF('Datos delta'!CW33&gt;0,REASIGN(0,'Datos Protegidos'!$I33,PARTIDOS!CX$11),0)</f>
        <v>0</v>
      </c>
      <c r="DO33" s="24">
        <v>0</v>
      </c>
      <c r="DP33" s="19">
        <f>+IF('Datos delta'!CY33&gt;0,REASIGN(0,'Datos Protegidos'!$I33,PARTIDOS!CZ$11),0)</f>
        <v>0</v>
      </c>
      <c r="DQ33" s="24">
        <v>0</v>
      </c>
      <c r="DR33" s="19">
        <f>+IF('Datos delta'!DA33&gt;0,REASIGN(0,'Datos Protegidos'!$I33,PARTIDOS!DB$11),0)</f>
        <v>0</v>
      </c>
      <c r="DS33" s="24">
        <v>0</v>
      </c>
      <c r="DT33" s="19">
        <f>+IF('Datos delta'!DC33&gt;0,REASIGN(0,'Datos Protegidos'!$I33,PARTIDOS!DD$11),0)</f>
        <v>0</v>
      </c>
      <c r="DU33" s="24">
        <v>0</v>
      </c>
      <c r="DV33" s="19">
        <f>+IF('Datos delta'!DE33&gt;0,REASIGN(0,'Datos Protegidos'!$I33,PARTIDOS!DF$11),0)</f>
        <v>0</v>
      </c>
      <c r="DW33" s="24">
        <v>0</v>
      </c>
      <c r="DX33" s="19">
        <f>+IF('Datos delta'!DG33&gt;0,REASIGN(0,'Datos Protegidos'!$I33,PARTIDOS!DH$11),0)</f>
        <v>0</v>
      </c>
      <c r="DY33" s="24">
        <v>0</v>
      </c>
      <c r="DZ33" s="19">
        <f>+IF('Datos delta'!DI33&gt;0,REASIGN(0,'Datos Protegidos'!$I33,PARTIDOS!DJ$11),0)</f>
        <v>0</v>
      </c>
      <c r="EA33" s="24">
        <v>0</v>
      </c>
      <c r="EB33" s="19">
        <f>+IF('Datos delta'!DK33&gt;0,REASIGN(0,'Datos Protegidos'!$I33,PARTIDOS!DL$11),0)</f>
        <v>0</v>
      </c>
      <c r="EC33" s="24">
        <v>0</v>
      </c>
      <c r="ED33" s="19">
        <f>+IF('Datos delta'!DM33&gt;0,REASIGN(0,'Datos Protegidos'!$I33,PARTIDOS!DN$11),0)</f>
        <v>0</v>
      </c>
      <c r="EE33" s="24">
        <v>0</v>
      </c>
      <c r="EF33" s="19">
        <f>+IF('Datos delta'!DO33&gt;0,REASIGN(0,'Datos Protegidos'!$I33,PARTIDOS!DP$11),0)</f>
        <v>0</v>
      </c>
      <c r="EG33" s="24">
        <v>0</v>
      </c>
      <c r="EH33" s="19">
        <f>+IF('Datos delta'!DQ33&gt;0,REASIGN(0,'Datos Protegidos'!$I33,PARTIDOS!DR$11),0)</f>
        <v>0</v>
      </c>
      <c r="EI33" s="24">
        <v>0</v>
      </c>
      <c r="EJ33" s="19">
        <f>+IF('Datos delta'!DS33&gt;0,REASIGN(0,'Datos Protegidos'!$I33,PARTIDOS!DT$11),0)</f>
        <v>0</v>
      </c>
      <c r="EK33" s="24">
        <v>0</v>
      </c>
      <c r="EL33" s="19">
        <f>+IF('Datos delta'!DU33&gt;0,REASIGN(0,'Datos Protegidos'!$I33,PARTIDOS!DV$11),0)</f>
        <v>0</v>
      </c>
      <c r="EM33" s="24">
        <v>0</v>
      </c>
      <c r="EN33" s="19">
        <f>+IF('Datos delta'!DW33&gt;0,REASIGN(0,'Datos Protegidos'!$I33,PARTIDOS!DX$11),0)</f>
        <v>0</v>
      </c>
      <c r="EO33" s="24">
        <v>0</v>
      </c>
      <c r="EP33" s="19">
        <f>+IF('Datos delta'!DY33&gt;0,REASIGN(0,'Datos Protegidos'!$I33,PARTIDOS!DZ$11),0)</f>
        <v>0</v>
      </c>
      <c r="EQ33" s="24">
        <v>0</v>
      </c>
      <c r="ER33" s="19">
        <f>+IF('Datos delta'!EA33&gt;0,REASIGN(0,'Datos Protegidos'!$I33,PARTIDOS!EB$11),0)</f>
        <v>0</v>
      </c>
      <c r="ES33" s="24">
        <v>0</v>
      </c>
      <c r="ET33" s="19">
        <f>+IF('Datos delta'!EC33&gt;0,REASIGN(0,'Datos Protegidos'!$I33,PARTIDOS!ED$11),0)</f>
        <v>0</v>
      </c>
      <c r="EU33" s="24">
        <v>0</v>
      </c>
    </row>
    <row r="34" spans="1:151" x14ac:dyDescent="0.25">
      <c r="A34" s="24" t="s">
        <v>53</v>
      </c>
      <c r="B34" s="25">
        <v>25</v>
      </c>
      <c r="C34" s="24" t="s">
        <v>56</v>
      </c>
      <c r="D34" s="24">
        <v>432866</v>
      </c>
      <c r="E34" s="26">
        <v>535</v>
      </c>
      <c r="F34" s="26">
        <v>297482</v>
      </c>
      <c r="G34" s="26">
        <v>16943</v>
      </c>
      <c r="H34" s="26">
        <v>314425</v>
      </c>
      <c r="I34" s="1">
        <v>2385</v>
      </c>
      <c r="J34" s="19">
        <f>+INT(([1]Hoja1!M34/[1]Hoja1!O34)*M34)</f>
        <v>207221</v>
      </c>
      <c r="K34" s="19">
        <f>+INT(([1]Hoja1!N34/[1]Hoja1!O34)*M34)</f>
        <v>205682</v>
      </c>
      <c r="L34" s="19">
        <f t="shared" si="1"/>
        <v>2914</v>
      </c>
      <c r="M34" s="19">
        <f t="shared" si="2"/>
        <v>1539</v>
      </c>
      <c r="N34" s="22">
        <f t="shared" si="0"/>
        <v>-1</v>
      </c>
      <c r="O34" s="26">
        <v>1540</v>
      </c>
      <c r="P34" s="26">
        <v>1375</v>
      </c>
      <c r="Q34" s="22">
        <f t="shared" si="3"/>
        <v>4</v>
      </c>
      <c r="R34" s="19">
        <f>+IF('Datos delta'!A34&gt;0,REASIGN(0,'Datos Protegidos'!$I34,PARTIDOS!B$11),0)</f>
        <v>9785</v>
      </c>
      <c r="S34" s="24">
        <v>1</v>
      </c>
      <c r="T34" s="19">
        <f>+IF('Datos delta'!C34&gt;0,REASIGN(0,'Datos Protegidos'!$I34,PARTIDOS!D$11),0)</f>
        <v>0</v>
      </c>
      <c r="U34" s="24">
        <v>0</v>
      </c>
      <c r="V34" s="19">
        <f>+IF('Datos delta'!E34&gt;0,REASIGN(0,'Datos Protegidos'!$I34,PARTIDOS!F$11),0)</f>
        <v>0</v>
      </c>
      <c r="W34" s="24">
        <v>0</v>
      </c>
      <c r="X34" s="19">
        <f>+IF('Datos delta'!G34&gt;0,REASIGN(0,'Datos Protegidos'!$I34,PARTIDOS!H$11),0)</f>
        <v>0</v>
      </c>
      <c r="Y34" s="24">
        <v>0</v>
      </c>
      <c r="Z34" s="19">
        <f>+IF('Datos delta'!I34&gt;0,REASIGN(0,'Datos Protegidos'!$I34,PARTIDOS!J$11),0)</f>
        <v>-9786</v>
      </c>
      <c r="AA34" s="24">
        <v>2</v>
      </c>
      <c r="AB34" s="19">
        <f>+IF('Datos delta'!K34&gt;0,REASIGN(0,'Datos Protegidos'!$I34,PARTIDOS!L$11),0)</f>
        <v>0</v>
      </c>
      <c r="AC34" s="24">
        <v>0</v>
      </c>
      <c r="AD34" s="19">
        <f>+IF('Datos delta'!M34&gt;0,REASIGN(0,'Datos Protegidos'!$I34,PARTIDOS!N$11),0)</f>
        <v>0</v>
      </c>
      <c r="AE34" s="24">
        <v>1</v>
      </c>
      <c r="AF34" s="19">
        <f>+IF('Datos delta'!O34&gt;0,REASIGN(0,'Datos Protegidos'!$I34,PARTIDOS!P$11),0)</f>
        <v>0</v>
      </c>
      <c r="AG34" s="24">
        <v>0</v>
      </c>
      <c r="AH34" s="19">
        <f>+IF('Datos delta'!Q34&gt;0,REASIGN(0,'Datos Protegidos'!$I34,PARTIDOS!R$11),0)</f>
        <v>0</v>
      </c>
      <c r="AI34" s="24">
        <v>0</v>
      </c>
      <c r="AJ34" s="19">
        <f>+IF('Datos delta'!S34&gt;0,REASIGN(0,'Datos Protegidos'!$I34,PARTIDOS!T$11),0)</f>
        <v>0</v>
      </c>
      <c r="AK34" s="24">
        <v>0</v>
      </c>
      <c r="AL34" s="19">
        <f>+IF('Datos delta'!U34&gt;0,REASIGN(0,'Datos Protegidos'!$I34,PARTIDOS!V$11),0)</f>
        <v>0</v>
      </c>
      <c r="AM34" s="24">
        <v>0</v>
      </c>
      <c r="AN34" s="19">
        <f>+IF('Datos delta'!W34&gt;0,REASIGN(0,'Datos Protegidos'!$I34,PARTIDOS!X$11),0)</f>
        <v>0</v>
      </c>
      <c r="AO34" s="24">
        <v>0</v>
      </c>
      <c r="AP34" s="19">
        <f>+IF('Datos delta'!Y34&gt;0,REASIGN(0,'Datos Protegidos'!$I34,PARTIDOS!Z$11),0)</f>
        <v>0</v>
      </c>
      <c r="AQ34" s="24">
        <v>0</v>
      </c>
      <c r="AR34" s="19">
        <f>+IF('Datos delta'!AA34&gt;0,REASIGN(0,'Datos Protegidos'!$I34,PARTIDOS!AB$11),0)</f>
        <v>0</v>
      </c>
      <c r="AS34" s="24">
        <v>0</v>
      </c>
      <c r="AT34" s="19">
        <f>+IF('Datos delta'!AC34&gt;0,REASIGN(0,'Datos Protegidos'!$I34,PARTIDOS!AD$11),0)</f>
        <v>0</v>
      </c>
      <c r="AU34" s="24">
        <v>0</v>
      </c>
      <c r="AV34" s="19">
        <f>+IF('Datos delta'!AE34&gt;0,REASIGN(0,'Datos Protegidos'!$I34,PARTIDOS!AF$11),0)</f>
        <v>0</v>
      </c>
      <c r="AW34" s="24">
        <v>0</v>
      </c>
      <c r="AX34" s="19">
        <f>+IF('Datos delta'!AG34&gt;0,REASIGN(0,'Datos Protegidos'!$I34,PARTIDOS!AH$11),0)</f>
        <v>0</v>
      </c>
      <c r="AY34" s="24">
        <v>0</v>
      </c>
      <c r="AZ34" s="19">
        <f>+IF('Datos delta'!AI34&gt;0,REASIGN(0,'Datos Protegidos'!$I34,PARTIDOS!AJ$11),0)</f>
        <v>0</v>
      </c>
      <c r="BA34" s="24">
        <v>0</v>
      </c>
      <c r="BB34" s="19">
        <f>+IF('Datos delta'!AK34&gt;0,REASIGN(0,'Datos Protegidos'!$I34,PARTIDOS!AL$11),0)</f>
        <v>0</v>
      </c>
      <c r="BC34" s="24">
        <v>0</v>
      </c>
      <c r="BD34" s="19">
        <f>+IF('Datos delta'!AM34&gt;0,REASIGN(0,'Datos Protegidos'!$I34,PARTIDOS!AN$11),0)</f>
        <v>0</v>
      </c>
      <c r="BE34" s="24">
        <v>0</v>
      </c>
      <c r="BF34" s="19">
        <f>+IF('Datos delta'!AO34&gt;0,REASIGN(0,'Datos Protegidos'!$I34,PARTIDOS!AP$11),0)</f>
        <v>0</v>
      </c>
      <c r="BG34" s="24">
        <v>0</v>
      </c>
      <c r="BH34" s="19">
        <f>+IF('Datos delta'!AQ34&gt;0,REASIGN(0,'Datos Protegidos'!$I34,PARTIDOS!AR$11),0)</f>
        <v>0</v>
      </c>
      <c r="BI34" s="24">
        <v>0</v>
      </c>
      <c r="BJ34" s="19">
        <f>+IF('Datos delta'!AS34&gt;0,REASIGN(0,'Datos Protegidos'!$I34,PARTIDOS!AT$11),0)</f>
        <v>0</v>
      </c>
      <c r="BK34" s="24">
        <v>0</v>
      </c>
      <c r="BL34" s="19">
        <f>+IF('Datos delta'!AU34&gt;0,REASIGN(0,'Datos Protegidos'!$I34,PARTIDOS!AV$11),0)</f>
        <v>0</v>
      </c>
      <c r="BM34" s="24">
        <v>0</v>
      </c>
      <c r="BN34" s="19">
        <f>+IF('Datos delta'!AW34&gt;0,REASIGN(0,'Datos Protegidos'!$I34,PARTIDOS!AX$11),0)</f>
        <v>0</v>
      </c>
      <c r="BO34" s="24">
        <v>0</v>
      </c>
      <c r="BP34" s="19">
        <f>+IF('Datos delta'!AY34&gt;0,REASIGN(0,'Datos Protegidos'!$I34,PARTIDOS!AZ$11),0)</f>
        <v>0</v>
      </c>
      <c r="BQ34" s="24">
        <v>0</v>
      </c>
      <c r="BR34" s="19">
        <f>+IF('Datos delta'!BA34&gt;0,REASIGN(0,'Datos Protegidos'!$I34,PARTIDOS!BB$11),0)</f>
        <v>0</v>
      </c>
      <c r="BS34" s="24">
        <v>0</v>
      </c>
      <c r="BT34" s="19">
        <f>+IF('Datos delta'!BC34&gt;0,REASIGN(0,'Datos Protegidos'!$I34,PARTIDOS!BD$11),0)</f>
        <v>0</v>
      </c>
      <c r="BU34" s="24">
        <v>0</v>
      </c>
      <c r="BV34" s="19">
        <f>+IF('Datos delta'!BE34&gt;0,REASIGN(0,'Datos Protegidos'!$I34,PARTIDOS!BF$11),0)</f>
        <v>0</v>
      </c>
      <c r="BW34" s="24">
        <v>0</v>
      </c>
      <c r="BX34" s="19">
        <f>+IF('Datos delta'!BG34&gt;0,REASIGN(0,'Datos Protegidos'!$I34,PARTIDOS!BH$11),0)</f>
        <v>0</v>
      </c>
      <c r="BY34" s="24">
        <v>0</v>
      </c>
      <c r="BZ34" s="19">
        <f>+IF('Datos delta'!BI34&gt;0,REASIGN(0,'Datos Protegidos'!$I34,PARTIDOS!BJ$11),0)</f>
        <v>0</v>
      </c>
      <c r="CA34" s="24">
        <v>0</v>
      </c>
      <c r="CB34" s="19">
        <f>+IF('Datos delta'!BK34&gt;0,REASIGN(0,'Datos Protegidos'!$I34,PARTIDOS!BL$11),0)</f>
        <v>0</v>
      </c>
      <c r="CC34" s="24">
        <v>0</v>
      </c>
      <c r="CD34" s="19">
        <f>+IF('Datos delta'!BM34&gt;0,REASIGN(0,'Datos Protegidos'!$I34,PARTIDOS!BN$11),0)</f>
        <v>0</v>
      </c>
      <c r="CE34" s="24">
        <v>0</v>
      </c>
      <c r="CF34" s="19">
        <f>+IF('Datos delta'!BO34&gt;0,REASIGN(0,'Datos Protegidos'!$I34,PARTIDOS!BP$11),0)</f>
        <v>0</v>
      </c>
      <c r="CG34" s="24">
        <v>0</v>
      </c>
      <c r="CH34" s="19">
        <f>+IF('Datos delta'!BQ34&gt;0,REASIGN(0,'Datos Protegidos'!$I34,PARTIDOS!BR$11),0)</f>
        <v>0</v>
      </c>
      <c r="CI34" s="24">
        <v>0</v>
      </c>
      <c r="CJ34" s="19">
        <f>+IF('Datos delta'!BS34&gt;0,REASIGN(0,'Datos Protegidos'!$I34,PARTIDOS!BT$11),0)</f>
        <v>0</v>
      </c>
      <c r="CK34" s="24">
        <v>0</v>
      </c>
      <c r="CL34" s="19">
        <f>+IF('Datos delta'!BU34&gt;0,REASIGN(0,'Datos Protegidos'!$I34,PARTIDOS!BV$11),0)</f>
        <v>0</v>
      </c>
      <c r="CM34" s="24">
        <v>0</v>
      </c>
      <c r="CN34" s="19">
        <f>+IF('Datos delta'!BW34&gt;0,REASIGN(0,'Datos Protegidos'!$I34,PARTIDOS!BX$11),0)</f>
        <v>0</v>
      </c>
      <c r="CO34" s="24">
        <v>0</v>
      </c>
      <c r="CP34" s="19">
        <f>+IF('Datos delta'!BY34&gt;0,REASIGN(0,'Datos Protegidos'!$I34,PARTIDOS!BZ$11),0)</f>
        <v>0</v>
      </c>
      <c r="CQ34" s="24">
        <v>0</v>
      </c>
      <c r="CR34" s="19">
        <f>+IF('Datos delta'!CA34&gt;0,REASIGN(0,'Datos Protegidos'!$I34,PARTIDOS!CB$11),0)</f>
        <v>0</v>
      </c>
      <c r="CS34" s="24">
        <v>0</v>
      </c>
      <c r="CT34" s="19">
        <f>+IF('Datos delta'!CC34&gt;0,REASIGN(0,'Datos Protegidos'!$I34,PARTIDOS!CD$11),0)</f>
        <v>0</v>
      </c>
      <c r="CU34" s="24">
        <v>0</v>
      </c>
      <c r="CV34" s="19">
        <f>+IF('Datos delta'!CE34&gt;0,REASIGN(0,'Datos Protegidos'!$I34,PARTIDOS!CF$11),0)</f>
        <v>0</v>
      </c>
      <c r="CW34" s="24">
        <v>0</v>
      </c>
      <c r="CX34" s="19">
        <f>+IF('Datos delta'!CG34&gt;0,REASIGN(0,'Datos Protegidos'!$I34,PARTIDOS!CH$11),0)</f>
        <v>0</v>
      </c>
      <c r="CY34" s="24">
        <v>0</v>
      </c>
      <c r="CZ34" s="19">
        <f>+IF('Datos delta'!CI34&gt;0,REASIGN(0,'Datos Protegidos'!$I34,PARTIDOS!CJ$11),0)</f>
        <v>0</v>
      </c>
      <c r="DA34" s="24">
        <v>0</v>
      </c>
      <c r="DB34" s="19">
        <f>+IF('Datos delta'!CK34&gt;0,REASIGN(0,'Datos Protegidos'!$I34,PARTIDOS!CL$11),0)</f>
        <v>0</v>
      </c>
      <c r="DC34" s="24">
        <v>0</v>
      </c>
      <c r="DD34" s="19">
        <f>+IF('Datos delta'!CM34&gt;0,REASIGN(0,'Datos Protegidos'!$I34,PARTIDOS!CN$11),0)</f>
        <v>0</v>
      </c>
      <c r="DE34" s="24">
        <v>0</v>
      </c>
      <c r="DF34" s="19">
        <f>+IF('Datos delta'!CO34&gt;0,REASIGN(0,'Datos Protegidos'!$I34,PARTIDOS!CP$11),0)</f>
        <v>0</v>
      </c>
      <c r="DG34" s="24">
        <v>0</v>
      </c>
      <c r="DH34" s="19">
        <f>+IF('Datos delta'!CQ34&gt;0,REASIGN(0,'Datos Protegidos'!$I34,PARTIDOS!CR$11),0)</f>
        <v>0</v>
      </c>
      <c r="DI34" s="24">
        <v>0</v>
      </c>
      <c r="DJ34" s="19">
        <f>+IF('Datos delta'!CS34&gt;0,REASIGN(0,'Datos Protegidos'!$I34,PARTIDOS!CT$11),0)</f>
        <v>0</v>
      </c>
      <c r="DK34" s="24">
        <v>0</v>
      </c>
      <c r="DL34" s="19">
        <f>+IF('Datos delta'!CU34&gt;0,REASIGN(0,'Datos Protegidos'!$I34,PARTIDOS!CV$11),0)</f>
        <v>0</v>
      </c>
      <c r="DM34" s="24">
        <v>0</v>
      </c>
      <c r="DN34" s="19">
        <f>+IF('Datos delta'!CW34&gt;0,REASIGN(0,'Datos Protegidos'!$I34,PARTIDOS!CX$11),0)</f>
        <v>0</v>
      </c>
      <c r="DO34" s="24">
        <v>0</v>
      </c>
      <c r="DP34" s="19">
        <f>+IF('Datos delta'!CY34&gt;0,REASIGN(0,'Datos Protegidos'!$I34,PARTIDOS!CZ$11),0)</f>
        <v>0</v>
      </c>
      <c r="DQ34" s="24">
        <v>0</v>
      </c>
      <c r="DR34" s="19">
        <f>+IF('Datos delta'!DA34&gt;0,REASIGN(0,'Datos Protegidos'!$I34,PARTIDOS!DB$11),0)</f>
        <v>0</v>
      </c>
      <c r="DS34" s="24">
        <v>0</v>
      </c>
      <c r="DT34" s="19">
        <f>+IF('Datos delta'!DC34&gt;0,REASIGN(0,'Datos Protegidos'!$I34,PARTIDOS!DD$11),0)</f>
        <v>0</v>
      </c>
      <c r="DU34" s="24">
        <v>0</v>
      </c>
      <c r="DV34" s="19">
        <f>+IF('Datos delta'!DE34&gt;0,REASIGN(0,'Datos Protegidos'!$I34,PARTIDOS!DF$11),0)</f>
        <v>0</v>
      </c>
      <c r="DW34" s="24">
        <v>0</v>
      </c>
      <c r="DX34" s="19">
        <f>+IF('Datos delta'!DG34&gt;0,REASIGN(0,'Datos Protegidos'!$I34,PARTIDOS!DH$11),0)</f>
        <v>0</v>
      </c>
      <c r="DY34" s="24">
        <v>0</v>
      </c>
      <c r="DZ34" s="19">
        <f>+IF('Datos delta'!DI34&gt;0,REASIGN(0,'Datos Protegidos'!$I34,PARTIDOS!DJ$11),0)</f>
        <v>0</v>
      </c>
      <c r="EA34" s="24">
        <v>0</v>
      </c>
      <c r="EB34" s="19">
        <f>+IF('Datos delta'!DK34&gt;0,REASIGN(0,'Datos Protegidos'!$I34,PARTIDOS!DL$11),0)</f>
        <v>0</v>
      </c>
      <c r="EC34" s="24">
        <v>0</v>
      </c>
      <c r="ED34" s="19">
        <f>+IF('Datos delta'!DM34&gt;0,REASIGN(0,'Datos Protegidos'!$I34,PARTIDOS!DN$11),0)</f>
        <v>0</v>
      </c>
      <c r="EE34" s="24">
        <v>0</v>
      </c>
      <c r="EF34" s="19">
        <f>+IF('Datos delta'!DO34&gt;0,REASIGN(0,'Datos Protegidos'!$I34,PARTIDOS!DP$11),0)</f>
        <v>0</v>
      </c>
      <c r="EG34" s="24">
        <v>0</v>
      </c>
      <c r="EH34" s="19">
        <f>+IF('Datos delta'!DQ34&gt;0,REASIGN(0,'Datos Protegidos'!$I34,PARTIDOS!DR$11),0)</f>
        <v>0</v>
      </c>
      <c r="EI34" s="24">
        <v>0</v>
      </c>
      <c r="EJ34" s="19">
        <f>+IF('Datos delta'!DS34&gt;0,REASIGN(0,'Datos Protegidos'!$I34,PARTIDOS!DT$11),0)</f>
        <v>0</v>
      </c>
      <c r="EK34" s="24">
        <v>0</v>
      </c>
      <c r="EL34" s="19">
        <f>+IF('Datos delta'!DU34&gt;0,REASIGN(0,'Datos Protegidos'!$I34,PARTIDOS!DV$11),0)</f>
        <v>0</v>
      </c>
      <c r="EM34" s="24">
        <v>0</v>
      </c>
      <c r="EN34" s="19">
        <f>+IF('Datos delta'!DW34&gt;0,REASIGN(0,'Datos Protegidos'!$I34,PARTIDOS!DX$11),0)</f>
        <v>0</v>
      </c>
      <c r="EO34" s="24">
        <v>0</v>
      </c>
      <c r="EP34" s="19">
        <f>+IF('Datos delta'!DY34&gt;0,REASIGN(0,'Datos Protegidos'!$I34,PARTIDOS!DZ$11),0)</f>
        <v>0</v>
      </c>
      <c r="EQ34" s="24">
        <v>0</v>
      </c>
      <c r="ER34" s="19">
        <f>+IF('Datos delta'!EA34&gt;0,REASIGN(0,'Datos Protegidos'!$I34,PARTIDOS!EB$11),0)</f>
        <v>0</v>
      </c>
      <c r="ES34" s="24">
        <v>0</v>
      </c>
      <c r="ET34" s="19">
        <f>+IF('Datos delta'!EC34&gt;0,REASIGN(0,'Datos Protegidos'!$I34,PARTIDOS!ED$11),0)</f>
        <v>0</v>
      </c>
      <c r="EU34" s="24">
        <v>0</v>
      </c>
    </row>
    <row r="35" spans="1:151" x14ac:dyDescent="0.25">
      <c r="A35" s="24" t="s">
        <v>53</v>
      </c>
      <c r="B35" s="25">
        <v>43</v>
      </c>
      <c r="C35" s="24" t="s">
        <v>57</v>
      </c>
      <c r="D35" s="24">
        <v>795902</v>
      </c>
      <c r="E35" s="26">
        <v>1011</v>
      </c>
      <c r="F35" s="26">
        <v>556270</v>
      </c>
      <c r="G35" s="26">
        <v>18596</v>
      </c>
      <c r="H35" s="26">
        <v>574866</v>
      </c>
      <c r="I35" s="1">
        <v>2969</v>
      </c>
      <c r="J35" s="19">
        <f>+INT(([1]Hoja1!M35/[1]Hoja1!O35)*M35)</f>
        <v>385277</v>
      </c>
      <c r="K35" s="19">
        <f>+INT(([1]Hoja1!N35/[1]Hoja1!O35)*M35)</f>
        <v>382563</v>
      </c>
      <c r="L35" s="19">
        <f t="shared" si="1"/>
        <v>5383</v>
      </c>
      <c r="M35" s="19">
        <f t="shared" si="2"/>
        <v>2714</v>
      </c>
      <c r="N35" s="22">
        <f t="shared" si="0"/>
        <v>-1</v>
      </c>
      <c r="O35" s="26">
        <v>2715</v>
      </c>
      <c r="P35" s="26">
        <v>2669</v>
      </c>
      <c r="Q35" s="22">
        <f t="shared" si="3"/>
        <v>6</v>
      </c>
      <c r="R35" s="19">
        <f>+IF('Datos delta'!A35&gt;0,REASIGN(0,'Datos Protegidos'!$I35,PARTIDOS!B$11),0)</f>
        <v>14817</v>
      </c>
      <c r="S35" s="24">
        <v>2</v>
      </c>
      <c r="T35" s="19">
        <f>+IF('Datos delta'!C35&gt;0,REASIGN(0,'Datos Protegidos'!$I35,PARTIDOS!D$11),0)</f>
        <v>0</v>
      </c>
      <c r="U35" s="24">
        <v>0</v>
      </c>
      <c r="V35" s="19">
        <f>+IF('Datos delta'!E35&gt;0,REASIGN(0,'Datos Protegidos'!$I35,PARTIDOS!F$11),0)</f>
        <v>0</v>
      </c>
      <c r="W35" s="24">
        <v>0</v>
      </c>
      <c r="X35" s="19">
        <f>+IF('Datos delta'!G35&gt;0,REASIGN(0,'Datos Protegidos'!$I35,PARTIDOS!H$11),0)</f>
        <v>0</v>
      </c>
      <c r="Y35" s="24">
        <v>0</v>
      </c>
      <c r="Z35" s="19">
        <f>+IF('Datos delta'!I35&gt;0,REASIGN(0,'Datos Protegidos'!$I35,PARTIDOS!J$11),0)</f>
        <v>-14818</v>
      </c>
      <c r="AA35" s="24">
        <v>2</v>
      </c>
      <c r="AB35" s="19">
        <f>+IF('Datos delta'!K35&gt;0,REASIGN(0,'Datos Protegidos'!$I35,PARTIDOS!L$11),0)</f>
        <v>0</v>
      </c>
      <c r="AC35" s="24">
        <v>0</v>
      </c>
      <c r="AD35" s="19">
        <f>+IF('Datos delta'!M35&gt;0,REASIGN(0,'Datos Protegidos'!$I35,PARTIDOS!N$11),0)</f>
        <v>0</v>
      </c>
      <c r="AE35" s="24">
        <v>1</v>
      </c>
      <c r="AF35" s="19">
        <f>+IF('Datos delta'!O35&gt;0,REASIGN(0,'Datos Protegidos'!$I35,PARTIDOS!P$11),0)</f>
        <v>0</v>
      </c>
      <c r="AG35" s="24">
        <v>1</v>
      </c>
      <c r="AH35" s="19">
        <f>+IF('Datos delta'!Q35&gt;0,REASIGN(0,'Datos Protegidos'!$I35,PARTIDOS!R$11),0)</f>
        <v>0</v>
      </c>
      <c r="AI35" s="24">
        <v>0</v>
      </c>
      <c r="AJ35" s="19">
        <f>+IF('Datos delta'!S35&gt;0,REASIGN(0,'Datos Protegidos'!$I35,PARTIDOS!T$11),0)</f>
        <v>0</v>
      </c>
      <c r="AK35" s="24">
        <v>0</v>
      </c>
      <c r="AL35" s="19">
        <f>+IF('Datos delta'!U35&gt;0,REASIGN(0,'Datos Protegidos'!$I35,PARTIDOS!V$11),0)</f>
        <v>0</v>
      </c>
      <c r="AM35" s="24">
        <v>0</v>
      </c>
      <c r="AN35" s="19">
        <f>+IF('Datos delta'!W35&gt;0,REASIGN(0,'Datos Protegidos'!$I35,PARTIDOS!X$11),0)</f>
        <v>0</v>
      </c>
      <c r="AO35" s="24">
        <v>0</v>
      </c>
      <c r="AP35" s="19">
        <f>+IF('Datos delta'!Y35&gt;0,REASIGN(0,'Datos Protegidos'!$I35,PARTIDOS!Z$11),0)</f>
        <v>0</v>
      </c>
      <c r="AQ35" s="24">
        <v>0</v>
      </c>
      <c r="AR35" s="19">
        <f>+IF('Datos delta'!AA35&gt;0,REASIGN(0,'Datos Protegidos'!$I35,PARTIDOS!AB$11),0)</f>
        <v>0</v>
      </c>
      <c r="AS35" s="24">
        <v>0</v>
      </c>
      <c r="AT35" s="19">
        <f>+IF('Datos delta'!AC35&gt;0,REASIGN(0,'Datos Protegidos'!$I35,PARTIDOS!AD$11),0)</f>
        <v>0</v>
      </c>
      <c r="AU35" s="24">
        <v>0</v>
      </c>
      <c r="AV35" s="19">
        <f>+IF('Datos delta'!AE35&gt;0,REASIGN(0,'Datos Protegidos'!$I35,PARTIDOS!AF$11),0)</f>
        <v>0</v>
      </c>
      <c r="AW35" s="24">
        <v>0</v>
      </c>
      <c r="AX35" s="19">
        <f>+IF('Datos delta'!AG35&gt;0,REASIGN(0,'Datos Protegidos'!$I35,PARTIDOS!AH$11),0)</f>
        <v>0</v>
      </c>
      <c r="AY35" s="24">
        <v>0</v>
      </c>
      <c r="AZ35" s="19">
        <f>+IF('Datos delta'!AI35&gt;0,REASIGN(0,'Datos Protegidos'!$I35,PARTIDOS!AJ$11),0)</f>
        <v>0</v>
      </c>
      <c r="BA35" s="24">
        <v>0</v>
      </c>
      <c r="BB35" s="19">
        <f>+IF('Datos delta'!AK35&gt;0,REASIGN(0,'Datos Protegidos'!$I35,PARTIDOS!AL$11),0)</f>
        <v>0</v>
      </c>
      <c r="BC35" s="24">
        <v>0</v>
      </c>
      <c r="BD35" s="19">
        <f>+IF('Datos delta'!AM35&gt;0,REASIGN(0,'Datos Protegidos'!$I35,PARTIDOS!AN$11),0)</f>
        <v>0</v>
      </c>
      <c r="BE35" s="24">
        <v>0</v>
      </c>
      <c r="BF35" s="19">
        <f>+IF('Datos delta'!AO35&gt;0,REASIGN(0,'Datos Protegidos'!$I35,PARTIDOS!AP$11),0)</f>
        <v>0</v>
      </c>
      <c r="BG35" s="24">
        <v>0</v>
      </c>
      <c r="BH35" s="19">
        <f>+IF('Datos delta'!AQ35&gt;0,REASIGN(0,'Datos Protegidos'!$I35,PARTIDOS!AR$11),0)</f>
        <v>0</v>
      </c>
      <c r="BI35" s="24">
        <v>0</v>
      </c>
      <c r="BJ35" s="19">
        <f>+IF('Datos delta'!AS35&gt;0,REASIGN(0,'Datos Protegidos'!$I35,PARTIDOS!AT$11),0)</f>
        <v>0</v>
      </c>
      <c r="BK35" s="24">
        <v>0</v>
      </c>
      <c r="BL35" s="19">
        <f>+IF('Datos delta'!AU35&gt;0,REASIGN(0,'Datos Protegidos'!$I35,PARTIDOS!AV$11),0)</f>
        <v>0</v>
      </c>
      <c r="BM35" s="24">
        <v>0</v>
      </c>
      <c r="BN35" s="19">
        <f>+IF('Datos delta'!AW35&gt;0,REASIGN(0,'Datos Protegidos'!$I35,PARTIDOS!AX$11),0)</f>
        <v>0</v>
      </c>
      <c r="BO35" s="24">
        <v>0</v>
      </c>
      <c r="BP35" s="19">
        <f>+IF('Datos delta'!AY35&gt;0,REASIGN(0,'Datos Protegidos'!$I35,PARTIDOS!AZ$11),0)</f>
        <v>0</v>
      </c>
      <c r="BQ35" s="24">
        <v>0</v>
      </c>
      <c r="BR35" s="19">
        <f>+IF('Datos delta'!BA35&gt;0,REASIGN(0,'Datos Protegidos'!$I35,PARTIDOS!BB$11),0)</f>
        <v>0</v>
      </c>
      <c r="BS35" s="24">
        <v>0</v>
      </c>
      <c r="BT35" s="19">
        <f>+IF('Datos delta'!BC35&gt;0,REASIGN(0,'Datos Protegidos'!$I35,PARTIDOS!BD$11),0)</f>
        <v>0</v>
      </c>
      <c r="BU35" s="24">
        <v>0</v>
      </c>
      <c r="BV35" s="19">
        <f>+IF('Datos delta'!BE35&gt;0,REASIGN(0,'Datos Protegidos'!$I35,PARTIDOS!BF$11),0)</f>
        <v>0</v>
      </c>
      <c r="BW35" s="24">
        <v>0</v>
      </c>
      <c r="BX35" s="19">
        <f>+IF('Datos delta'!BG35&gt;0,REASIGN(0,'Datos Protegidos'!$I35,PARTIDOS!BH$11),0)</f>
        <v>0</v>
      </c>
      <c r="BY35" s="24">
        <v>0</v>
      </c>
      <c r="BZ35" s="19">
        <f>+IF('Datos delta'!BI35&gt;0,REASIGN(0,'Datos Protegidos'!$I35,PARTIDOS!BJ$11),0)</f>
        <v>0</v>
      </c>
      <c r="CA35" s="24">
        <v>0</v>
      </c>
      <c r="CB35" s="19">
        <f>+IF('Datos delta'!BK35&gt;0,REASIGN(0,'Datos Protegidos'!$I35,PARTIDOS!BL$11),0)</f>
        <v>0</v>
      </c>
      <c r="CC35" s="24">
        <v>0</v>
      </c>
      <c r="CD35" s="19">
        <f>+IF('Datos delta'!BM35&gt;0,REASIGN(0,'Datos Protegidos'!$I35,PARTIDOS!BN$11),0)</f>
        <v>0</v>
      </c>
      <c r="CE35" s="24">
        <v>0</v>
      </c>
      <c r="CF35" s="19">
        <f>+IF('Datos delta'!BO35&gt;0,REASIGN(0,'Datos Protegidos'!$I35,PARTIDOS!BP$11),0)</f>
        <v>0</v>
      </c>
      <c r="CG35" s="24">
        <v>0</v>
      </c>
      <c r="CH35" s="19">
        <f>+IF('Datos delta'!BQ35&gt;0,REASIGN(0,'Datos Protegidos'!$I35,PARTIDOS!BR$11),0)</f>
        <v>0</v>
      </c>
      <c r="CI35" s="24">
        <v>0</v>
      </c>
      <c r="CJ35" s="19">
        <f>+IF('Datos delta'!BS35&gt;0,REASIGN(0,'Datos Protegidos'!$I35,PARTIDOS!BT$11),0)</f>
        <v>0</v>
      </c>
      <c r="CK35" s="24">
        <v>0</v>
      </c>
      <c r="CL35" s="19">
        <f>+IF('Datos delta'!BU35&gt;0,REASIGN(0,'Datos Protegidos'!$I35,PARTIDOS!BV$11),0)</f>
        <v>0</v>
      </c>
      <c r="CM35" s="24">
        <v>0</v>
      </c>
      <c r="CN35" s="19">
        <f>+IF('Datos delta'!BW35&gt;0,REASIGN(0,'Datos Protegidos'!$I35,PARTIDOS!BX$11),0)</f>
        <v>0</v>
      </c>
      <c r="CO35" s="24">
        <v>0</v>
      </c>
      <c r="CP35" s="19">
        <f>+IF('Datos delta'!BY35&gt;0,REASIGN(0,'Datos Protegidos'!$I35,PARTIDOS!BZ$11),0)</f>
        <v>0</v>
      </c>
      <c r="CQ35" s="24">
        <v>0</v>
      </c>
      <c r="CR35" s="19">
        <f>+IF('Datos delta'!CA35&gt;0,REASIGN(0,'Datos Protegidos'!$I35,PARTIDOS!CB$11),0)</f>
        <v>0</v>
      </c>
      <c r="CS35" s="24">
        <v>0</v>
      </c>
      <c r="CT35" s="19">
        <f>+IF('Datos delta'!CC35&gt;0,REASIGN(0,'Datos Protegidos'!$I35,PARTIDOS!CD$11),0)</f>
        <v>0</v>
      </c>
      <c r="CU35" s="24">
        <v>0</v>
      </c>
      <c r="CV35" s="19">
        <f>+IF('Datos delta'!CE35&gt;0,REASIGN(0,'Datos Protegidos'!$I35,PARTIDOS!CF$11),0)</f>
        <v>0</v>
      </c>
      <c r="CW35" s="24">
        <v>0</v>
      </c>
      <c r="CX35" s="19">
        <f>+IF('Datos delta'!CG35&gt;0,REASIGN(0,'Datos Protegidos'!$I35,PARTIDOS!CH$11),0)</f>
        <v>0</v>
      </c>
      <c r="CY35" s="24">
        <v>0</v>
      </c>
      <c r="CZ35" s="19">
        <f>+IF('Datos delta'!CI35&gt;0,REASIGN(0,'Datos Protegidos'!$I35,PARTIDOS!CJ$11),0)</f>
        <v>0</v>
      </c>
      <c r="DA35" s="24">
        <v>0</v>
      </c>
      <c r="DB35" s="19">
        <f>+IF('Datos delta'!CK35&gt;0,REASIGN(0,'Datos Protegidos'!$I35,PARTIDOS!CL$11),0)</f>
        <v>0</v>
      </c>
      <c r="DC35" s="24">
        <v>0</v>
      </c>
      <c r="DD35" s="19">
        <f>+IF('Datos delta'!CM35&gt;0,REASIGN(0,'Datos Protegidos'!$I35,PARTIDOS!CN$11),0)</f>
        <v>0</v>
      </c>
      <c r="DE35" s="24">
        <v>0</v>
      </c>
      <c r="DF35" s="19">
        <f>+IF('Datos delta'!CO35&gt;0,REASIGN(0,'Datos Protegidos'!$I35,PARTIDOS!CP$11),0)</f>
        <v>0</v>
      </c>
      <c r="DG35" s="24">
        <v>0</v>
      </c>
      <c r="DH35" s="19">
        <f>+IF('Datos delta'!CQ35&gt;0,REASIGN(0,'Datos Protegidos'!$I35,PARTIDOS!CR$11),0)</f>
        <v>0</v>
      </c>
      <c r="DI35" s="24">
        <v>0</v>
      </c>
      <c r="DJ35" s="19">
        <f>+IF('Datos delta'!CS35&gt;0,REASIGN(0,'Datos Protegidos'!$I35,PARTIDOS!CT$11),0)</f>
        <v>0</v>
      </c>
      <c r="DK35" s="24">
        <v>0</v>
      </c>
      <c r="DL35" s="19">
        <f>+IF('Datos delta'!CU35&gt;0,REASIGN(0,'Datos Protegidos'!$I35,PARTIDOS!CV$11),0)</f>
        <v>0</v>
      </c>
      <c r="DM35" s="24">
        <v>0</v>
      </c>
      <c r="DN35" s="19">
        <f>+IF('Datos delta'!CW35&gt;0,REASIGN(0,'Datos Protegidos'!$I35,PARTIDOS!CX$11),0)</f>
        <v>0</v>
      </c>
      <c r="DO35" s="24">
        <v>0</v>
      </c>
      <c r="DP35" s="19">
        <f>+IF('Datos delta'!CY35&gt;0,REASIGN(0,'Datos Protegidos'!$I35,PARTIDOS!CZ$11),0)</f>
        <v>0</v>
      </c>
      <c r="DQ35" s="24">
        <v>0</v>
      </c>
      <c r="DR35" s="19">
        <f>+IF('Datos delta'!DA35&gt;0,REASIGN(0,'Datos Protegidos'!$I35,PARTIDOS!DB$11),0)</f>
        <v>0</v>
      </c>
      <c r="DS35" s="24">
        <v>0</v>
      </c>
      <c r="DT35" s="19">
        <f>+IF('Datos delta'!DC35&gt;0,REASIGN(0,'Datos Protegidos'!$I35,PARTIDOS!DD$11),0)</f>
        <v>0</v>
      </c>
      <c r="DU35" s="24">
        <v>0</v>
      </c>
      <c r="DV35" s="19">
        <f>+IF('Datos delta'!DE35&gt;0,REASIGN(0,'Datos Protegidos'!$I35,PARTIDOS!DF$11),0)</f>
        <v>0</v>
      </c>
      <c r="DW35" s="24">
        <v>0</v>
      </c>
      <c r="DX35" s="19">
        <f>+IF('Datos delta'!DG35&gt;0,REASIGN(0,'Datos Protegidos'!$I35,PARTIDOS!DH$11),0)</f>
        <v>0</v>
      </c>
      <c r="DY35" s="24">
        <v>0</v>
      </c>
      <c r="DZ35" s="19">
        <f>+IF('Datos delta'!DI35&gt;0,REASIGN(0,'Datos Protegidos'!$I35,PARTIDOS!DJ$11),0)</f>
        <v>0</v>
      </c>
      <c r="EA35" s="24">
        <v>0</v>
      </c>
      <c r="EB35" s="19">
        <f>+IF('Datos delta'!DK35&gt;0,REASIGN(0,'Datos Protegidos'!$I35,PARTIDOS!DL$11),0)</f>
        <v>0</v>
      </c>
      <c r="EC35" s="24">
        <v>0</v>
      </c>
      <c r="ED35" s="19">
        <f>+IF('Datos delta'!DM35&gt;0,REASIGN(0,'Datos Protegidos'!$I35,PARTIDOS!DN$11),0)</f>
        <v>0</v>
      </c>
      <c r="EE35" s="24">
        <v>0</v>
      </c>
      <c r="EF35" s="19">
        <f>+IF('Datos delta'!DO35&gt;0,REASIGN(0,'Datos Protegidos'!$I35,PARTIDOS!DP$11),0)</f>
        <v>0</v>
      </c>
      <c r="EG35" s="24">
        <v>0</v>
      </c>
      <c r="EH35" s="19">
        <f>+IF('Datos delta'!DQ35&gt;0,REASIGN(0,'Datos Protegidos'!$I35,PARTIDOS!DR$11),0)</f>
        <v>0</v>
      </c>
      <c r="EI35" s="24">
        <v>0</v>
      </c>
      <c r="EJ35" s="19">
        <f>+IF('Datos delta'!DS35&gt;0,REASIGN(0,'Datos Protegidos'!$I35,PARTIDOS!DT$11),0)</f>
        <v>0</v>
      </c>
      <c r="EK35" s="24">
        <v>0</v>
      </c>
      <c r="EL35" s="19">
        <f>+IF('Datos delta'!DU35&gt;0,REASIGN(0,'Datos Protegidos'!$I35,PARTIDOS!DV$11),0)</f>
        <v>0</v>
      </c>
      <c r="EM35" s="24">
        <v>0</v>
      </c>
      <c r="EN35" s="19">
        <f>+IF('Datos delta'!DW35&gt;0,REASIGN(0,'Datos Protegidos'!$I35,PARTIDOS!DX$11),0)</f>
        <v>0</v>
      </c>
      <c r="EO35" s="24">
        <v>0</v>
      </c>
      <c r="EP35" s="19">
        <f>+IF('Datos delta'!DY35&gt;0,REASIGN(0,'Datos Protegidos'!$I35,PARTIDOS!DZ$11),0)</f>
        <v>0</v>
      </c>
      <c r="EQ35" s="24">
        <v>0</v>
      </c>
      <c r="ER35" s="19">
        <f>+IF('Datos delta'!EA35&gt;0,REASIGN(0,'Datos Protegidos'!$I35,PARTIDOS!EB$11),0)</f>
        <v>0</v>
      </c>
      <c r="ES35" s="24">
        <v>0</v>
      </c>
      <c r="ET35" s="19">
        <f>+IF('Datos delta'!EC35&gt;0,REASIGN(0,'Datos Protegidos'!$I35,PARTIDOS!ED$11),0)</f>
        <v>0</v>
      </c>
      <c r="EU35" s="24">
        <v>0</v>
      </c>
    </row>
    <row r="36" spans="1:151" x14ac:dyDescent="0.25">
      <c r="A36" s="24" t="s">
        <v>58</v>
      </c>
      <c r="B36" s="25">
        <v>6</v>
      </c>
      <c r="C36" s="24" t="s">
        <v>59</v>
      </c>
      <c r="D36" s="24">
        <v>676376</v>
      </c>
      <c r="E36" s="26">
        <v>898</v>
      </c>
      <c r="F36" s="26">
        <v>543391</v>
      </c>
      <c r="G36" s="26">
        <v>11603</v>
      </c>
      <c r="H36" s="26">
        <v>554994</v>
      </c>
      <c r="I36" s="1">
        <v>1499</v>
      </c>
      <c r="J36" s="19">
        <f>+INT(([1]Hoja1!M36/[1]Hoja1!O36)*M36)</f>
        <v>370159</v>
      </c>
      <c r="K36" s="19">
        <f>+INT(([1]Hoja1!N36/[1]Hoja1!O36)*M36)</f>
        <v>366560</v>
      </c>
      <c r="L36" s="19">
        <f t="shared" si="1"/>
        <v>10380</v>
      </c>
      <c r="M36" s="19">
        <f t="shared" si="2"/>
        <v>3599</v>
      </c>
      <c r="N36" s="22">
        <f t="shared" si="0"/>
        <v>0</v>
      </c>
      <c r="O36" s="26">
        <v>3599</v>
      </c>
      <c r="P36" s="26">
        <v>6781</v>
      </c>
      <c r="Q36" s="22">
        <f t="shared" si="3"/>
        <v>6</v>
      </c>
      <c r="R36" s="19">
        <f>+IF('Datos delta'!A36&gt;0,REASIGN(0,'Datos Protegidos'!$I36,PARTIDOS!B$11),0)</f>
        <v>0</v>
      </c>
      <c r="S36" s="24">
        <v>3</v>
      </c>
      <c r="T36" s="19">
        <f>+IF('Datos delta'!C36&gt;0,REASIGN(0,'Datos Protegidos'!$I36,PARTIDOS!D$11),0)</f>
        <v>0</v>
      </c>
      <c r="U36" s="24">
        <v>2</v>
      </c>
      <c r="V36" s="19">
        <f>+IF('Datos delta'!E36&gt;0,REASIGN(0,'Datos Protegidos'!$I36,PARTIDOS!F$11),0)</f>
        <v>0</v>
      </c>
      <c r="W36" s="24">
        <v>1</v>
      </c>
      <c r="X36" s="19">
        <f>+IF('Datos delta'!G36&gt;0,REASIGN(0,'Datos Protegidos'!$I36,PARTIDOS!H$11),0)</f>
        <v>0</v>
      </c>
      <c r="Y36" s="24">
        <v>0</v>
      </c>
      <c r="Z36" s="19">
        <f>+IF('Datos delta'!I36&gt;0,REASIGN(0,'Datos Protegidos'!$I36,PARTIDOS!J$11),0)</f>
        <v>0</v>
      </c>
      <c r="AA36" s="24">
        <v>0</v>
      </c>
      <c r="AB36" s="19">
        <f>+IF('Datos delta'!K36&gt;0,REASIGN(0,'Datos Protegidos'!$I36,PARTIDOS!L$11),0)</f>
        <v>0</v>
      </c>
      <c r="AC36" s="24">
        <v>0</v>
      </c>
      <c r="AD36" s="19">
        <f>+IF('Datos delta'!M36&gt;0,REASIGN(0,'Datos Protegidos'!$I36,PARTIDOS!N$11),0)</f>
        <v>0</v>
      </c>
      <c r="AE36" s="24">
        <v>0</v>
      </c>
      <c r="AF36" s="19">
        <f>+IF('Datos delta'!O36&gt;0,REASIGN(0,'Datos Protegidos'!$I36,PARTIDOS!P$11),0)</f>
        <v>0</v>
      </c>
      <c r="AG36" s="24">
        <v>0</v>
      </c>
      <c r="AH36" s="19">
        <f>+IF('Datos delta'!Q36&gt;0,REASIGN(0,'Datos Protegidos'!$I36,PARTIDOS!R$11),0)</f>
        <v>0</v>
      </c>
      <c r="AI36" s="24">
        <v>0</v>
      </c>
      <c r="AJ36" s="19">
        <f>+IF('Datos delta'!S36&gt;0,REASIGN(0,'Datos Protegidos'!$I36,PARTIDOS!T$11),0)</f>
        <v>0</v>
      </c>
      <c r="AK36" s="24">
        <v>0</v>
      </c>
      <c r="AL36" s="19">
        <f>+IF('Datos delta'!U36&gt;0,REASIGN(0,'Datos Protegidos'!$I36,PARTIDOS!V$11),0)</f>
        <v>0</v>
      </c>
      <c r="AM36" s="24">
        <v>0</v>
      </c>
      <c r="AN36" s="19">
        <f>+IF('Datos delta'!W36&gt;0,REASIGN(0,'Datos Protegidos'!$I36,PARTIDOS!X$11),0)</f>
        <v>0</v>
      </c>
      <c r="AO36" s="24">
        <v>0</v>
      </c>
      <c r="AP36" s="19">
        <f>+IF('Datos delta'!Y36&gt;0,REASIGN(0,'Datos Protegidos'!$I36,PARTIDOS!Z$11),0)</f>
        <v>0</v>
      </c>
      <c r="AQ36" s="24">
        <v>0</v>
      </c>
      <c r="AR36" s="19">
        <f>+IF('Datos delta'!AA36&gt;0,REASIGN(0,'Datos Protegidos'!$I36,PARTIDOS!AB$11),0)</f>
        <v>0</v>
      </c>
      <c r="AS36" s="24">
        <v>0</v>
      </c>
      <c r="AT36" s="19">
        <f>+IF('Datos delta'!AC36&gt;0,REASIGN(0,'Datos Protegidos'!$I36,PARTIDOS!AD$11),0)</f>
        <v>0</v>
      </c>
      <c r="AU36" s="24">
        <v>0</v>
      </c>
      <c r="AV36" s="19">
        <f>+IF('Datos delta'!AE36&gt;0,REASIGN(0,'Datos Protegidos'!$I36,PARTIDOS!AF$11),0)</f>
        <v>0</v>
      </c>
      <c r="AW36" s="24">
        <v>0</v>
      </c>
      <c r="AX36" s="19">
        <f>+IF('Datos delta'!AG36&gt;0,REASIGN(0,'Datos Protegidos'!$I36,PARTIDOS!AH$11),0)</f>
        <v>0</v>
      </c>
      <c r="AY36" s="24">
        <v>0</v>
      </c>
      <c r="AZ36" s="19">
        <f>+IF('Datos delta'!AI36&gt;0,REASIGN(0,'Datos Protegidos'!$I36,PARTIDOS!AJ$11),0)</f>
        <v>0</v>
      </c>
      <c r="BA36" s="24">
        <v>0</v>
      </c>
      <c r="BB36" s="19">
        <f>+IF('Datos delta'!AK36&gt;0,REASIGN(0,'Datos Protegidos'!$I36,PARTIDOS!AL$11),0)</f>
        <v>0</v>
      </c>
      <c r="BC36" s="24">
        <v>0</v>
      </c>
      <c r="BD36" s="19">
        <f>+IF('Datos delta'!AM36&gt;0,REASIGN(0,'Datos Protegidos'!$I36,PARTIDOS!AN$11),0)</f>
        <v>0</v>
      </c>
      <c r="BE36" s="24">
        <v>0</v>
      </c>
      <c r="BF36" s="19">
        <f>+IF('Datos delta'!AO36&gt;0,REASIGN(0,'Datos Protegidos'!$I36,PARTIDOS!AP$11),0)</f>
        <v>0</v>
      </c>
      <c r="BG36" s="24">
        <v>0</v>
      </c>
      <c r="BH36" s="19">
        <f>+IF('Datos delta'!AQ36&gt;0,REASIGN(0,'Datos Protegidos'!$I36,PARTIDOS!AR$11),0)</f>
        <v>0</v>
      </c>
      <c r="BI36" s="24">
        <v>0</v>
      </c>
      <c r="BJ36" s="19">
        <f>+IF('Datos delta'!AS36&gt;0,REASIGN(0,'Datos Protegidos'!$I36,PARTIDOS!AT$11),0)</f>
        <v>0</v>
      </c>
      <c r="BK36" s="24">
        <v>0</v>
      </c>
      <c r="BL36" s="19">
        <f>+IF('Datos delta'!AU36&gt;0,REASIGN(0,'Datos Protegidos'!$I36,PARTIDOS!AV$11),0)</f>
        <v>0</v>
      </c>
      <c r="BM36" s="24">
        <v>0</v>
      </c>
      <c r="BN36" s="19">
        <f>+IF('Datos delta'!AW36&gt;0,REASIGN(0,'Datos Protegidos'!$I36,PARTIDOS!AX$11),0)</f>
        <v>0</v>
      </c>
      <c r="BO36" s="24">
        <v>0</v>
      </c>
      <c r="BP36" s="19">
        <f>+IF('Datos delta'!AY36&gt;0,REASIGN(0,'Datos Protegidos'!$I36,PARTIDOS!AZ$11),0)</f>
        <v>0</v>
      </c>
      <c r="BQ36" s="24">
        <v>0</v>
      </c>
      <c r="BR36" s="19">
        <f>+IF('Datos delta'!BA36&gt;0,REASIGN(0,'Datos Protegidos'!$I36,PARTIDOS!BB$11),0)</f>
        <v>0</v>
      </c>
      <c r="BS36" s="24">
        <v>0</v>
      </c>
      <c r="BT36" s="19">
        <f>+IF('Datos delta'!BC36&gt;0,REASIGN(0,'Datos Protegidos'!$I36,PARTIDOS!BD$11),0)</f>
        <v>0</v>
      </c>
      <c r="BU36" s="24">
        <v>0</v>
      </c>
      <c r="BV36" s="19">
        <f>+IF('Datos delta'!BE36&gt;0,REASIGN(0,'Datos Protegidos'!$I36,PARTIDOS!BF$11),0)</f>
        <v>0</v>
      </c>
      <c r="BW36" s="24">
        <v>0</v>
      </c>
      <c r="BX36" s="19">
        <f>+IF('Datos delta'!BG36&gt;0,REASIGN(0,'Datos Protegidos'!$I36,PARTIDOS!BH$11),0)</f>
        <v>0</v>
      </c>
      <c r="BY36" s="24">
        <v>0</v>
      </c>
      <c r="BZ36" s="19">
        <f>+IF('Datos delta'!BI36&gt;0,REASIGN(0,'Datos Protegidos'!$I36,PARTIDOS!BJ$11),0)</f>
        <v>0</v>
      </c>
      <c r="CA36" s="24">
        <v>0</v>
      </c>
      <c r="CB36" s="19">
        <f>+IF('Datos delta'!BK36&gt;0,REASIGN(0,'Datos Protegidos'!$I36,PARTIDOS!BL$11),0)</f>
        <v>0</v>
      </c>
      <c r="CC36" s="24">
        <v>0</v>
      </c>
      <c r="CD36" s="19">
        <f>+IF('Datos delta'!BM36&gt;0,REASIGN(0,'Datos Protegidos'!$I36,PARTIDOS!BN$11),0)</f>
        <v>0</v>
      </c>
      <c r="CE36" s="24">
        <v>0</v>
      </c>
      <c r="CF36" s="19">
        <f>+IF('Datos delta'!BO36&gt;0,REASIGN(0,'Datos Protegidos'!$I36,PARTIDOS!BP$11),0)</f>
        <v>0</v>
      </c>
      <c r="CG36" s="24">
        <v>0</v>
      </c>
      <c r="CH36" s="19">
        <f>+IF('Datos delta'!BQ36&gt;0,REASIGN(0,'Datos Protegidos'!$I36,PARTIDOS!BR$11),0)</f>
        <v>0</v>
      </c>
      <c r="CI36" s="24">
        <v>0</v>
      </c>
      <c r="CJ36" s="19">
        <f>+IF('Datos delta'!BS36&gt;0,REASIGN(0,'Datos Protegidos'!$I36,PARTIDOS!BT$11),0)</f>
        <v>0</v>
      </c>
      <c r="CK36" s="24">
        <v>0</v>
      </c>
      <c r="CL36" s="19">
        <f>+IF('Datos delta'!BU36&gt;0,REASIGN(0,'Datos Protegidos'!$I36,PARTIDOS!BV$11),0)</f>
        <v>0</v>
      </c>
      <c r="CM36" s="24">
        <v>0</v>
      </c>
      <c r="CN36" s="19">
        <f>+IF('Datos delta'!BW36&gt;0,REASIGN(0,'Datos Protegidos'!$I36,PARTIDOS!BX$11),0)</f>
        <v>0</v>
      </c>
      <c r="CO36" s="24">
        <v>0</v>
      </c>
      <c r="CP36" s="19">
        <f>+IF('Datos delta'!BY36&gt;0,REASIGN(0,'Datos Protegidos'!$I36,PARTIDOS!BZ$11),0)</f>
        <v>0</v>
      </c>
      <c r="CQ36" s="24">
        <v>0</v>
      </c>
      <c r="CR36" s="19">
        <f>+IF('Datos delta'!CA36&gt;0,REASIGN(0,'Datos Protegidos'!$I36,PARTIDOS!CB$11),0)</f>
        <v>0</v>
      </c>
      <c r="CS36" s="24">
        <v>0</v>
      </c>
      <c r="CT36" s="19">
        <f>+IF('Datos delta'!CC36&gt;0,REASIGN(0,'Datos Protegidos'!$I36,PARTIDOS!CD$11),0)</f>
        <v>0</v>
      </c>
      <c r="CU36" s="24">
        <v>0</v>
      </c>
      <c r="CV36" s="19">
        <f>+IF('Datos delta'!CE36&gt;0,REASIGN(0,'Datos Protegidos'!$I36,PARTIDOS!CF$11),0)</f>
        <v>0</v>
      </c>
      <c r="CW36" s="24">
        <v>0</v>
      </c>
      <c r="CX36" s="19">
        <f>+IF('Datos delta'!CG36&gt;0,REASIGN(0,'Datos Protegidos'!$I36,PARTIDOS!CH$11),0)</f>
        <v>0</v>
      </c>
      <c r="CY36" s="24">
        <v>0</v>
      </c>
      <c r="CZ36" s="19">
        <f>+IF('Datos delta'!CI36&gt;0,REASIGN(0,'Datos Protegidos'!$I36,PARTIDOS!CJ$11),0)</f>
        <v>0</v>
      </c>
      <c r="DA36" s="24">
        <v>0</v>
      </c>
      <c r="DB36" s="19">
        <f>+IF('Datos delta'!CK36&gt;0,REASIGN(0,'Datos Protegidos'!$I36,PARTIDOS!CL$11),0)</f>
        <v>0</v>
      </c>
      <c r="DC36" s="24">
        <v>0</v>
      </c>
      <c r="DD36" s="19">
        <f>+IF('Datos delta'!CM36&gt;0,REASIGN(0,'Datos Protegidos'!$I36,PARTIDOS!CN$11),0)</f>
        <v>0</v>
      </c>
      <c r="DE36" s="24">
        <v>0</v>
      </c>
      <c r="DF36" s="19">
        <f>+IF('Datos delta'!CO36&gt;0,REASIGN(0,'Datos Protegidos'!$I36,PARTIDOS!CP$11),0)</f>
        <v>0</v>
      </c>
      <c r="DG36" s="24">
        <v>0</v>
      </c>
      <c r="DH36" s="19">
        <f>+IF('Datos delta'!CQ36&gt;0,REASIGN(0,'Datos Protegidos'!$I36,PARTIDOS!CR$11),0)</f>
        <v>0</v>
      </c>
      <c r="DI36" s="24">
        <v>0</v>
      </c>
      <c r="DJ36" s="19">
        <f>+IF('Datos delta'!CS36&gt;0,REASIGN(0,'Datos Protegidos'!$I36,PARTIDOS!CT$11),0)</f>
        <v>0</v>
      </c>
      <c r="DK36" s="24">
        <v>0</v>
      </c>
      <c r="DL36" s="19">
        <f>+IF('Datos delta'!CU36&gt;0,REASIGN(0,'Datos Protegidos'!$I36,PARTIDOS!CV$11),0)</f>
        <v>0</v>
      </c>
      <c r="DM36" s="24">
        <v>0</v>
      </c>
      <c r="DN36" s="19">
        <f>+IF('Datos delta'!CW36&gt;0,REASIGN(0,'Datos Protegidos'!$I36,PARTIDOS!CX$11),0)</f>
        <v>0</v>
      </c>
      <c r="DO36" s="24">
        <v>0</v>
      </c>
      <c r="DP36" s="19">
        <f>+IF('Datos delta'!CY36&gt;0,REASIGN(0,'Datos Protegidos'!$I36,PARTIDOS!CZ$11),0)</f>
        <v>0</v>
      </c>
      <c r="DQ36" s="24">
        <v>0</v>
      </c>
      <c r="DR36" s="19">
        <f>+IF('Datos delta'!DA36&gt;0,REASIGN(0,'Datos Protegidos'!$I36,PARTIDOS!DB$11),0)</f>
        <v>0</v>
      </c>
      <c r="DS36" s="24">
        <v>0</v>
      </c>
      <c r="DT36" s="19">
        <f>+IF('Datos delta'!DC36&gt;0,REASIGN(0,'Datos Protegidos'!$I36,PARTIDOS!DD$11),0)</f>
        <v>0</v>
      </c>
      <c r="DU36" s="24">
        <v>0</v>
      </c>
      <c r="DV36" s="19">
        <f>+IF('Datos delta'!DE36&gt;0,REASIGN(0,'Datos Protegidos'!$I36,PARTIDOS!DF$11),0)</f>
        <v>0</v>
      </c>
      <c r="DW36" s="24">
        <v>0</v>
      </c>
      <c r="DX36" s="19">
        <f>+IF('Datos delta'!DG36&gt;0,REASIGN(0,'Datos Protegidos'!$I36,PARTIDOS!DH$11),0)</f>
        <v>0</v>
      </c>
      <c r="DY36" s="24">
        <v>0</v>
      </c>
      <c r="DZ36" s="19">
        <f>+IF('Datos delta'!DI36&gt;0,REASIGN(0,'Datos Protegidos'!$I36,PARTIDOS!DJ$11),0)</f>
        <v>0</v>
      </c>
      <c r="EA36" s="24">
        <v>0</v>
      </c>
      <c r="EB36" s="19">
        <f>+IF('Datos delta'!DK36&gt;0,REASIGN(0,'Datos Protegidos'!$I36,PARTIDOS!DL$11),0)</f>
        <v>0</v>
      </c>
      <c r="EC36" s="24">
        <v>0</v>
      </c>
      <c r="ED36" s="19">
        <f>+IF('Datos delta'!DM36&gt;0,REASIGN(0,'Datos Protegidos'!$I36,PARTIDOS!DN$11),0)</f>
        <v>0</v>
      </c>
      <c r="EE36" s="24">
        <v>0</v>
      </c>
      <c r="EF36" s="19">
        <f>+IF('Datos delta'!DO36&gt;0,REASIGN(0,'Datos Protegidos'!$I36,PARTIDOS!DP$11),0)</f>
        <v>0</v>
      </c>
      <c r="EG36" s="24">
        <v>0</v>
      </c>
      <c r="EH36" s="19">
        <f>+IF('Datos delta'!DQ36&gt;0,REASIGN(0,'Datos Protegidos'!$I36,PARTIDOS!DR$11),0)</f>
        <v>0</v>
      </c>
      <c r="EI36" s="24">
        <v>0</v>
      </c>
      <c r="EJ36" s="19">
        <f>+IF('Datos delta'!DS36&gt;0,REASIGN(0,'Datos Protegidos'!$I36,PARTIDOS!DT$11),0)</f>
        <v>0</v>
      </c>
      <c r="EK36" s="24">
        <v>0</v>
      </c>
      <c r="EL36" s="19">
        <f>+IF('Datos delta'!DU36&gt;0,REASIGN(0,'Datos Protegidos'!$I36,PARTIDOS!DV$11),0)</f>
        <v>0</v>
      </c>
      <c r="EM36" s="24">
        <v>0</v>
      </c>
      <c r="EN36" s="19">
        <f>+IF('Datos delta'!DW36&gt;0,REASIGN(0,'Datos Protegidos'!$I36,PARTIDOS!DX$11),0)</f>
        <v>0</v>
      </c>
      <c r="EO36" s="24">
        <v>0</v>
      </c>
      <c r="EP36" s="19">
        <f>+IF('Datos delta'!DY36&gt;0,REASIGN(0,'Datos Protegidos'!$I36,PARTIDOS!DZ$11),0)</f>
        <v>0</v>
      </c>
      <c r="EQ36" s="24">
        <v>0</v>
      </c>
      <c r="ER36" s="19">
        <f>+IF('Datos delta'!EA36&gt;0,REASIGN(0,'Datos Protegidos'!$I36,PARTIDOS!EB$11),0)</f>
        <v>0</v>
      </c>
      <c r="ES36" s="24">
        <v>0</v>
      </c>
      <c r="ET36" s="19">
        <f>+IF('Datos delta'!EC36&gt;0,REASIGN(0,'Datos Protegidos'!$I36,PARTIDOS!ED$11),0)</f>
        <v>0</v>
      </c>
      <c r="EU36" s="24">
        <v>0</v>
      </c>
    </row>
    <row r="37" spans="1:151" x14ac:dyDescent="0.25">
      <c r="A37" s="24" t="s">
        <v>58</v>
      </c>
      <c r="B37" s="25">
        <v>10</v>
      </c>
      <c r="C37" s="24" t="s">
        <v>60</v>
      </c>
      <c r="D37" s="24">
        <v>396487</v>
      </c>
      <c r="E37" s="26">
        <v>513</v>
      </c>
      <c r="F37" s="26">
        <v>328213</v>
      </c>
      <c r="G37" s="26">
        <v>16232</v>
      </c>
      <c r="H37" s="26">
        <v>344445</v>
      </c>
      <c r="I37" s="1">
        <v>1642</v>
      </c>
      <c r="J37" s="19">
        <f>+INT(([1]Hoja1!M37/[1]Hoja1!O37)*M37)</f>
        <v>223257</v>
      </c>
      <c r="K37" s="19">
        <f>+INT(([1]Hoja1!N37/[1]Hoja1!O37)*M37)</f>
        <v>221363</v>
      </c>
      <c r="L37" s="19">
        <f t="shared" si="1"/>
        <v>6258</v>
      </c>
      <c r="M37" s="19">
        <f t="shared" si="2"/>
        <v>1894</v>
      </c>
      <c r="N37" s="22">
        <f t="shared" si="0"/>
        <v>0</v>
      </c>
      <c r="O37" s="26">
        <v>1894</v>
      </c>
      <c r="P37" s="26">
        <v>4364</v>
      </c>
      <c r="Q37" s="22">
        <f t="shared" si="3"/>
        <v>4</v>
      </c>
      <c r="R37" s="19">
        <f>+IF('Datos delta'!A37&gt;0,REASIGN(0,'Datos Protegidos'!$I37,PARTIDOS!B$11),0)</f>
        <v>0</v>
      </c>
      <c r="S37" s="24">
        <v>2</v>
      </c>
      <c r="T37" s="19">
        <f>+IF('Datos delta'!C37&gt;0,REASIGN(0,'Datos Protegidos'!$I37,PARTIDOS!D$11),0)</f>
        <v>0</v>
      </c>
      <c r="U37" s="24">
        <v>1</v>
      </c>
      <c r="V37" s="19">
        <f>+IF('Datos delta'!E37&gt;0,REASIGN(0,'Datos Protegidos'!$I37,PARTIDOS!F$11),0)</f>
        <v>0</v>
      </c>
      <c r="W37" s="24">
        <v>1</v>
      </c>
      <c r="X37" s="19">
        <f>+IF('Datos delta'!G37&gt;0,REASIGN(0,'Datos Protegidos'!$I37,PARTIDOS!H$11),0)</f>
        <v>0</v>
      </c>
      <c r="Y37" s="24">
        <v>0</v>
      </c>
      <c r="Z37" s="19">
        <f>+IF('Datos delta'!I37&gt;0,REASIGN(0,'Datos Protegidos'!$I37,PARTIDOS!J$11),0)</f>
        <v>0</v>
      </c>
      <c r="AA37" s="24">
        <v>0</v>
      </c>
      <c r="AB37" s="19">
        <f>+IF('Datos delta'!K37&gt;0,REASIGN(0,'Datos Protegidos'!$I37,PARTIDOS!L$11),0)</f>
        <v>0</v>
      </c>
      <c r="AC37" s="24">
        <v>0</v>
      </c>
      <c r="AD37" s="19">
        <f>+IF('Datos delta'!M37&gt;0,REASIGN(0,'Datos Protegidos'!$I37,PARTIDOS!N$11),0)</f>
        <v>0</v>
      </c>
      <c r="AE37" s="24">
        <v>0</v>
      </c>
      <c r="AF37" s="19">
        <f>+IF('Datos delta'!O37&gt;0,REASIGN(0,'Datos Protegidos'!$I37,PARTIDOS!P$11),0)</f>
        <v>0</v>
      </c>
      <c r="AG37" s="24">
        <v>0</v>
      </c>
      <c r="AH37" s="19">
        <f>+IF('Datos delta'!Q37&gt;0,REASIGN(0,'Datos Protegidos'!$I37,PARTIDOS!R$11),0)</f>
        <v>0</v>
      </c>
      <c r="AI37" s="24">
        <v>0</v>
      </c>
      <c r="AJ37" s="19">
        <f>+IF('Datos delta'!S37&gt;0,REASIGN(0,'Datos Protegidos'!$I37,PARTIDOS!T$11),0)</f>
        <v>0</v>
      </c>
      <c r="AK37" s="24">
        <v>0</v>
      </c>
      <c r="AL37" s="19">
        <f>+IF('Datos delta'!U37&gt;0,REASIGN(0,'Datos Protegidos'!$I37,PARTIDOS!V$11),0)</f>
        <v>0</v>
      </c>
      <c r="AM37" s="24">
        <v>0</v>
      </c>
      <c r="AN37" s="19">
        <f>+IF('Datos delta'!W37&gt;0,REASIGN(0,'Datos Protegidos'!$I37,PARTIDOS!X$11),0)</f>
        <v>0</v>
      </c>
      <c r="AO37" s="24">
        <v>0</v>
      </c>
      <c r="AP37" s="19">
        <f>+IF('Datos delta'!Y37&gt;0,REASIGN(0,'Datos Protegidos'!$I37,PARTIDOS!Z$11),0)</f>
        <v>0</v>
      </c>
      <c r="AQ37" s="24">
        <v>0</v>
      </c>
      <c r="AR37" s="19">
        <f>+IF('Datos delta'!AA37&gt;0,REASIGN(0,'Datos Protegidos'!$I37,PARTIDOS!AB$11),0)</f>
        <v>0</v>
      </c>
      <c r="AS37" s="24">
        <v>0</v>
      </c>
      <c r="AT37" s="19">
        <f>+IF('Datos delta'!AC37&gt;0,REASIGN(0,'Datos Protegidos'!$I37,PARTIDOS!AD$11),0)</f>
        <v>0</v>
      </c>
      <c r="AU37" s="24">
        <v>0</v>
      </c>
      <c r="AV37" s="19">
        <f>+IF('Datos delta'!AE37&gt;0,REASIGN(0,'Datos Protegidos'!$I37,PARTIDOS!AF$11),0)</f>
        <v>0</v>
      </c>
      <c r="AW37" s="24">
        <v>0</v>
      </c>
      <c r="AX37" s="19">
        <f>+IF('Datos delta'!AG37&gt;0,REASIGN(0,'Datos Protegidos'!$I37,PARTIDOS!AH$11),0)</f>
        <v>0</v>
      </c>
      <c r="AY37" s="24">
        <v>0</v>
      </c>
      <c r="AZ37" s="19">
        <f>+IF('Datos delta'!AI37&gt;0,REASIGN(0,'Datos Protegidos'!$I37,PARTIDOS!AJ$11),0)</f>
        <v>0</v>
      </c>
      <c r="BA37" s="24">
        <v>0</v>
      </c>
      <c r="BB37" s="19">
        <f>+IF('Datos delta'!AK37&gt;0,REASIGN(0,'Datos Protegidos'!$I37,PARTIDOS!AL$11),0)</f>
        <v>0</v>
      </c>
      <c r="BC37" s="24">
        <v>0</v>
      </c>
      <c r="BD37" s="19">
        <f>+IF('Datos delta'!AM37&gt;0,REASIGN(0,'Datos Protegidos'!$I37,PARTIDOS!AN$11),0)</f>
        <v>0</v>
      </c>
      <c r="BE37" s="24">
        <v>0</v>
      </c>
      <c r="BF37" s="19">
        <f>+IF('Datos delta'!AO37&gt;0,REASIGN(0,'Datos Protegidos'!$I37,PARTIDOS!AP$11),0)</f>
        <v>0</v>
      </c>
      <c r="BG37" s="24">
        <v>0</v>
      </c>
      <c r="BH37" s="19">
        <f>+IF('Datos delta'!AQ37&gt;0,REASIGN(0,'Datos Protegidos'!$I37,PARTIDOS!AR$11),0)</f>
        <v>0</v>
      </c>
      <c r="BI37" s="24">
        <v>0</v>
      </c>
      <c r="BJ37" s="19">
        <f>+IF('Datos delta'!AS37&gt;0,REASIGN(0,'Datos Protegidos'!$I37,PARTIDOS!AT$11),0)</f>
        <v>0</v>
      </c>
      <c r="BK37" s="24">
        <v>0</v>
      </c>
      <c r="BL37" s="19">
        <f>+IF('Datos delta'!AU37&gt;0,REASIGN(0,'Datos Protegidos'!$I37,PARTIDOS!AV$11),0)</f>
        <v>0</v>
      </c>
      <c r="BM37" s="24">
        <v>0</v>
      </c>
      <c r="BN37" s="19">
        <f>+IF('Datos delta'!AW37&gt;0,REASIGN(0,'Datos Protegidos'!$I37,PARTIDOS!AX$11),0)</f>
        <v>0</v>
      </c>
      <c r="BO37" s="24">
        <v>0</v>
      </c>
      <c r="BP37" s="19">
        <f>+IF('Datos delta'!AY37&gt;0,REASIGN(0,'Datos Protegidos'!$I37,PARTIDOS!AZ$11),0)</f>
        <v>0</v>
      </c>
      <c r="BQ37" s="24">
        <v>0</v>
      </c>
      <c r="BR37" s="19">
        <f>+IF('Datos delta'!BA37&gt;0,REASIGN(0,'Datos Protegidos'!$I37,PARTIDOS!BB$11),0)</f>
        <v>0</v>
      </c>
      <c r="BS37" s="24">
        <v>0</v>
      </c>
      <c r="BT37" s="19">
        <f>+IF('Datos delta'!BC37&gt;0,REASIGN(0,'Datos Protegidos'!$I37,PARTIDOS!BD$11),0)</f>
        <v>0</v>
      </c>
      <c r="BU37" s="24">
        <v>0</v>
      </c>
      <c r="BV37" s="19">
        <f>+IF('Datos delta'!BE37&gt;0,REASIGN(0,'Datos Protegidos'!$I37,PARTIDOS!BF$11),0)</f>
        <v>0</v>
      </c>
      <c r="BW37" s="24">
        <v>0</v>
      </c>
      <c r="BX37" s="19">
        <f>+IF('Datos delta'!BG37&gt;0,REASIGN(0,'Datos Protegidos'!$I37,PARTIDOS!BH$11),0)</f>
        <v>0</v>
      </c>
      <c r="BY37" s="24">
        <v>0</v>
      </c>
      <c r="BZ37" s="19">
        <f>+IF('Datos delta'!BI37&gt;0,REASIGN(0,'Datos Protegidos'!$I37,PARTIDOS!BJ$11),0)</f>
        <v>0</v>
      </c>
      <c r="CA37" s="24">
        <v>0</v>
      </c>
      <c r="CB37" s="19">
        <f>+IF('Datos delta'!BK37&gt;0,REASIGN(0,'Datos Protegidos'!$I37,PARTIDOS!BL$11),0)</f>
        <v>0</v>
      </c>
      <c r="CC37" s="24">
        <v>0</v>
      </c>
      <c r="CD37" s="19">
        <f>+IF('Datos delta'!BM37&gt;0,REASIGN(0,'Datos Protegidos'!$I37,PARTIDOS!BN$11),0)</f>
        <v>0</v>
      </c>
      <c r="CE37" s="24">
        <v>0</v>
      </c>
      <c r="CF37" s="19">
        <f>+IF('Datos delta'!BO37&gt;0,REASIGN(0,'Datos Protegidos'!$I37,PARTIDOS!BP$11),0)</f>
        <v>0</v>
      </c>
      <c r="CG37" s="24">
        <v>0</v>
      </c>
      <c r="CH37" s="19">
        <f>+IF('Datos delta'!BQ37&gt;0,REASIGN(0,'Datos Protegidos'!$I37,PARTIDOS!BR$11),0)</f>
        <v>0</v>
      </c>
      <c r="CI37" s="24">
        <v>0</v>
      </c>
      <c r="CJ37" s="19">
        <f>+IF('Datos delta'!BS37&gt;0,REASIGN(0,'Datos Protegidos'!$I37,PARTIDOS!BT$11),0)</f>
        <v>0</v>
      </c>
      <c r="CK37" s="24">
        <v>0</v>
      </c>
      <c r="CL37" s="19">
        <f>+IF('Datos delta'!BU37&gt;0,REASIGN(0,'Datos Protegidos'!$I37,PARTIDOS!BV$11),0)</f>
        <v>0</v>
      </c>
      <c r="CM37" s="24">
        <v>0</v>
      </c>
      <c r="CN37" s="19">
        <f>+IF('Datos delta'!BW37&gt;0,REASIGN(0,'Datos Protegidos'!$I37,PARTIDOS!BX$11),0)</f>
        <v>0</v>
      </c>
      <c r="CO37" s="24">
        <v>0</v>
      </c>
      <c r="CP37" s="19">
        <f>+IF('Datos delta'!BY37&gt;0,REASIGN(0,'Datos Protegidos'!$I37,PARTIDOS!BZ$11),0)</f>
        <v>0</v>
      </c>
      <c r="CQ37" s="24">
        <v>0</v>
      </c>
      <c r="CR37" s="19">
        <f>+IF('Datos delta'!CA37&gt;0,REASIGN(0,'Datos Protegidos'!$I37,PARTIDOS!CB$11),0)</f>
        <v>0</v>
      </c>
      <c r="CS37" s="24">
        <v>0</v>
      </c>
      <c r="CT37" s="19">
        <f>+IF('Datos delta'!CC37&gt;0,REASIGN(0,'Datos Protegidos'!$I37,PARTIDOS!CD$11),0)</f>
        <v>0</v>
      </c>
      <c r="CU37" s="24">
        <v>0</v>
      </c>
      <c r="CV37" s="19">
        <f>+IF('Datos delta'!CE37&gt;0,REASIGN(0,'Datos Protegidos'!$I37,PARTIDOS!CF$11),0)</f>
        <v>0</v>
      </c>
      <c r="CW37" s="24">
        <v>0</v>
      </c>
      <c r="CX37" s="19">
        <f>+IF('Datos delta'!CG37&gt;0,REASIGN(0,'Datos Protegidos'!$I37,PARTIDOS!CH$11),0)</f>
        <v>0</v>
      </c>
      <c r="CY37" s="24">
        <v>0</v>
      </c>
      <c r="CZ37" s="19">
        <f>+IF('Datos delta'!CI37&gt;0,REASIGN(0,'Datos Protegidos'!$I37,PARTIDOS!CJ$11),0)</f>
        <v>0</v>
      </c>
      <c r="DA37" s="24">
        <v>0</v>
      </c>
      <c r="DB37" s="19">
        <f>+IF('Datos delta'!CK37&gt;0,REASIGN(0,'Datos Protegidos'!$I37,PARTIDOS!CL$11),0)</f>
        <v>0</v>
      </c>
      <c r="DC37" s="24">
        <v>0</v>
      </c>
      <c r="DD37" s="19">
        <f>+IF('Datos delta'!CM37&gt;0,REASIGN(0,'Datos Protegidos'!$I37,PARTIDOS!CN$11),0)</f>
        <v>0</v>
      </c>
      <c r="DE37" s="24">
        <v>0</v>
      </c>
      <c r="DF37" s="19">
        <f>+IF('Datos delta'!CO37&gt;0,REASIGN(0,'Datos Protegidos'!$I37,PARTIDOS!CP$11),0)</f>
        <v>0</v>
      </c>
      <c r="DG37" s="24">
        <v>0</v>
      </c>
      <c r="DH37" s="19">
        <f>+IF('Datos delta'!CQ37&gt;0,REASIGN(0,'Datos Protegidos'!$I37,PARTIDOS!CR$11),0)</f>
        <v>0</v>
      </c>
      <c r="DI37" s="24">
        <v>0</v>
      </c>
      <c r="DJ37" s="19">
        <f>+IF('Datos delta'!CS37&gt;0,REASIGN(0,'Datos Protegidos'!$I37,PARTIDOS!CT$11),0)</f>
        <v>0</v>
      </c>
      <c r="DK37" s="24">
        <v>0</v>
      </c>
      <c r="DL37" s="19">
        <f>+IF('Datos delta'!CU37&gt;0,REASIGN(0,'Datos Protegidos'!$I37,PARTIDOS!CV$11),0)</f>
        <v>0</v>
      </c>
      <c r="DM37" s="24">
        <v>0</v>
      </c>
      <c r="DN37" s="19">
        <f>+IF('Datos delta'!CW37&gt;0,REASIGN(0,'Datos Protegidos'!$I37,PARTIDOS!CX$11),0)</f>
        <v>0</v>
      </c>
      <c r="DO37" s="24">
        <v>0</v>
      </c>
      <c r="DP37" s="19">
        <f>+IF('Datos delta'!CY37&gt;0,REASIGN(0,'Datos Protegidos'!$I37,PARTIDOS!CZ$11),0)</f>
        <v>0</v>
      </c>
      <c r="DQ37" s="24">
        <v>0</v>
      </c>
      <c r="DR37" s="19">
        <f>+IF('Datos delta'!DA37&gt;0,REASIGN(0,'Datos Protegidos'!$I37,PARTIDOS!DB$11),0)</f>
        <v>0</v>
      </c>
      <c r="DS37" s="24">
        <v>0</v>
      </c>
      <c r="DT37" s="19">
        <f>+IF('Datos delta'!DC37&gt;0,REASIGN(0,'Datos Protegidos'!$I37,PARTIDOS!DD$11),0)</f>
        <v>0</v>
      </c>
      <c r="DU37" s="24">
        <v>0</v>
      </c>
      <c r="DV37" s="19">
        <f>+IF('Datos delta'!DE37&gt;0,REASIGN(0,'Datos Protegidos'!$I37,PARTIDOS!DF$11),0)</f>
        <v>0</v>
      </c>
      <c r="DW37" s="24">
        <v>0</v>
      </c>
      <c r="DX37" s="19">
        <f>+IF('Datos delta'!DG37&gt;0,REASIGN(0,'Datos Protegidos'!$I37,PARTIDOS!DH$11),0)</f>
        <v>0</v>
      </c>
      <c r="DY37" s="24">
        <v>0</v>
      </c>
      <c r="DZ37" s="19">
        <f>+IF('Datos delta'!DI37&gt;0,REASIGN(0,'Datos Protegidos'!$I37,PARTIDOS!DJ$11),0)</f>
        <v>0</v>
      </c>
      <c r="EA37" s="24">
        <v>0</v>
      </c>
      <c r="EB37" s="19">
        <f>+IF('Datos delta'!DK37&gt;0,REASIGN(0,'Datos Protegidos'!$I37,PARTIDOS!DL$11),0)</f>
        <v>0</v>
      </c>
      <c r="EC37" s="24">
        <v>0</v>
      </c>
      <c r="ED37" s="19">
        <f>+IF('Datos delta'!DM37&gt;0,REASIGN(0,'Datos Protegidos'!$I37,PARTIDOS!DN$11),0)</f>
        <v>0</v>
      </c>
      <c r="EE37" s="24">
        <v>0</v>
      </c>
      <c r="EF37" s="19">
        <f>+IF('Datos delta'!DO37&gt;0,REASIGN(0,'Datos Protegidos'!$I37,PARTIDOS!DP$11),0)</f>
        <v>0</v>
      </c>
      <c r="EG37" s="24">
        <v>0</v>
      </c>
      <c r="EH37" s="19">
        <f>+IF('Datos delta'!DQ37&gt;0,REASIGN(0,'Datos Protegidos'!$I37,PARTIDOS!DR$11),0)</f>
        <v>0</v>
      </c>
      <c r="EI37" s="24">
        <v>0</v>
      </c>
      <c r="EJ37" s="19">
        <f>+IF('Datos delta'!DS37&gt;0,REASIGN(0,'Datos Protegidos'!$I37,PARTIDOS!DT$11),0)</f>
        <v>0</v>
      </c>
      <c r="EK37" s="24">
        <v>0</v>
      </c>
      <c r="EL37" s="19">
        <f>+IF('Datos delta'!DU37&gt;0,REASIGN(0,'Datos Protegidos'!$I37,PARTIDOS!DV$11),0)</f>
        <v>0</v>
      </c>
      <c r="EM37" s="24">
        <v>0</v>
      </c>
      <c r="EN37" s="19">
        <f>+IF('Datos delta'!DW37&gt;0,REASIGN(0,'Datos Protegidos'!$I37,PARTIDOS!DX$11),0)</f>
        <v>0</v>
      </c>
      <c r="EO37" s="24">
        <v>0</v>
      </c>
      <c r="EP37" s="19">
        <f>+IF('Datos delta'!DY37&gt;0,REASIGN(0,'Datos Protegidos'!$I37,PARTIDOS!DZ$11),0)</f>
        <v>0</v>
      </c>
      <c r="EQ37" s="24">
        <v>0</v>
      </c>
      <c r="ER37" s="19">
        <f>+IF('Datos delta'!EA37&gt;0,REASIGN(0,'Datos Protegidos'!$I37,PARTIDOS!EB$11),0)</f>
        <v>0</v>
      </c>
      <c r="ES37" s="24">
        <v>0</v>
      </c>
      <c r="ET37" s="19">
        <f>+IF('Datos delta'!EC37&gt;0,REASIGN(0,'Datos Protegidos'!$I37,PARTIDOS!ED$11),0)</f>
        <v>0</v>
      </c>
      <c r="EU37" s="24">
        <v>0</v>
      </c>
    </row>
    <row r="38" spans="1:151" x14ac:dyDescent="0.25">
      <c r="A38" s="24" t="s">
        <v>61</v>
      </c>
      <c r="B38" s="25">
        <v>15</v>
      </c>
      <c r="C38" s="24" t="s">
        <v>62</v>
      </c>
      <c r="D38" s="24">
        <v>1119351</v>
      </c>
      <c r="E38" s="26">
        <v>1541</v>
      </c>
      <c r="F38" s="26">
        <v>928240</v>
      </c>
      <c r="G38" s="26">
        <v>159599</v>
      </c>
      <c r="H38" s="26">
        <v>1087839</v>
      </c>
      <c r="I38" s="1">
        <v>10408</v>
      </c>
      <c r="J38" s="19">
        <f>+INT(([1]Hoja1!M38/[1]Hoja1!O38)*M38)</f>
        <v>613494</v>
      </c>
      <c r="K38" s="19">
        <f>+INT(([1]Hoja1!N38/[1]Hoja1!O38)*M38)</f>
        <v>606187</v>
      </c>
      <c r="L38" s="19">
        <f t="shared" si="1"/>
        <v>14363</v>
      </c>
      <c r="M38" s="19">
        <f t="shared" si="2"/>
        <v>7307</v>
      </c>
      <c r="N38" s="22">
        <f t="shared" si="0"/>
        <v>0</v>
      </c>
      <c r="O38" s="26">
        <v>7307</v>
      </c>
      <c r="P38" s="26">
        <v>7056</v>
      </c>
      <c r="Q38" s="22">
        <f t="shared" si="3"/>
        <v>8</v>
      </c>
      <c r="R38" s="19">
        <f>+IF('Datos delta'!A38&gt;0,REASIGN(0,'Datos Protegidos'!$I38,PARTIDOS!B$11),0)</f>
        <v>0</v>
      </c>
      <c r="S38" s="24">
        <v>3</v>
      </c>
      <c r="T38" s="19">
        <f>+IF('Datos delta'!C38&gt;0,REASIGN(0,'Datos Protegidos'!$I38,PARTIDOS!D$11),0)</f>
        <v>0</v>
      </c>
      <c r="U38" s="24">
        <v>3</v>
      </c>
      <c r="V38" s="19">
        <f>+IF('Datos delta'!E38&gt;0,REASIGN(0,'Datos Protegidos'!$I38,PARTIDOS!F$11),0)</f>
        <v>0</v>
      </c>
      <c r="W38" s="24">
        <v>0</v>
      </c>
      <c r="X38" s="19">
        <f>+IF('Datos delta'!G38&gt;0,REASIGN(0,'Datos Protegidos'!$I38,PARTIDOS!H$11),0)</f>
        <v>0</v>
      </c>
      <c r="Y38" s="24">
        <v>0</v>
      </c>
      <c r="Z38" s="19">
        <f>+IF('Datos delta'!I38&gt;0,REASIGN(0,'Datos Protegidos'!$I38,PARTIDOS!J$11),0)</f>
        <v>0</v>
      </c>
      <c r="AA38" s="24">
        <v>0</v>
      </c>
      <c r="AB38" s="19">
        <f>+IF('Datos delta'!K38&gt;0,REASIGN(0,'Datos Protegidos'!$I38,PARTIDOS!L$11),0)</f>
        <v>0</v>
      </c>
      <c r="AC38" s="24">
        <v>0</v>
      </c>
      <c r="AD38" s="19">
        <f>+IF('Datos delta'!M38&gt;0,REASIGN(0,'Datos Protegidos'!$I38,PARTIDOS!N$11),0)</f>
        <v>0</v>
      </c>
      <c r="AE38" s="24">
        <v>0</v>
      </c>
      <c r="AF38" s="19">
        <f>+IF('Datos delta'!O38&gt;0,REASIGN(0,'Datos Protegidos'!$I38,PARTIDOS!P$11),0)</f>
        <v>0</v>
      </c>
      <c r="AG38" s="24">
        <v>0</v>
      </c>
      <c r="AH38" s="19">
        <f>+IF('Datos delta'!Q38&gt;0,REASIGN(0,'Datos Protegidos'!$I38,PARTIDOS!R$11),0)</f>
        <v>0</v>
      </c>
      <c r="AI38" s="24">
        <v>0</v>
      </c>
      <c r="AJ38" s="19">
        <f>+IF('Datos delta'!S38&gt;0,REASIGN(0,'Datos Protegidos'!$I38,PARTIDOS!T$11),0)</f>
        <v>0</v>
      </c>
      <c r="AK38" s="24">
        <v>0</v>
      </c>
      <c r="AL38" s="19">
        <f>+IF('Datos delta'!U38&gt;0,REASIGN(0,'Datos Protegidos'!$I38,PARTIDOS!V$11),0)</f>
        <v>0</v>
      </c>
      <c r="AM38" s="24">
        <v>0</v>
      </c>
      <c r="AN38" s="19">
        <f>+IF('Datos delta'!W38&gt;0,REASIGN(0,'Datos Protegidos'!$I38,PARTIDOS!X$11),0)</f>
        <v>0</v>
      </c>
      <c r="AO38" s="24">
        <v>0</v>
      </c>
      <c r="AP38" s="19">
        <f>+IF('Datos delta'!Y38&gt;0,REASIGN(0,'Datos Protegidos'!$I38,PARTIDOS!Z$11),0)</f>
        <v>0</v>
      </c>
      <c r="AQ38" s="24">
        <v>1</v>
      </c>
      <c r="AR38" s="19">
        <f>+IF('Datos delta'!AA38&gt;0,REASIGN(0,'Datos Protegidos'!$I38,PARTIDOS!AB$11),0)</f>
        <v>0</v>
      </c>
      <c r="AS38" s="24">
        <v>0</v>
      </c>
      <c r="AT38" s="19">
        <f>+IF('Datos delta'!AC38&gt;0,REASIGN(0,'Datos Protegidos'!$I38,PARTIDOS!AD$11),0)</f>
        <v>0</v>
      </c>
      <c r="AU38" s="24">
        <v>0</v>
      </c>
      <c r="AV38" s="19">
        <f>+IF('Datos delta'!AE38&gt;0,REASIGN(0,'Datos Protegidos'!$I38,PARTIDOS!AF$11),0)</f>
        <v>0</v>
      </c>
      <c r="AW38" s="24">
        <v>0</v>
      </c>
      <c r="AX38" s="19">
        <f>+IF('Datos delta'!AG38&gt;0,REASIGN(0,'Datos Protegidos'!$I38,PARTIDOS!AH$11),0)</f>
        <v>0</v>
      </c>
      <c r="AY38" s="24">
        <v>1</v>
      </c>
      <c r="AZ38" s="19">
        <f>+IF('Datos delta'!AI38&gt;0,REASIGN(0,'Datos Protegidos'!$I38,PARTIDOS!AJ$11),0)</f>
        <v>0</v>
      </c>
      <c r="BA38" s="24">
        <v>0</v>
      </c>
      <c r="BB38" s="19">
        <f>+IF('Datos delta'!AK38&gt;0,REASIGN(0,'Datos Protegidos'!$I38,PARTIDOS!AL$11),0)</f>
        <v>0</v>
      </c>
      <c r="BC38" s="24">
        <v>0</v>
      </c>
      <c r="BD38" s="19">
        <f>+IF('Datos delta'!AM38&gt;0,REASIGN(0,'Datos Protegidos'!$I38,PARTIDOS!AN$11),0)</f>
        <v>0</v>
      </c>
      <c r="BE38" s="24">
        <v>0</v>
      </c>
      <c r="BF38" s="19">
        <f>+IF('Datos delta'!AO38&gt;0,REASIGN(0,'Datos Protegidos'!$I38,PARTIDOS!AP$11),0)</f>
        <v>0</v>
      </c>
      <c r="BG38" s="24">
        <v>0</v>
      </c>
      <c r="BH38" s="19">
        <f>+IF('Datos delta'!AQ38&gt;0,REASIGN(0,'Datos Protegidos'!$I38,PARTIDOS!AR$11),0)</f>
        <v>0</v>
      </c>
      <c r="BI38" s="24">
        <v>0</v>
      </c>
      <c r="BJ38" s="19">
        <f>+IF('Datos delta'!AS38&gt;0,REASIGN(0,'Datos Protegidos'!$I38,PARTIDOS!AT$11),0)</f>
        <v>0</v>
      </c>
      <c r="BK38" s="24">
        <v>0</v>
      </c>
      <c r="BL38" s="19">
        <f>+IF('Datos delta'!AU38&gt;0,REASIGN(0,'Datos Protegidos'!$I38,PARTIDOS!AV$11),0)</f>
        <v>0</v>
      </c>
      <c r="BM38" s="24">
        <v>0</v>
      </c>
      <c r="BN38" s="19">
        <f>+IF('Datos delta'!AW38&gt;0,REASIGN(0,'Datos Protegidos'!$I38,PARTIDOS!AX$11),0)</f>
        <v>0</v>
      </c>
      <c r="BO38" s="24">
        <v>0</v>
      </c>
      <c r="BP38" s="19">
        <f>+IF('Datos delta'!AY38&gt;0,REASIGN(0,'Datos Protegidos'!$I38,PARTIDOS!AZ$11),0)</f>
        <v>0</v>
      </c>
      <c r="BQ38" s="24">
        <v>0</v>
      </c>
      <c r="BR38" s="19">
        <f>+IF('Datos delta'!BA38&gt;0,REASIGN(0,'Datos Protegidos'!$I38,PARTIDOS!BB$11),0)</f>
        <v>0</v>
      </c>
      <c r="BS38" s="24">
        <v>0</v>
      </c>
      <c r="BT38" s="19">
        <f>+IF('Datos delta'!BC38&gt;0,REASIGN(0,'Datos Protegidos'!$I38,PARTIDOS!BD$11),0)</f>
        <v>0</v>
      </c>
      <c r="BU38" s="24">
        <v>0</v>
      </c>
      <c r="BV38" s="19">
        <f>+IF('Datos delta'!BE38&gt;0,REASIGN(0,'Datos Protegidos'!$I38,PARTIDOS!BF$11),0)</f>
        <v>0</v>
      </c>
      <c r="BW38" s="24">
        <v>0</v>
      </c>
      <c r="BX38" s="19">
        <f>+IF('Datos delta'!BG38&gt;0,REASIGN(0,'Datos Protegidos'!$I38,PARTIDOS!BH$11),0)</f>
        <v>0</v>
      </c>
      <c r="BY38" s="24">
        <v>0</v>
      </c>
      <c r="BZ38" s="19">
        <f>+IF('Datos delta'!BI38&gt;0,REASIGN(0,'Datos Protegidos'!$I38,PARTIDOS!BJ$11),0)</f>
        <v>0</v>
      </c>
      <c r="CA38" s="24">
        <v>0</v>
      </c>
      <c r="CB38" s="19">
        <f>+IF('Datos delta'!BK38&gt;0,REASIGN(0,'Datos Protegidos'!$I38,PARTIDOS!BL$11),0)</f>
        <v>0</v>
      </c>
      <c r="CC38" s="24">
        <v>0</v>
      </c>
      <c r="CD38" s="19">
        <f>+IF('Datos delta'!BM38&gt;0,REASIGN(0,'Datos Protegidos'!$I38,PARTIDOS!BN$11),0)</f>
        <v>0</v>
      </c>
      <c r="CE38" s="24">
        <v>0</v>
      </c>
      <c r="CF38" s="19">
        <f>+IF('Datos delta'!BO38&gt;0,REASIGN(0,'Datos Protegidos'!$I38,PARTIDOS!BP$11),0)</f>
        <v>0</v>
      </c>
      <c r="CG38" s="24">
        <v>0</v>
      </c>
      <c r="CH38" s="19">
        <f>+IF('Datos delta'!BQ38&gt;0,REASIGN(0,'Datos Protegidos'!$I38,PARTIDOS!BR$11),0)</f>
        <v>0</v>
      </c>
      <c r="CI38" s="24">
        <v>0</v>
      </c>
      <c r="CJ38" s="19">
        <f>+IF('Datos delta'!BS38&gt;0,REASIGN(0,'Datos Protegidos'!$I38,PARTIDOS!BT$11),0)</f>
        <v>0</v>
      </c>
      <c r="CK38" s="24">
        <v>0</v>
      </c>
      <c r="CL38" s="19">
        <f>+IF('Datos delta'!BU38&gt;0,REASIGN(0,'Datos Protegidos'!$I38,PARTIDOS!BV$11),0)</f>
        <v>0</v>
      </c>
      <c r="CM38" s="24">
        <v>0</v>
      </c>
      <c r="CN38" s="19">
        <f>+IF('Datos delta'!BW38&gt;0,REASIGN(0,'Datos Protegidos'!$I38,PARTIDOS!BX$11),0)</f>
        <v>0</v>
      </c>
      <c r="CO38" s="24">
        <v>0</v>
      </c>
      <c r="CP38" s="19">
        <f>+IF('Datos delta'!BY38&gt;0,REASIGN(0,'Datos Protegidos'!$I38,PARTIDOS!BZ$11),0)</f>
        <v>0</v>
      </c>
      <c r="CQ38" s="24">
        <v>0</v>
      </c>
      <c r="CR38" s="19">
        <f>+IF('Datos delta'!CA38&gt;0,REASIGN(0,'Datos Protegidos'!$I38,PARTIDOS!CB$11),0)</f>
        <v>0</v>
      </c>
      <c r="CS38" s="24">
        <v>0</v>
      </c>
      <c r="CT38" s="19">
        <f>+IF('Datos delta'!CC38&gt;0,REASIGN(0,'Datos Protegidos'!$I38,PARTIDOS!CD$11),0)</f>
        <v>0</v>
      </c>
      <c r="CU38" s="24">
        <v>0</v>
      </c>
      <c r="CV38" s="19">
        <f>+IF('Datos delta'!CE38&gt;0,REASIGN(0,'Datos Protegidos'!$I38,PARTIDOS!CF$11),0)</f>
        <v>0</v>
      </c>
      <c r="CW38" s="24">
        <v>0</v>
      </c>
      <c r="CX38" s="19">
        <f>+IF('Datos delta'!CG38&gt;0,REASIGN(0,'Datos Protegidos'!$I38,PARTIDOS!CH$11),0)</f>
        <v>0</v>
      </c>
      <c r="CY38" s="24">
        <v>0</v>
      </c>
      <c r="CZ38" s="19">
        <f>+IF('Datos delta'!CI38&gt;0,REASIGN(0,'Datos Protegidos'!$I38,PARTIDOS!CJ$11),0)</f>
        <v>0</v>
      </c>
      <c r="DA38" s="24">
        <v>0</v>
      </c>
      <c r="DB38" s="19">
        <f>+IF('Datos delta'!CK38&gt;0,REASIGN(0,'Datos Protegidos'!$I38,PARTIDOS!CL$11),0)</f>
        <v>0</v>
      </c>
      <c r="DC38" s="24">
        <v>0</v>
      </c>
      <c r="DD38" s="19">
        <f>+IF('Datos delta'!CM38&gt;0,REASIGN(0,'Datos Protegidos'!$I38,PARTIDOS!CN$11),0)</f>
        <v>0</v>
      </c>
      <c r="DE38" s="24">
        <v>0</v>
      </c>
      <c r="DF38" s="19">
        <f>+IF('Datos delta'!CO38&gt;0,REASIGN(0,'Datos Protegidos'!$I38,PARTIDOS!CP$11),0)</f>
        <v>0</v>
      </c>
      <c r="DG38" s="24">
        <v>0</v>
      </c>
      <c r="DH38" s="19">
        <f>+IF('Datos delta'!CQ38&gt;0,REASIGN(0,'Datos Protegidos'!$I38,PARTIDOS!CR$11),0)</f>
        <v>0</v>
      </c>
      <c r="DI38" s="24">
        <v>0</v>
      </c>
      <c r="DJ38" s="19">
        <f>+IF('Datos delta'!CS38&gt;0,REASIGN(0,'Datos Protegidos'!$I38,PARTIDOS!CT$11),0)</f>
        <v>0</v>
      </c>
      <c r="DK38" s="24">
        <v>0</v>
      </c>
      <c r="DL38" s="19">
        <f>+IF('Datos delta'!CU38&gt;0,REASIGN(0,'Datos Protegidos'!$I38,PARTIDOS!CV$11),0)</f>
        <v>0</v>
      </c>
      <c r="DM38" s="24">
        <v>0</v>
      </c>
      <c r="DN38" s="19">
        <f>+IF('Datos delta'!CW38&gt;0,REASIGN(0,'Datos Protegidos'!$I38,PARTIDOS!CX$11),0)</f>
        <v>0</v>
      </c>
      <c r="DO38" s="24">
        <v>0</v>
      </c>
      <c r="DP38" s="19">
        <f>+IF('Datos delta'!CY38&gt;0,REASIGN(0,'Datos Protegidos'!$I38,PARTIDOS!CZ$11),0)</f>
        <v>0</v>
      </c>
      <c r="DQ38" s="24">
        <v>0</v>
      </c>
      <c r="DR38" s="19">
        <f>+IF('Datos delta'!DA38&gt;0,REASIGN(0,'Datos Protegidos'!$I38,PARTIDOS!DB$11),0)</f>
        <v>0</v>
      </c>
      <c r="DS38" s="24">
        <v>0</v>
      </c>
      <c r="DT38" s="19">
        <f>+IF('Datos delta'!DC38&gt;0,REASIGN(0,'Datos Protegidos'!$I38,PARTIDOS!DD$11),0)</f>
        <v>0</v>
      </c>
      <c r="DU38" s="24">
        <v>0</v>
      </c>
      <c r="DV38" s="19">
        <f>+IF('Datos delta'!DE38&gt;0,REASIGN(0,'Datos Protegidos'!$I38,PARTIDOS!DF$11),0)</f>
        <v>0</v>
      </c>
      <c r="DW38" s="24">
        <v>0</v>
      </c>
      <c r="DX38" s="19">
        <f>+IF('Datos delta'!DG38&gt;0,REASIGN(0,'Datos Protegidos'!$I38,PARTIDOS!DH$11),0)</f>
        <v>0</v>
      </c>
      <c r="DY38" s="24">
        <v>0</v>
      </c>
      <c r="DZ38" s="19">
        <f>+IF('Datos delta'!DI38&gt;0,REASIGN(0,'Datos Protegidos'!$I38,PARTIDOS!DJ$11),0)</f>
        <v>0</v>
      </c>
      <c r="EA38" s="24">
        <v>0</v>
      </c>
      <c r="EB38" s="19">
        <f>+IF('Datos delta'!DK38&gt;0,REASIGN(0,'Datos Protegidos'!$I38,PARTIDOS!DL$11),0)</f>
        <v>0</v>
      </c>
      <c r="EC38" s="24">
        <v>0</v>
      </c>
      <c r="ED38" s="19">
        <f>+IF('Datos delta'!DM38&gt;0,REASIGN(0,'Datos Protegidos'!$I38,PARTIDOS!DN$11),0)</f>
        <v>0</v>
      </c>
      <c r="EE38" s="24">
        <v>0</v>
      </c>
      <c r="EF38" s="19">
        <f>+IF('Datos delta'!DO38&gt;0,REASIGN(0,'Datos Protegidos'!$I38,PARTIDOS!DP$11),0)</f>
        <v>0</v>
      </c>
      <c r="EG38" s="24">
        <v>0</v>
      </c>
      <c r="EH38" s="19">
        <f>+IF('Datos delta'!DQ38&gt;0,REASIGN(0,'Datos Protegidos'!$I38,PARTIDOS!DR$11),0)</f>
        <v>0</v>
      </c>
      <c r="EI38" s="24">
        <v>0</v>
      </c>
      <c r="EJ38" s="19">
        <f>+IF('Datos delta'!DS38&gt;0,REASIGN(0,'Datos Protegidos'!$I38,PARTIDOS!DT$11),0)</f>
        <v>0</v>
      </c>
      <c r="EK38" s="24">
        <v>0</v>
      </c>
      <c r="EL38" s="19">
        <f>+IF('Datos delta'!DU38&gt;0,REASIGN(0,'Datos Protegidos'!$I38,PARTIDOS!DV$11),0)</f>
        <v>0</v>
      </c>
      <c r="EM38" s="24">
        <v>0</v>
      </c>
      <c r="EN38" s="19">
        <f>+IF('Datos delta'!DW38&gt;0,REASIGN(0,'Datos Protegidos'!$I38,PARTIDOS!DX$11),0)</f>
        <v>0</v>
      </c>
      <c r="EO38" s="24">
        <v>0</v>
      </c>
      <c r="EP38" s="19">
        <f>+IF('Datos delta'!DY38&gt;0,REASIGN(0,'Datos Protegidos'!$I38,PARTIDOS!DZ$11),0)</f>
        <v>0</v>
      </c>
      <c r="EQ38" s="24">
        <v>0</v>
      </c>
      <c r="ER38" s="19">
        <f>+IF('Datos delta'!EA38&gt;0,REASIGN(0,'Datos Protegidos'!$I38,PARTIDOS!EB$11),0)</f>
        <v>0</v>
      </c>
      <c r="ES38" s="24">
        <v>0</v>
      </c>
      <c r="ET38" s="19">
        <f>+IF('Datos delta'!EC38&gt;0,REASIGN(0,'Datos Protegidos'!$I38,PARTIDOS!ED$11),0)</f>
        <v>0</v>
      </c>
      <c r="EU38" s="24">
        <v>0</v>
      </c>
    </row>
    <row r="39" spans="1:151" x14ac:dyDescent="0.25">
      <c r="A39" s="24" t="s">
        <v>61</v>
      </c>
      <c r="B39" s="25">
        <v>27</v>
      </c>
      <c r="C39" s="24" t="s">
        <v>63</v>
      </c>
      <c r="D39" s="24">
        <v>331327</v>
      </c>
      <c r="E39" s="26">
        <v>538</v>
      </c>
      <c r="F39" s="26">
        <v>277220</v>
      </c>
      <c r="G39" s="26">
        <v>67226</v>
      </c>
      <c r="H39" s="26">
        <v>344446</v>
      </c>
      <c r="I39" s="1">
        <v>3673</v>
      </c>
      <c r="J39" s="19">
        <f>+INT(([1]Hoja1!M39/[1]Hoja1!O39)*M39)</f>
        <v>180145</v>
      </c>
      <c r="K39" s="19">
        <f>+INT(([1]Hoja1!N39/[1]Hoja1!O39)*M39)</f>
        <v>178051</v>
      </c>
      <c r="L39" s="19">
        <f t="shared" si="1"/>
        <v>5090</v>
      </c>
      <c r="M39" s="19">
        <f t="shared" si="2"/>
        <v>2094</v>
      </c>
      <c r="N39" s="22">
        <f t="shared" si="0"/>
        <v>0</v>
      </c>
      <c r="O39" s="26">
        <v>2094</v>
      </c>
      <c r="P39" s="26">
        <v>2996</v>
      </c>
      <c r="Q39" s="22">
        <f t="shared" si="3"/>
        <v>4</v>
      </c>
      <c r="R39" s="19">
        <f>+IF('Datos delta'!A39&gt;0,REASIGN(0,'Datos Protegidos'!$I39,PARTIDOS!B$11),0)</f>
        <v>0</v>
      </c>
      <c r="S39" s="24">
        <v>2</v>
      </c>
      <c r="T39" s="19">
        <f>+IF('Datos delta'!C39&gt;0,REASIGN(0,'Datos Protegidos'!$I39,PARTIDOS!D$11),0)</f>
        <v>0</v>
      </c>
      <c r="U39" s="24">
        <v>2</v>
      </c>
      <c r="V39" s="19">
        <f>+IF('Datos delta'!E39&gt;0,REASIGN(0,'Datos Protegidos'!$I39,PARTIDOS!F$11),0)</f>
        <v>0</v>
      </c>
      <c r="W39" s="24">
        <v>0</v>
      </c>
      <c r="X39" s="19">
        <f>+IF('Datos delta'!G39&gt;0,REASIGN(0,'Datos Protegidos'!$I39,PARTIDOS!H$11),0)</f>
        <v>0</v>
      </c>
      <c r="Y39" s="24">
        <v>0</v>
      </c>
      <c r="Z39" s="19">
        <f>+IF('Datos delta'!I39&gt;0,REASIGN(0,'Datos Protegidos'!$I39,PARTIDOS!J$11),0)</f>
        <v>0</v>
      </c>
      <c r="AA39" s="24">
        <v>0</v>
      </c>
      <c r="AB39" s="19">
        <f>+IF('Datos delta'!K39&gt;0,REASIGN(0,'Datos Protegidos'!$I39,PARTIDOS!L$11),0)</f>
        <v>0</v>
      </c>
      <c r="AC39" s="24">
        <v>0</v>
      </c>
      <c r="AD39" s="19">
        <f>+IF('Datos delta'!M39&gt;0,REASIGN(0,'Datos Protegidos'!$I39,PARTIDOS!N$11),0)</f>
        <v>0</v>
      </c>
      <c r="AE39" s="24">
        <v>0</v>
      </c>
      <c r="AF39" s="19">
        <f>+IF('Datos delta'!O39&gt;0,REASIGN(0,'Datos Protegidos'!$I39,PARTIDOS!P$11),0)</f>
        <v>0</v>
      </c>
      <c r="AG39" s="24">
        <v>0</v>
      </c>
      <c r="AH39" s="19">
        <f>+IF('Datos delta'!Q39&gt;0,REASIGN(0,'Datos Protegidos'!$I39,PARTIDOS!R$11),0)</f>
        <v>0</v>
      </c>
      <c r="AI39" s="24">
        <v>0</v>
      </c>
      <c r="AJ39" s="19">
        <f>+IF('Datos delta'!S39&gt;0,REASIGN(0,'Datos Protegidos'!$I39,PARTIDOS!T$11),0)</f>
        <v>0</v>
      </c>
      <c r="AK39" s="24">
        <v>0</v>
      </c>
      <c r="AL39" s="19">
        <f>+IF('Datos delta'!U39&gt;0,REASIGN(0,'Datos Protegidos'!$I39,PARTIDOS!V$11),0)</f>
        <v>0</v>
      </c>
      <c r="AM39" s="24">
        <v>0</v>
      </c>
      <c r="AN39" s="19">
        <f>+IF('Datos delta'!W39&gt;0,REASIGN(0,'Datos Protegidos'!$I39,PARTIDOS!X$11),0)</f>
        <v>0</v>
      </c>
      <c r="AO39" s="24">
        <v>0</v>
      </c>
      <c r="AP39" s="19">
        <f>+IF('Datos delta'!Y39&gt;0,REASIGN(0,'Datos Protegidos'!$I39,PARTIDOS!Z$11),0)</f>
        <v>0</v>
      </c>
      <c r="AQ39" s="24">
        <v>0</v>
      </c>
      <c r="AR39" s="19">
        <f>+IF('Datos delta'!AA39&gt;0,REASIGN(0,'Datos Protegidos'!$I39,PARTIDOS!AB$11),0)</f>
        <v>0</v>
      </c>
      <c r="AS39" s="24">
        <v>0</v>
      </c>
      <c r="AT39" s="19">
        <f>+IF('Datos delta'!AC39&gt;0,REASIGN(0,'Datos Protegidos'!$I39,PARTIDOS!AD$11),0)</f>
        <v>0</v>
      </c>
      <c r="AU39" s="24">
        <v>0</v>
      </c>
      <c r="AV39" s="19">
        <f>+IF('Datos delta'!AE39&gt;0,REASIGN(0,'Datos Protegidos'!$I39,PARTIDOS!AF$11),0)</f>
        <v>0</v>
      </c>
      <c r="AW39" s="24">
        <v>0</v>
      </c>
      <c r="AX39" s="19">
        <f>+IF('Datos delta'!AG39&gt;0,REASIGN(0,'Datos Protegidos'!$I39,PARTIDOS!AH$11),0)</f>
        <v>0</v>
      </c>
      <c r="AY39" s="24">
        <v>0</v>
      </c>
      <c r="AZ39" s="19">
        <f>+IF('Datos delta'!AI39&gt;0,REASIGN(0,'Datos Protegidos'!$I39,PARTIDOS!AJ$11),0)</f>
        <v>0</v>
      </c>
      <c r="BA39" s="24">
        <v>0</v>
      </c>
      <c r="BB39" s="19">
        <f>+IF('Datos delta'!AK39&gt;0,REASIGN(0,'Datos Protegidos'!$I39,PARTIDOS!AL$11),0)</f>
        <v>0</v>
      </c>
      <c r="BC39" s="24">
        <v>0</v>
      </c>
      <c r="BD39" s="19">
        <f>+IF('Datos delta'!AM39&gt;0,REASIGN(0,'Datos Protegidos'!$I39,PARTIDOS!AN$11),0)</f>
        <v>0</v>
      </c>
      <c r="BE39" s="24">
        <v>0</v>
      </c>
      <c r="BF39" s="19">
        <f>+IF('Datos delta'!AO39&gt;0,REASIGN(0,'Datos Protegidos'!$I39,PARTIDOS!AP$11),0)</f>
        <v>0</v>
      </c>
      <c r="BG39" s="24">
        <v>0</v>
      </c>
      <c r="BH39" s="19">
        <f>+IF('Datos delta'!AQ39&gt;0,REASIGN(0,'Datos Protegidos'!$I39,PARTIDOS!AR$11),0)</f>
        <v>0</v>
      </c>
      <c r="BI39" s="24">
        <v>0</v>
      </c>
      <c r="BJ39" s="19">
        <f>+IF('Datos delta'!AS39&gt;0,REASIGN(0,'Datos Protegidos'!$I39,PARTIDOS!AT$11),0)</f>
        <v>0</v>
      </c>
      <c r="BK39" s="24">
        <v>0</v>
      </c>
      <c r="BL39" s="19">
        <f>+IF('Datos delta'!AU39&gt;0,REASIGN(0,'Datos Protegidos'!$I39,PARTIDOS!AV$11),0)</f>
        <v>0</v>
      </c>
      <c r="BM39" s="24">
        <v>0</v>
      </c>
      <c r="BN39" s="19">
        <f>+IF('Datos delta'!AW39&gt;0,REASIGN(0,'Datos Protegidos'!$I39,PARTIDOS!AX$11),0)</f>
        <v>0</v>
      </c>
      <c r="BO39" s="24">
        <v>0</v>
      </c>
      <c r="BP39" s="19">
        <f>+IF('Datos delta'!AY39&gt;0,REASIGN(0,'Datos Protegidos'!$I39,PARTIDOS!AZ$11),0)</f>
        <v>0</v>
      </c>
      <c r="BQ39" s="24">
        <v>0</v>
      </c>
      <c r="BR39" s="19">
        <f>+IF('Datos delta'!BA39&gt;0,REASIGN(0,'Datos Protegidos'!$I39,PARTIDOS!BB$11),0)</f>
        <v>0</v>
      </c>
      <c r="BS39" s="24">
        <v>0</v>
      </c>
      <c r="BT39" s="19">
        <f>+IF('Datos delta'!BC39&gt;0,REASIGN(0,'Datos Protegidos'!$I39,PARTIDOS!BD$11),0)</f>
        <v>0</v>
      </c>
      <c r="BU39" s="24">
        <v>0</v>
      </c>
      <c r="BV39" s="19">
        <f>+IF('Datos delta'!BE39&gt;0,REASIGN(0,'Datos Protegidos'!$I39,PARTIDOS!BF$11),0)</f>
        <v>0</v>
      </c>
      <c r="BW39" s="24">
        <v>0</v>
      </c>
      <c r="BX39" s="19">
        <f>+IF('Datos delta'!BG39&gt;0,REASIGN(0,'Datos Protegidos'!$I39,PARTIDOS!BH$11),0)</f>
        <v>0</v>
      </c>
      <c r="BY39" s="24">
        <v>0</v>
      </c>
      <c r="BZ39" s="19">
        <f>+IF('Datos delta'!BI39&gt;0,REASIGN(0,'Datos Protegidos'!$I39,PARTIDOS!BJ$11),0)</f>
        <v>0</v>
      </c>
      <c r="CA39" s="24">
        <v>0</v>
      </c>
      <c r="CB39" s="19">
        <f>+IF('Datos delta'!BK39&gt;0,REASIGN(0,'Datos Protegidos'!$I39,PARTIDOS!BL$11),0)</f>
        <v>0</v>
      </c>
      <c r="CC39" s="24">
        <v>0</v>
      </c>
      <c r="CD39" s="19">
        <f>+IF('Datos delta'!BM39&gt;0,REASIGN(0,'Datos Protegidos'!$I39,PARTIDOS!BN$11),0)</f>
        <v>0</v>
      </c>
      <c r="CE39" s="24">
        <v>0</v>
      </c>
      <c r="CF39" s="19">
        <f>+IF('Datos delta'!BO39&gt;0,REASIGN(0,'Datos Protegidos'!$I39,PARTIDOS!BP$11),0)</f>
        <v>0</v>
      </c>
      <c r="CG39" s="24">
        <v>0</v>
      </c>
      <c r="CH39" s="19">
        <f>+IF('Datos delta'!BQ39&gt;0,REASIGN(0,'Datos Protegidos'!$I39,PARTIDOS!BR$11),0)</f>
        <v>0</v>
      </c>
      <c r="CI39" s="24">
        <v>0</v>
      </c>
      <c r="CJ39" s="19">
        <f>+IF('Datos delta'!BS39&gt;0,REASIGN(0,'Datos Protegidos'!$I39,PARTIDOS!BT$11),0)</f>
        <v>0</v>
      </c>
      <c r="CK39" s="24">
        <v>0</v>
      </c>
      <c r="CL39" s="19">
        <f>+IF('Datos delta'!BU39&gt;0,REASIGN(0,'Datos Protegidos'!$I39,PARTIDOS!BV$11),0)</f>
        <v>0</v>
      </c>
      <c r="CM39" s="24">
        <v>0</v>
      </c>
      <c r="CN39" s="19">
        <f>+IF('Datos delta'!BW39&gt;0,REASIGN(0,'Datos Protegidos'!$I39,PARTIDOS!BX$11),0)</f>
        <v>0</v>
      </c>
      <c r="CO39" s="24">
        <v>0</v>
      </c>
      <c r="CP39" s="19">
        <f>+IF('Datos delta'!BY39&gt;0,REASIGN(0,'Datos Protegidos'!$I39,PARTIDOS!BZ$11),0)</f>
        <v>0</v>
      </c>
      <c r="CQ39" s="24">
        <v>0</v>
      </c>
      <c r="CR39" s="19">
        <f>+IF('Datos delta'!CA39&gt;0,REASIGN(0,'Datos Protegidos'!$I39,PARTIDOS!CB$11),0)</f>
        <v>0</v>
      </c>
      <c r="CS39" s="24">
        <v>0</v>
      </c>
      <c r="CT39" s="19">
        <f>+IF('Datos delta'!CC39&gt;0,REASIGN(0,'Datos Protegidos'!$I39,PARTIDOS!CD$11),0)</f>
        <v>0</v>
      </c>
      <c r="CU39" s="24">
        <v>0</v>
      </c>
      <c r="CV39" s="19">
        <f>+IF('Datos delta'!CE39&gt;0,REASIGN(0,'Datos Protegidos'!$I39,PARTIDOS!CF$11),0)</f>
        <v>0</v>
      </c>
      <c r="CW39" s="24">
        <v>0</v>
      </c>
      <c r="CX39" s="19">
        <f>+IF('Datos delta'!CG39&gt;0,REASIGN(0,'Datos Protegidos'!$I39,PARTIDOS!CH$11),0)</f>
        <v>0</v>
      </c>
      <c r="CY39" s="24">
        <v>0</v>
      </c>
      <c r="CZ39" s="19">
        <f>+IF('Datos delta'!CI39&gt;0,REASIGN(0,'Datos Protegidos'!$I39,PARTIDOS!CJ$11),0)</f>
        <v>0</v>
      </c>
      <c r="DA39" s="24">
        <v>0</v>
      </c>
      <c r="DB39" s="19">
        <f>+IF('Datos delta'!CK39&gt;0,REASIGN(0,'Datos Protegidos'!$I39,PARTIDOS!CL$11),0)</f>
        <v>0</v>
      </c>
      <c r="DC39" s="24">
        <v>0</v>
      </c>
      <c r="DD39" s="19">
        <f>+IF('Datos delta'!CM39&gt;0,REASIGN(0,'Datos Protegidos'!$I39,PARTIDOS!CN$11),0)</f>
        <v>0</v>
      </c>
      <c r="DE39" s="24">
        <v>0</v>
      </c>
      <c r="DF39" s="19">
        <f>+IF('Datos delta'!CO39&gt;0,REASIGN(0,'Datos Protegidos'!$I39,PARTIDOS!CP$11),0)</f>
        <v>0</v>
      </c>
      <c r="DG39" s="24">
        <v>0</v>
      </c>
      <c r="DH39" s="19">
        <f>+IF('Datos delta'!CQ39&gt;0,REASIGN(0,'Datos Protegidos'!$I39,PARTIDOS!CR$11),0)</f>
        <v>0</v>
      </c>
      <c r="DI39" s="24">
        <v>0</v>
      </c>
      <c r="DJ39" s="19">
        <f>+IF('Datos delta'!CS39&gt;0,REASIGN(0,'Datos Protegidos'!$I39,PARTIDOS!CT$11),0)</f>
        <v>0</v>
      </c>
      <c r="DK39" s="24">
        <v>0</v>
      </c>
      <c r="DL39" s="19">
        <f>+IF('Datos delta'!CU39&gt;0,REASIGN(0,'Datos Protegidos'!$I39,PARTIDOS!CV$11),0)</f>
        <v>0</v>
      </c>
      <c r="DM39" s="24">
        <v>0</v>
      </c>
      <c r="DN39" s="19">
        <f>+IF('Datos delta'!CW39&gt;0,REASIGN(0,'Datos Protegidos'!$I39,PARTIDOS!CX$11),0)</f>
        <v>0</v>
      </c>
      <c r="DO39" s="24">
        <v>0</v>
      </c>
      <c r="DP39" s="19">
        <f>+IF('Datos delta'!CY39&gt;0,REASIGN(0,'Datos Protegidos'!$I39,PARTIDOS!CZ$11),0)</f>
        <v>0</v>
      </c>
      <c r="DQ39" s="24">
        <v>0</v>
      </c>
      <c r="DR39" s="19">
        <f>+IF('Datos delta'!DA39&gt;0,REASIGN(0,'Datos Protegidos'!$I39,PARTIDOS!DB$11),0)</f>
        <v>0</v>
      </c>
      <c r="DS39" s="24">
        <v>0</v>
      </c>
      <c r="DT39" s="19">
        <f>+IF('Datos delta'!DC39&gt;0,REASIGN(0,'Datos Protegidos'!$I39,PARTIDOS!DD$11),0)</f>
        <v>0</v>
      </c>
      <c r="DU39" s="24">
        <v>0</v>
      </c>
      <c r="DV39" s="19">
        <f>+IF('Datos delta'!DE39&gt;0,REASIGN(0,'Datos Protegidos'!$I39,PARTIDOS!DF$11),0)</f>
        <v>0</v>
      </c>
      <c r="DW39" s="24">
        <v>0</v>
      </c>
      <c r="DX39" s="19">
        <f>+IF('Datos delta'!DG39&gt;0,REASIGN(0,'Datos Protegidos'!$I39,PARTIDOS!DH$11),0)</f>
        <v>0</v>
      </c>
      <c r="DY39" s="24">
        <v>0</v>
      </c>
      <c r="DZ39" s="19">
        <f>+IF('Datos delta'!DI39&gt;0,REASIGN(0,'Datos Protegidos'!$I39,PARTIDOS!DJ$11),0)</f>
        <v>0</v>
      </c>
      <c r="EA39" s="24">
        <v>0</v>
      </c>
      <c r="EB39" s="19">
        <f>+IF('Datos delta'!DK39&gt;0,REASIGN(0,'Datos Protegidos'!$I39,PARTIDOS!DL$11),0)</f>
        <v>0</v>
      </c>
      <c r="EC39" s="24">
        <v>0</v>
      </c>
      <c r="ED39" s="19">
        <f>+IF('Datos delta'!DM39&gt;0,REASIGN(0,'Datos Protegidos'!$I39,PARTIDOS!DN$11),0)</f>
        <v>0</v>
      </c>
      <c r="EE39" s="24">
        <v>0</v>
      </c>
      <c r="EF39" s="19">
        <f>+IF('Datos delta'!DO39&gt;0,REASIGN(0,'Datos Protegidos'!$I39,PARTIDOS!DP$11),0)</f>
        <v>0</v>
      </c>
      <c r="EG39" s="24">
        <v>0</v>
      </c>
      <c r="EH39" s="19">
        <f>+IF('Datos delta'!DQ39&gt;0,REASIGN(0,'Datos Protegidos'!$I39,PARTIDOS!DR$11),0)</f>
        <v>0</v>
      </c>
      <c r="EI39" s="24">
        <v>0</v>
      </c>
      <c r="EJ39" s="19">
        <f>+IF('Datos delta'!DS39&gt;0,REASIGN(0,'Datos Protegidos'!$I39,PARTIDOS!DT$11),0)</f>
        <v>0</v>
      </c>
      <c r="EK39" s="24">
        <v>0</v>
      </c>
      <c r="EL39" s="19">
        <f>+IF('Datos delta'!DU39&gt;0,REASIGN(0,'Datos Protegidos'!$I39,PARTIDOS!DV$11),0)</f>
        <v>0</v>
      </c>
      <c r="EM39" s="24">
        <v>0</v>
      </c>
      <c r="EN39" s="19">
        <f>+IF('Datos delta'!DW39&gt;0,REASIGN(0,'Datos Protegidos'!$I39,PARTIDOS!DX$11),0)</f>
        <v>0</v>
      </c>
      <c r="EO39" s="24">
        <v>0</v>
      </c>
      <c r="EP39" s="19">
        <f>+IF('Datos delta'!DY39&gt;0,REASIGN(0,'Datos Protegidos'!$I39,PARTIDOS!DZ$11),0)</f>
        <v>0</v>
      </c>
      <c r="EQ39" s="24">
        <v>0</v>
      </c>
      <c r="ER39" s="19">
        <f>+IF('Datos delta'!EA39&gt;0,REASIGN(0,'Datos Protegidos'!$I39,PARTIDOS!EB$11),0)</f>
        <v>0</v>
      </c>
      <c r="ES39" s="24">
        <v>0</v>
      </c>
      <c r="ET39" s="19">
        <f>+IF('Datos delta'!EC39&gt;0,REASIGN(0,'Datos Protegidos'!$I39,PARTIDOS!ED$11),0)</f>
        <v>0</v>
      </c>
      <c r="EU39" s="24">
        <v>0</v>
      </c>
    </row>
    <row r="40" spans="1:151" x14ac:dyDescent="0.25">
      <c r="A40" s="24" t="s">
        <v>61</v>
      </c>
      <c r="B40" s="25">
        <v>32</v>
      </c>
      <c r="C40" s="24" t="s">
        <v>64</v>
      </c>
      <c r="D40" s="24">
        <v>309293</v>
      </c>
      <c r="E40" s="26">
        <v>542</v>
      </c>
      <c r="F40" s="26">
        <v>259175</v>
      </c>
      <c r="G40" s="26">
        <v>101127</v>
      </c>
      <c r="H40" s="26">
        <v>360302</v>
      </c>
      <c r="I40" s="1">
        <v>5645</v>
      </c>
      <c r="J40" s="19">
        <f>+INT(([1]Hoja1!M40/[1]Hoja1!O40)*M40)</f>
        <v>171471</v>
      </c>
      <c r="K40" s="19">
        <f>+INT(([1]Hoja1!N40/[1]Hoja1!O40)*M40)</f>
        <v>169805</v>
      </c>
      <c r="L40" s="19">
        <f t="shared" si="1"/>
        <v>3793</v>
      </c>
      <c r="M40" s="19">
        <f t="shared" si="2"/>
        <v>1666</v>
      </c>
      <c r="N40" s="22">
        <f t="shared" si="0"/>
        <v>0</v>
      </c>
      <c r="O40" s="26">
        <v>1666</v>
      </c>
      <c r="P40" s="26">
        <v>2127</v>
      </c>
      <c r="Q40" s="22">
        <f t="shared" si="3"/>
        <v>4</v>
      </c>
      <c r="R40" s="19">
        <f>+IF('Datos delta'!A40&gt;0,REASIGN(0,'Datos Protegidos'!$I40,PARTIDOS!B$11),0)</f>
        <v>0</v>
      </c>
      <c r="S40" s="24">
        <v>2</v>
      </c>
      <c r="T40" s="19">
        <f>+IF('Datos delta'!C40&gt;0,REASIGN(0,'Datos Protegidos'!$I40,PARTIDOS!D$11),0)</f>
        <v>0</v>
      </c>
      <c r="U40" s="24">
        <v>2</v>
      </c>
      <c r="V40" s="19">
        <f>+IF('Datos delta'!E40&gt;0,REASIGN(0,'Datos Protegidos'!$I40,PARTIDOS!F$11),0)</f>
        <v>0</v>
      </c>
      <c r="W40" s="24">
        <v>0</v>
      </c>
      <c r="X40" s="19">
        <f>+IF('Datos delta'!G40&gt;0,REASIGN(0,'Datos Protegidos'!$I40,PARTIDOS!H$11),0)</f>
        <v>0</v>
      </c>
      <c r="Y40" s="24">
        <v>0</v>
      </c>
      <c r="Z40" s="19">
        <f>+IF('Datos delta'!I40&gt;0,REASIGN(0,'Datos Protegidos'!$I40,PARTIDOS!J$11),0)</f>
        <v>0</v>
      </c>
      <c r="AA40" s="24">
        <v>0</v>
      </c>
      <c r="AB40" s="19">
        <f>+IF('Datos delta'!K40&gt;0,REASIGN(0,'Datos Protegidos'!$I40,PARTIDOS!L$11),0)</f>
        <v>0</v>
      </c>
      <c r="AC40" s="24">
        <v>0</v>
      </c>
      <c r="AD40" s="19">
        <f>+IF('Datos delta'!M40&gt;0,REASIGN(0,'Datos Protegidos'!$I40,PARTIDOS!N$11),0)</f>
        <v>0</v>
      </c>
      <c r="AE40" s="24">
        <v>0</v>
      </c>
      <c r="AF40" s="19">
        <f>+IF('Datos delta'!O40&gt;0,REASIGN(0,'Datos Protegidos'!$I40,PARTIDOS!P$11),0)</f>
        <v>0</v>
      </c>
      <c r="AG40" s="24">
        <v>0</v>
      </c>
      <c r="AH40" s="19">
        <f>+IF('Datos delta'!Q40&gt;0,REASIGN(0,'Datos Protegidos'!$I40,PARTIDOS!R$11),0)</f>
        <v>0</v>
      </c>
      <c r="AI40" s="24">
        <v>0</v>
      </c>
      <c r="AJ40" s="19">
        <f>+IF('Datos delta'!S40&gt;0,REASIGN(0,'Datos Protegidos'!$I40,PARTIDOS!T$11),0)</f>
        <v>0</v>
      </c>
      <c r="AK40" s="24">
        <v>0</v>
      </c>
      <c r="AL40" s="19">
        <f>+IF('Datos delta'!U40&gt;0,REASIGN(0,'Datos Protegidos'!$I40,PARTIDOS!V$11),0)</f>
        <v>0</v>
      </c>
      <c r="AM40" s="24">
        <v>0</v>
      </c>
      <c r="AN40" s="19">
        <f>+IF('Datos delta'!W40&gt;0,REASIGN(0,'Datos Protegidos'!$I40,PARTIDOS!X$11),0)</f>
        <v>0</v>
      </c>
      <c r="AO40" s="24">
        <v>0</v>
      </c>
      <c r="AP40" s="19">
        <f>+IF('Datos delta'!Y40&gt;0,REASIGN(0,'Datos Protegidos'!$I40,PARTIDOS!Z$11),0)</f>
        <v>0</v>
      </c>
      <c r="AQ40" s="24">
        <v>0</v>
      </c>
      <c r="AR40" s="19">
        <f>+IF('Datos delta'!AA40&gt;0,REASIGN(0,'Datos Protegidos'!$I40,PARTIDOS!AB$11),0)</f>
        <v>0</v>
      </c>
      <c r="AS40" s="24">
        <v>0</v>
      </c>
      <c r="AT40" s="19">
        <f>+IF('Datos delta'!AC40&gt;0,REASIGN(0,'Datos Protegidos'!$I40,PARTIDOS!AD$11),0)</f>
        <v>0</v>
      </c>
      <c r="AU40" s="24">
        <v>0</v>
      </c>
      <c r="AV40" s="19">
        <f>+IF('Datos delta'!AE40&gt;0,REASIGN(0,'Datos Protegidos'!$I40,PARTIDOS!AF$11),0)</f>
        <v>0</v>
      </c>
      <c r="AW40" s="24">
        <v>0</v>
      </c>
      <c r="AX40" s="19">
        <f>+IF('Datos delta'!AG40&gt;0,REASIGN(0,'Datos Protegidos'!$I40,PARTIDOS!AH$11),0)</f>
        <v>0</v>
      </c>
      <c r="AY40" s="24">
        <v>0</v>
      </c>
      <c r="AZ40" s="19">
        <f>+IF('Datos delta'!AI40&gt;0,REASIGN(0,'Datos Protegidos'!$I40,PARTIDOS!AJ$11),0)</f>
        <v>0</v>
      </c>
      <c r="BA40" s="24">
        <v>0</v>
      </c>
      <c r="BB40" s="19">
        <f>+IF('Datos delta'!AK40&gt;0,REASIGN(0,'Datos Protegidos'!$I40,PARTIDOS!AL$11),0)</f>
        <v>0</v>
      </c>
      <c r="BC40" s="24">
        <v>0</v>
      </c>
      <c r="BD40" s="19">
        <f>+IF('Datos delta'!AM40&gt;0,REASIGN(0,'Datos Protegidos'!$I40,PARTIDOS!AN$11),0)</f>
        <v>0</v>
      </c>
      <c r="BE40" s="24">
        <v>0</v>
      </c>
      <c r="BF40" s="19">
        <f>+IF('Datos delta'!AO40&gt;0,REASIGN(0,'Datos Protegidos'!$I40,PARTIDOS!AP$11),0)</f>
        <v>0</v>
      </c>
      <c r="BG40" s="24">
        <v>0</v>
      </c>
      <c r="BH40" s="19">
        <f>+IF('Datos delta'!AQ40&gt;0,REASIGN(0,'Datos Protegidos'!$I40,PARTIDOS!AR$11),0)</f>
        <v>0</v>
      </c>
      <c r="BI40" s="24">
        <v>0</v>
      </c>
      <c r="BJ40" s="19">
        <f>+IF('Datos delta'!AS40&gt;0,REASIGN(0,'Datos Protegidos'!$I40,PARTIDOS!AT$11),0)</f>
        <v>0</v>
      </c>
      <c r="BK40" s="24">
        <v>0</v>
      </c>
      <c r="BL40" s="19">
        <f>+IF('Datos delta'!AU40&gt;0,REASIGN(0,'Datos Protegidos'!$I40,PARTIDOS!AV$11),0)</f>
        <v>0</v>
      </c>
      <c r="BM40" s="24">
        <v>0</v>
      </c>
      <c r="BN40" s="19">
        <f>+IF('Datos delta'!AW40&gt;0,REASIGN(0,'Datos Protegidos'!$I40,PARTIDOS!AX$11),0)</f>
        <v>0</v>
      </c>
      <c r="BO40" s="24">
        <v>0</v>
      </c>
      <c r="BP40" s="19">
        <f>+IF('Datos delta'!AY40&gt;0,REASIGN(0,'Datos Protegidos'!$I40,PARTIDOS!AZ$11),0)</f>
        <v>0</v>
      </c>
      <c r="BQ40" s="24">
        <v>0</v>
      </c>
      <c r="BR40" s="19">
        <f>+IF('Datos delta'!BA40&gt;0,REASIGN(0,'Datos Protegidos'!$I40,PARTIDOS!BB$11),0)</f>
        <v>0</v>
      </c>
      <c r="BS40" s="24">
        <v>0</v>
      </c>
      <c r="BT40" s="19">
        <f>+IF('Datos delta'!BC40&gt;0,REASIGN(0,'Datos Protegidos'!$I40,PARTIDOS!BD$11),0)</f>
        <v>0</v>
      </c>
      <c r="BU40" s="24">
        <v>0</v>
      </c>
      <c r="BV40" s="19">
        <f>+IF('Datos delta'!BE40&gt;0,REASIGN(0,'Datos Protegidos'!$I40,PARTIDOS!BF$11),0)</f>
        <v>0</v>
      </c>
      <c r="BW40" s="24">
        <v>0</v>
      </c>
      <c r="BX40" s="19">
        <f>+IF('Datos delta'!BG40&gt;0,REASIGN(0,'Datos Protegidos'!$I40,PARTIDOS!BH$11),0)</f>
        <v>0</v>
      </c>
      <c r="BY40" s="24">
        <v>0</v>
      </c>
      <c r="BZ40" s="19">
        <f>+IF('Datos delta'!BI40&gt;0,REASIGN(0,'Datos Protegidos'!$I40,PARTIDOS!BJ$11),0)</f>
        <v>0</v>
      </c>
      <c r="CA40" s="24">
        <v>0</v>
      </c>
      <c r="CB40" s="19">
        <f>+IF('Datos delta'!BK40&gt;0,REASIGN(0,'Datos Protegidos'!$I40,PARTIDOS!BL$11),0)</f>
        <v>0</v>
      </c>
      <c r="CC40" s="24">
        <v>0</v>
      </c>
      <c r="CD40" s="19">
        <f>+IF('Datos delta'!BM40&gt;0,REASIGN(0,'Datos Protegidos'!$I40,PARTIDOS!BN$11),0)</f>
        <v>0</v>
      </c>
      <c r="CE40" s="24">
        <v>0</v>
      </c>
      <c r="CF40" s="19">
        <f>+IF('Datos delta'!BO40&gt;0,REASIGN(0,'Datos Protegidos'!$I40,PARTIDOS!BP$11),0)</f>
        <v>0</v>
      </c>
      <c r="CG40" s="24">
        <v>0</v>
      </c>
      <c r="CH40" s="19">
        <f>+IF('Datos delta'!BQ40&gt;0,REASIGN(0,'Datos Protegidos'!$I40,PARTIDOS!BR$11),0)</f>
        <v>0</v>
      </c>
      <c r="CI40" s="24">
        <v>0</v>
      </c>
      <c r="CJ40" s="19">
        <f>+IF('Datos delta'!BS40&gt;0,REASIGN(0,'Datos Protegidos'!$I40,PARTIDOS!BT$11),0)</f>
        <v>0</v>
      </c>
      <c r="CK40" s="24">
        <v>0</v>
      </c>
      <c r="CL40" s="19">
        <f>+IF('Datos delta'!BU40&gt;0,REASIGN(0,'Datos Protegidos'!$I40,PARTIDOS!BV$11),0)</f>
        <v>0</v>
      </c>
      <c r="CM40" s="24">
        <v>0</v>
      </c>
      <c r="CN40" s="19">
        <f>+IF('Datos delta'!BW40&gt;0,REASIGN(0,'Datos Protegidos'!$I40,PARTIDOS!BX$11),0)</f>
        <v>0</v>
      </c>
      <c r="CO40" s="24">
        <v>0</v>
      </c>
      <c r="CP40" s="19">
        <f>+IF('Datos delta'!BY40&gt;0,REASIGN(0,'Datos Protegidos'!$I40,PARTIDOS!BZ$11),0)</f>
        <v>0</v>
      </c>
      <c r="CQ40" s="24">
        <v>0</v>
      </c>
      <c r="CR40" s="19">
        <f>+IF('Datos delta'!CA40&gt;0,REASIGN(0,'Datos Protegidos'!$I40,PARTIDOS!CB$11),0)</f>
        <v>0</v>
      </c>
      <c r="CS40" s="24">
        <v>0</v>
      </c>
      <c r="CT40" s="19">
        <f>+IF('Datos delta'!CC40&gt;0,REASIGN(0,'Datos Protegidos'!$I40,PARTIDOS!CD$11),0)</f>
        <v>0</v>
      </c>
      <c r="CU40" s="24">
        <v>0</v>
      </c>
      <c r="CV40" s="19">
        <f>+IF('Datos delta'!CE40&gt;0,REASIGN(0,'Datos Protegidos'!$I40,PARTIDOS!CF$11),0)</f>
        <v>0</v>
      </c>
      <c r="CW40" s="24">
        <v>0</v>
      </c>
      <c r="CX40" s="19">
        <f>+IF('Datos delta'!CG40&gt;0,REASIGN(0,'Datos Protegidos'!$I40,PARTIDOS!CH$11),0)</f>
        <v>0</v>
      </c>
      <c r="CY40" s="24">
        <v>0</v>
      </c>
      <c r="CZ40" s="19">
        <f>+IF('Datos delta'!CI40&gt;0,REASIGN(0,'Datos Protegidos'!$I40,PARTIDOS!CJ$11),0)</f>
        <v>0</v>
      </c>
      <c r="DA40" s="24">
        <v>0</v>
      </c>
      <c r="DB40" s="19">
        <f>+IF('Datos delta'!CK40&gt;0,REASIGN(0,'Datos Protegidos'!$I40,PARTIDOS!CL$11),0)</f>
        <v>0</v>
      </c>
      <c r="DC40" s="24">
        <v>0</v>
      </c>
      <c r="DD40" s="19">
        <f>+IF('Datos delta'!CM40&gt;0,REASIGN(0,'Datos Protegidos'!$I40,PARTIDOS!CN$11),0)</f>
        <v>0</v>
      </c>
      <c r="DE40" s="24">
        <v>0</v>
      </c>
      <c r="DF40" s="19">
        <f>+IF('Datos delta'!CO40&gt;0,REASIGN(0,'Datos Protegidos'!$I40,PARTIDOS!CP$11),0)</f>
        <v>0</v>
      </c>
      <c r="DG40" s="24">
        <v>0</v>
      </c>
      <c r="DH40" s="19">
        <f>+IF('Datos delta'!CQ40&gt;0,REASIGN(0,'Datos Protegidos'!$I40,PARTIDOS!CR$11),0)</f>
        <v>0</v>
      </c>
      <c r="DI40" s="24">
        <v>0</v>
      </c>
      <c r="DJ40" s="19">
        <f>+IF('Datos delta'!CS40&gt;0,REASIGN(0,'Datos Protegidos'!$I40,PARTIDOS!CT$11),0)</f>
        <v>0</v>
      </c>
      <c r="DK40" s="24">
        <v>0</v>
      </c>
      <c r="DL40" s="19">
        <f>+IF('Datos delta'!CU40&gt;0,REASIGN(0,'Datos Protegidos'!$I40,PARTIDOS!CV$11),0)</f>
        <v>0</v>
      </c>
      <c r="DM40" s="24">
        <v>0</v>
      </c>
      <c r="DN40" s="19">
        <f>+IF('Datos delta'!CW40&gt;0,REASIGN(0,'Datos Protegidos'!$I40,PARTIDOS!CX$11),0)</f>
        <v>0</v>
      </c>
      <c r="DO40" s="24">
        <v>0</v>
      </c>
      <c r="DP40" s="19">
        <f>+IF('Datos delta'!CY40&gt;0,REASIGN(0,'Datos Protegidos'!$I40,PARTIDOS!CZ$11),0)</f>
        <v>0</v>
      </c>
      <c r="DQ40" s="24">
        <v>0</v>
      </c>
      <c r="DR40" s="19">
        <f>+IF('Datos delta'!DA40&gt;0,REASIGN(0,'Datos Protegidos'!$I40,PARTIDOS!DB$11),0)</f>
        <v>0</v>
      </c>
      <c r="DS40" s="24">
        <v>0</v>
      </c>
      <c r="DT40" s="19">
        <f>+IF('Datos delta'!DC40&gt;0,REASIGN(0,'Datos Protegidos'!$I40,PARTIDOS!DD$11),0)</f>
        <v>0</v>
      </c>
      <c r="DU40" s="24">
        <v>0</v>
      </c>
      <c r="DV40" s="19">
        <f>+IF('Datos delta'!DE40&gt;0,REASIGN(0,'Datos Protegidos'!$I40,PARTIDOS!DF$11),0)</f>
        <v>0</v>
      </c>
      <c r="DW40" s="24">
        <v>0</v>
      </c>
      <c r="DX40" s="19">
        <f>+IF('Datos delta'!DG40&gt;0,REASIGN(0,'Datos Protegidos'!$I40,PARTIDOS!DH$11),0)</f>
        <v>0</v>
      </c>
      <c r="DY40" s="24">
        <v>0</v>
      </c>
      <c r="DZ40" s="19">
        <f>+IF('Datos delta'!DI40&gt;0,REASIGN(0,'Datos Protegidos'!$I40,PARTIDOS!DJ$11),0)</f>
        <v>0</v>
      </c>
      <c r="EA40" s="24">
        <v>0</v>
      </c>
      <c r="EB40" s="19">
        <f>+IF('Datos delta'!DK40&gt;0,REASIGN(0,'Datos Protegidos'!$I40,PARTIDOS!DL$11),0)</f>
        <v>0</v>
      </c>
      <c r="EC40" s="24">
        <v>0</v>
      </c>
      <c r="ED40" s="19">
        <f>+IF('Datos delta'!DM40&gt;0,REASIGN(0,'Datos Protegidos'!$I40,PARTIDOS!DN$11),0)</f>
        <v>0</v>
      </c>
      <c r="EE40" s="24">
        <v>0</v>
      </c>
      <c r="EF40" s="19">
        <f>+IF('Datos delta'!DO40&gt;0,REASIGN(0,'Datos Protegidos'!$I40,PARTIDOS!DP$11),0)</f>
        <v>0</v>
      </c>
      <c r="EG40" s="24">
        <v>0</v>
      </c>
      <c r="EH40" s="19">
        <f>+IF('Datos delta'!DQ40&gt;0,REASIGN(0,'Datos Protegidos'!$I40,PARTIDOS!DR$11),0)</f>
        <v>0</v>
      </c>
      <c r="EI40" s="24">
        <v>0</v>
      </c>
      <c r="EJ40" s="19">
        <f>+IF('Datos delta'!DS40&gt;0,REASIGN(0,'Datos Protegidos'!$I40,PARTIDOS!DT$11),0)</f>
        <v>0</v>
      </c>
      <c r="EK40" s="24">
        <v>0</v>
      </c>
      <c r="EL40" s="19">
        <f>+IF('Datos delta'!DU40&gt;0,REASIGN(0,'Datos Protegidos'!$I40,PARTIDOS!DV$11),0)</f>
        <v>0</v>
      </c>
      <c r="EM40" s="24">
        <v>0</v>
      </c>
      <c r="EN40" s="19">
        <f>+IF('Datos delta'!DW40&gt;0,REASIGN(0,'Datos Protegidos'!$I40,PARTIDOS!DX$11),0)</f>
        <v>0</v>
      </c>
      <c r="EO40" s="24">
        <v>0</v>
      </c>
      <c r="EP40" s="19">
        <f>+IF('Datos delta'!DY40&gt;0,REASIGN(0,'Datos Protegidos'!$I40,PARTIDOS!DZ$11),0)</f>
        <v>0</v>
      </c>
      <c r="EQ40" s="24">
        <v>0</v>
      </c>
      <c r="ER40" s="19">
        <f>+IF('Datos delta'!EA40&gt;0,REASIGN(0,'Datos Protegidos'!$I40,PARTIDOS!EB$11),0)</f>
        <v>0</v>
      </c>
      <c r="ES40" s="24">
        <v>0</v>
      </c>
      <c r="ET40" s="19">
        <f>+IF('Datos delta'!EC40&gt;0,REASIGN(0,'Datos Protegidos'!$I40,PARTIDOS!ED$11),0)</f>
        <v>0</v>
      </c>
      <c r="EU40" s="24">
        <v>0</v>
      </c>
    </row>
    <row r="41" spans="1:151" x14ac:dyDescent="0.25">
      <c r="A41" s="24" t="s">
        <v>61</v>
      </c>
      <c r="B41" s="25">
        <v>36</v>
      </c>
      <c r="C41" s="24" t="s">
        <v>65</v>
      </c>
      <c r="D41" s="24">
        <v>941772</v>
      </c>
      <c r="E41" s="26">
        <v>1333</v>
      </c>
      <c r="F41" s="26">
        <v>772748</v>
      </c>
      <c r="G41" s="26">
        <v>133363</v>
      </c>
      <c r="H41" s="26">
        <v>906111</v>
      </c>
      <c r="I41" s="1">
        <v>8730</v>
      </c>
      <c r="J41" s="19">
        <f>+INT(([1]Hoja1!M41/[1]Hoja1!O41)*M41)</f>
        <v>522997</v>
      </c>
      <c r="K41" s="19">
        <f>+INT(([1]Hoja1!N41/[1]Hoja1!O41)*M41)</f>
        <v>517855</v>
      </c>
      <c r="L41" s="19">
        <f t="shared" si="1"/>
        <v>12222</v>
      </c>
      <c r="M41" s="19">
        <f t="shared" si="2"/>
        <v>5142</v>
      </c>
      <c r="N41" s="22">
        <f t="shared" si="0"/>
        <v>0</v>
      </c>
      <c r="O41" s="26">
        <v>5142</v>
      </c>
      <c r="P41" s="26">
        <v>7080</v>
      </c>
      <c r="Q41" s="22">
        <f t="shared" si="3"/>
        <v>7</v>
      </c>
      <c r="R41" s="19">
        <f>+IF('Datos delta'!A41&gt;0,REASIGN(0,'Datos Protegidos'!$I41,PARTIDOS!B$11),0)</f>
        <v>0</v>
      </c>
      <c r="S41" s="24">
        <v>3</v>
      </c>
      <c r="T41" s="19">
        <f>+IF('Datos delta'!C41&gt;0,REASIGN(0,'Datos Protegidos'!$I41,PARTIDOS!D$11),0)</f>
        <v>0</v>
      </c>
      <c r="U41" s="24">
        <v>3</v>
      </c>
      <c r="V41" s="19">
        <f>+IF('Datos delta'!E41&gt;0,REASIGN(0,'Datos Protegidos'!$I41,PARTIDOS!F$11),0)</f>
        <v>0</v>
      </c>
      <c r="W41" s="24">
        <v>0</v>
      </c>
      <c r="X41" s="19">
        <f>+IF('Datos delta'!G41&gt;0,REASIGN(0,'Datos Protegidos'!$I41,PARTIDOS!H$11),0)</f>
        <v>0</v>
      </c>
      <c r="Y41" s="24">
        <v>0</v>
      </c>
      <c r="Z41" s="19">
        <f>+IF('Datos delta'!I41&gt;0,REASIGN(0,'Datos Protegidos'!$I41,PARTIDOS!J$11),0)</f>
        <v>0</v>
      </c>
      <c r="AA41" s="24">
        <v>0</v>
      </c>
      <c r="AB41" s="19">
        <f>+IF('Datos delta'!K41&gt;0,REASIGN(0,'Datos Protegidos'!$I41,PARTIDOS!L$11),0)</f>
        <v>0</v>
      </c>
      <c r="AC41" s="24">
        <v>0</v>
      </c>
      <c r="AD41" s="19">
        <f>+IF('Datos delta'!M41&gt;0,REASIGN(0,'Datos Protegidos'!$I41,PARTIDOS!N$11),0)</f>
        <v>0</v>
      </c>
      <c r="AE41" s="24">
        <v>0</v>
      </c>
      <c r="AF41" s="19">
        <f>+IF('Datos delta'!O41&gt;0,REASIGN(0,'Datos Protegidos'!$I41,PARTIDOS!P$11),0)</f>
        <v>0</v>
      </c>
      <c r="AG41" s="24">
        <v>0</v>
      </c>
      <c r="AH41" s="19">
        <f>+IF('Datos delta'!Q41&gt;0,REASIGN(0,'Datos Protegidos'!$I41,PARTIDOS!R$11),0)</f>
        <v>0</v>
      </c>
      <c r="AI41" s="24">
        <v>0</v>
      </c>
      <c r="AJ41" s="19">
        <f>+IF('Datos delta'!S41&gt;0,REASIGN(0,'Datos Protegidos'!$I41,PARTIDOS!T$11),0)</f>
        <v>0</v>
      </c>
      <c r="AK41" s="24">
        <v>0</v>
      </c>
      <c r="AL41" s="19">
        <f>+IF('Datos delta'!U41&gt;0,REASIGN(0,'Datos Protegidos'!$I41,PARTIDOS!V$11),0)</f>
        <v>0</v>
      </c>
      <c r="AM41" s="24">
        <v>0</v>
      </c>
      <c r="AN41" s="19">
        <f>+IF('Datos delta'!W41&gt;0,REASIGN(0,'Datos Protegidos'!$I41,PARTIDOS!X$11),0)</f>
        <v>0</v>
      </c>
      <c r="AO41" s="24">
        <v>0</v>
      </c>
      <c r="AP41" s="19">
        <f>+IF('Datos delta'!Y41&gt;0,REASIGN(0,'Datos Protegidos'!$I41,PARTIDOS!Z$11),0)</f>
        <v>0</v>
      </c>
      <c r="AQ41" s="24">
        <v>1</v>
      </c>
      <c r="AR41" s="19">
        <f>+IF('Datos delta'!AA41&gt;0,REASIGN(0,'Datos Protegidos'!$I41,PARTIDOS!AB$11),0)</f>
        <v>0</v>
      </c>
      <c r="AS41" s="24">
        <v>0</v>
      </c>
      <c r="AT41" s="19">
        <f>+IF('Datos delta'!AC41&gt;0,REASIGN(0,'Datos Protegidos'!$I41,PARTIDOS!AD$11),0)</f>
        <v>0</v>
      </c>
      <c r="AU41" s="24">
        <v>0</v>
      </c>
      <c r="AV41" s="19">
        <f>+IF('Datos delta'!AE41&gt;0,REASIGN(0,'Datos Protegidos'!$I41,PARTIDOS!AF$11),0)</f>
        <v>0</v>
      </c>
      <c r="AW41" s="24">
        <v>0</v>
      </c>
      <c r="AX41" s="19">
        <f>+IF('Datos delta'!AG41&gt;0,REASIGN(0,'Datos Protegidos'!$I41,PARTIDOS!AH$11),0)</f>
        <v>0</v>
      </c>
      <c r="AY41" s="24">
        <v>0</v>
      </c>
      <c r="AZ41" s="19">
        <f>+IF('Datos delta'!AI41&gt;0,REASIGN(0,'Datos Protegidos'!$I41,PARTIDOS!AJ$11),0)</f>
        <v>0</v>
      </c>
      <c r="BA41" s="24">
        <v>0</v>
      </c>
      <c r="BB41" s="19">
        <f>+IF('Datos delta'!AK41&gt;0,REASIGN(0,'Datos Protegidos'!$I41,PARTIDOS!AL$11),0)</f>
        <v>0</v>
      </c>
      <c r="BC41" s="24">
        <v>0</v>
      </c>
      <c r="BD41" s="19">
        <f>+IF('Datos delta'!AM41&gt;0,REASIGN(0,'Datos Protegidos'!$I41,PARTIDOS!AN$11),0)</f>
        <v>0</v>
      </c>
      <c r="BE41" s="24">
        <v>0</v>
      </c>
      <c r="BF41" s="19">
        <f>+IF('Datos delta'!AO41&gt;0,REASIGN(0,'Datos Protegidos'!$I41,PARTIDOS!AP$11),0)</f>
        <v>0</v>
      </c>
      <c r="BG41" s="24">
        <v>0</v>
      </c>
      <c r="BH41" s="19">
        <f>+IF('Datos delta'!AQ41&gt;0,REASIGN(0,'Datos Protegidos'!$I41,PARTIDOS!AR$11),0)</f>
        <v>0</v>
      </c>
      <c r="BI41" s="24">
        <v>0</v>
      </c>
      <c r="BJ41" s="19">
        <f>+IF('Datos delta'!AS41&gt;0,REASIGN(0,'Datos Protegidos'!$I41,PARTIDOS!AT$11),0)</f>
        <v>0</v>
      </c>
      <c r="BK41" s="24">
        <v>0</v>
      </c>
      <c r="BL41" s="19">
        <f>+IF('Datos delta'!AU41&gt;0,REASIGN(0,'Datos Protegidos'!$I41,PARTIDOS!AV$11),0)</f>
        <v>0</v>
      </c>
      <c r="BM41" s="24">
        <v>0</v>
      </c>
      <c r="BN41" s="19">
        <f>+IF('Datos delta'!AW41&gt;0,REASIGN(0,'Datos Protegidos'!$I41,PARTIDOS!AX$11),0)</f>
        <v>0</v>
      </c>
      <c r="BO41" s="24">
        <v>0</v>
      </c>
      <c r="BP41" s="19">
        <f>+IF('Datos delta'!AY41&gt;0,REASIGN(0,'Datos Protegidos'!$I41,PARTIDOS!AZ$11),0)</f>
        <v>0</v>
      </c>
      <c r="BQ41" s="24">
        <v>0</v>
      </c>
      <c r="BR41" s="19">
        <f>+IF('Datos delta'!BA41&gt;0,REASIGN(0,'Datos Protegidos'!$I41,PARTIDOS!BB$11),0)</f>
        <v>0</v>
      </c>
      <c r="BS41" s="24">
        <v>0</v>
      </c>
      <c r="BT41" s="19">
        <f>+IF('Datos delta'!BC41&gt;0,REASIGN(0,'Datos Protegidos'!$I41,PARTIDOS!BD$11),0)</f>
        <v>0</v>
      </c>
      <c r="BU41" s="24">
        <v>0</v>
      </c>
      <c r="BV41" s="19">
        <f>+IF('Datos delta'!BE41&gt;0,REASIGN(0,'Datos Protegidos'!$I41,PARTIDOS!BF$11),0)</f>
        <v>0</v>
      </c>
      <c r="BW41" s="24">
        <v>0</v>
      </c>
      <c r="BX41" s="19">
        <f>+IF('Datos delta'!BG41&gt;0,REASIGN(0,'Datos Protegidos'!$I41,PARTIDOS!BH$11),0)</f>
        <v>0</v>
      </c>
      <c r="BY41" s="24">
        <v>0</v>
      </c>
      <c r="BZ41" s="19">
        <f>+IF('Datos delta'!BI41&gt;0,REASIGN(0,'Datos Protegidos'!$I41,PARTIDOS!BJ$11),0)</f>
        <v>0</v>
      </c>
      <c r="CA41" s="24">
        <v>0</v>
      </c>
      <c r="CB41" s="19">
        <f>+IF('Datos delta'!BK41&gt;0,REASIGN(0,'Datos Protegidos'!$I41,PARTIDOS!BL$11),0)</f>
        <v>0</v>
      </c>
      <c r="CC41" s="24">
        <v>0</v>
      </c>
      <c r="CD41" s="19">
        <f>+IF('Datos delta'!BM41&gt;0,REASIGN(0,'Datos Protegidos'!$I41,PARTIDOS!BN$11),0)</f>
        <v>0</v>
      </c>
      <c r="CE41" s="24">
        <v>0</v>
      </c>
      <c r="CF41" s="19">
        <f>+IF('Datos delta'!BO41&gt;0,REASIGN(0,'Datos Protegidos'!$I41,PARTIDOS!BP$11),0)</f>
        <v>0</v>
      </c>
      <c r="CG41" s="24">
        <v>0</v>
      </c>
      <c r="CH41" s="19">
        <f>+IF('Datos delta'!BQ41&gt;0,REASIGN(0,'Datos Protegidos'!$I41,PARTIDOS!BR$11),0)</f>
        <v>0</v>
      </c>
      <c r="CI41" s="24">
        <v>0</v>
      </c>
      <c r="CJ41" s="19">
        <f>+IF('Datos delta'!BS41&gt;0,REASIGN(0,'Datos Protegidos'!$I41,PARTIDOS!BT$11),0)</f>
        <v>0</v>
      </c>
      <c r="CK41" s="24">
        <v>0</v>
      </c>
      <c r="CL41" s="19">
        <f>+IF('Datos delta'!BU41&gt;0,REASIGN(0,'Datos Protegidos'!$I41,PARTIDOS!BV$11),0)</f>
        <v>0</v>
      </c>
      <c r="CM41" s="24">
        <v>0</v>
      </c>
      <c r="CN41" s="19">
        <f>+IF('Datos delta'!BW41&gt;0,REASIGN(0,'Datos Protegidos'!$I41,PARTIDOS!BX$11),0)</f>
        <v>0</v>
      </c>
      <c r="CO41" s="24">
        <v>0</v>
      </c>
      <c r="CP41" s="19">
        <f>+IF('Datos delta'!BY41&gt;0,REASIGN(0,'Datos Protegidos'!$I41,PARTIDOS!BZ$11),0)</f>
        <v>0</v>
      </c>
      <c r="CQ41" s="24">
        <v>0</v>
      </c>
      <c r="CR41" s="19">
        <f>+IF('Datos delta'!CA41&gt;0,REASIGN(0,'Datos Protegidos'!$I41,PARTIDOS!CB$11),0)</f>
        <v>0</v>
      </c>
      <c r="CS41" s="24">
        <v>0</v>
      </c>
      <c r="CT41" s="19">
        <f>+IF('Datos delta'!CC41&gt;0,REASIGN(0,'Datos Protegidos'!$I41,PARTIDOS!CD$11),0)</f>
        <v>0</v>
      </c>
      <c r="CU41" s="24">
        <v>0</v>
      </c>
      <c r="CV41" s="19">
        <f>+IF('Datos delta'!CE41&gt;0,REASIGN(0,'Datos Protegidos'!$I41,PARTIDOS!CF$11),0)</f>
        <v>0</v>
      </c>
      <c r="CW41" s="24">
        <v>0</v>
      </c>
      <c r="CX41" s="19">
        <f>+IF('Datos delta'!CG41&gt;0,REASIGN(0,'Datos Protegidos'!$I41,PARTIDOS!CH$11),0)</f>
        <v>0</v>
      </c>
      <c r="CY41" s="24">
        <v>0</v>
      </c>
      <c r="CZ41" s="19">
        <f>+IF('Datos delta'!CI41&gt;0,REASIGN(0,'Datos Protegidos'!$I41,PARTIDOS!CJ$11),0)</f>
        <v>0</v>
      </c>
      <c r="DA41" s="24">
        <v>0</v>
      </c>
      <c r="DB41" s="19">
        <f>+IF('Datos delta'!CK41&gt;0,REASIGN(0,'Datos Protegidos'!$I41,PARTIDOS!CL$11),0)</f>
        <v>0</v>
      </c>
      <c r="DC41" s="24">
        <v>0</v>
      </c>
      <c r="DD41" s="19">
        <f>+IF('Datos delta'!CM41&gt;0,REASIGN(0,'Datos Protegidos'!$I41,PARTIDOS!CN$11),0)</f>
        <v>0</v>
      </c>
      <c r="DE41" s="24">
        <v>0</v>
      </c>
      <c r="DF41" s="19">
        <f>+IF('Datos delta'!CO41&gt;0,REASIGN(0,'Datos Protegidos'!$I41,PARTIDOS!CP$11),0)</f>
        <v>0</v>
      </c>
      <c r="DG41" s="24">
        <v>0</v>
      </c>
      <c r="DH41" s="19">
        <f>+IF('Datos delta'!CQ41&gt;0,REASIGN(0,'Datos Protegidos'!$I41,PARTIDOS!CR$11),0)</f>
        <v>0</v>
      </c>
      <c r="DI41" s="24">
        <v>0</v>
      </c>
      <c r="DJ41" s="19">
        <f>+IF('Datos delta'!CS41&gt;0,REASIGN(0,'Datos Protegidos'!$I41,PARTIDOS!CT$11),0)</f>
        <v>0</v>
      </c>
      <c r="DK41" s="24">
        <v>0</v>
      </c>
      <c r="DL41" s="19">
        <f>+IF('Datos delta'!CU41&gt;0,REASIGN(0,'Datos Protegidos'!$I41,PARTIDOS!CV$11),0)</f>
        <v>0</v>
      </c>
      <c r="DM41" s="24">
        <v>0</v>
      </c>
      <c r="DN41" s="19">
        <f>+IF('Datos delta'!CW41&gt;0,REASIGN(0,'Datos Protegidos'!$I41,PARTIDOS!CX$11),0)</f>
        <v>0</v>
      </c>
      <c r="DO41" s="24">
        <v>0</v>
      </c>
      <c r="DP41" s="19">
        <f>+IF('Datos delta'!CY41&gt;0,REASIGN(0,'Datos Protegidos'!$I41,PARTIDOS!CZ$11),0)</f>
        <v>0</v>
      </c>
      <c r="DQ41" s="24">
        <v>0</v>
      </c>
      <c r="DR41" s="19">
        <f>+IF('Datos delta'!DA41&gt;0,REASIGN(0,'Datos Protegidos'!$I41,PARTIDOS!DB$11),0)</f>
        <v>0</v>
      </c>
      <c r="DS41" s="24">
        <v>0</v>
      </c>
      <c r="DT41" s="19">
        <f>+IF('Datos delta'!DC41&gt;0,REASIGN(0,'Datos Protegidos'!$I41,PARTIDOS!DD$11),0)</f>
        <v>0</v>
      </c>
      <c r="DU41" s="24">
        <v>0</v>
      </c>
      <c r="DV41" s="19">
        <f>+IF('Datos delta'!DE41&gt;0,REASIGN(0,'Datos Protegidos'!$I41,PARTIDOS!DF$11),0)</f>
        <v>0</v>
      </c>
      <c r="DW41" s="24">
        <v>0</v>
      </c>
      <c r="DX41" s="19">
        <f>+IF('Datos delta'!DG41&gt;0,REASIGN(0,'Datos Protegidos'!$I41,PARTIDOS!DH$11),0)</f>
        <v>0</v>
      </c>
      <c r="DY41" s="24">
        <v>0</v>
      </c>
      <c r="DZ41" s="19">
        <f>+IF('Datos delta'!DI41&gt;0,REASIGN(0,'Datos Protegidos'!$I41,PARTIDOS!DJ$11),0)</f>
        <v>0</v>
      </c>
      <c r="EA41" s="24">
        <v>0</v>
      </c>
      <c r="EB41" s="19">
        <f>+IF('Datos delta'!DK41&gt;0,REASIGN(0,'Datos Protegidos'!$I41,PARTIDOS!DL$11),0)</f>
        <v>0</v>
      </c>
      <c r="EC41" s="24">
        <v>0</v>
      </c>
      <c r="ED41" s="19">
        <f>+IF('Datos delta'!DM41&gt;0,REASIGN(0,'Datos Protegidos'!$I41,PARTIDOS!DN$11),0)</f>
        <v>0</v>
      </c>
      <c r="EE41" s="24">
        <v>0</v>
      </c>
      <c r="EF41" s="19">
        <f>+IF('Datos delta'!DO41&gt;0,REASIGN(0,'Datos Protegidos'!$I41,PARTIDOS!DP$11),0)</f>
        <v>0</v>
      </c>
      <c r="EG41" s="24">
        <v>0</v>
      </c>
      <c r="EH41" s="19">
        <f>+IF('Datos delta'!DQ41&gt;0,REASIGN(0,'Datos Protegidos'!$I41,PARTIDOS!DR$11),0)</f>
        <v>0</v>
      </c>
      <c r="EI41" s="24">
        <v>0</v>
      </c>
      <c r="EJ41" s="19">
        <f>+IF('Datos delta'!DS41&gt;0,REASIGN(0,'Datos Protegidos'!$I41,PARTIDOS!DT$11),0)</f>
        <v>0</v>
      </c>
      <c r="EK41" s="24">
        <v>0</v>
      </c>
      <c r="EL41" s="19">
        <f>+IF('Datos delta'!DU41&gt;0,REASIGN(0,'Datos Protegidos'!$I41,PARTIDOS!DV$11),0)</f>
        <v>0</v>
      </c>
      <c r="EM41" s="24">
        <v>0</v>
      </c>
      <c r="EN41" s="19">
        <f>+IF('Datos delta'!DW41&gt;0,REASIGN(0,'Datos Protegidos'!$I41,PARTIDOS!DX$11),0)</f>
        <v>0</v>
      </c>
      <c r="EO41" s="24">
        <v>0</v>
      </c>
      <c r="EP41" s="19">
        <f>+IF('Datos delta'!DY41&gt;0,REASIGN(0,'Datos Protegidos'!$I41,PARTIDOS!DZ$11),0)</f>
        <v>0</v>
      </c>
      <c r="EQ41" s="24">
        <v>0</v>
      </c>
      <c r="ER41" s="19">
        <f>+IF('Datos delta'!EA41&gt;0,REASIGN(0,'Datos Protegidos'!$I41,PARTIDOS!EB$11),0)</f>
        <v>0</v>
      </c>
      <c r="ES41" s="24">
        <v>0</v>
      </c>
      <c r="ET41" s="19">
        <f>+IF('Datos delta'!EC41&gt;0,REASIGN(0,'Datos Protegidos'!$I41,PARTIDOS!ED$11),0)</f>
        <v>0</v>
      </c>
      <c r="EU41" s="24">
        <v>0</v>
      </c>
    </row>
    <row r="42" spans="1:151" x14ac:dyDescent="0.25">
      <c r="A42" s="24" t="s">
        <v>66</v>
      </c>
      <c r="B42" s="25">
        <v>28</v>
      </c>
      <c r="C42" s="24" t="s">
        <v>67</v>
      </c>
      <c r="D42" s="24">
        <v>6578079</v>
      </c>
      <c r="E42" s="26">
        <v>7564</v>
      </c>
      <c r="F42" s="26">
        <v>4773718</v>
      </c>
      <c r="G42" s="26">
        <v>314375</v>
      </c>
      <c r="H42" s="26">
        <v>5088093</v>
      </c>
      <c r="I42" s="1">
        <v>48047</v>
      </c>
      <c r="J42" s="19">
        <f>+INT(([1]Hoja1!M42/[1]Hoja1!O42)*M42)</f>
        <v>3563147</v>
      </c>
      <c r="K42" s="19">
        <f>+INT(([1]Hoja1!N42/[1]Hoja1!O42)*M42)</f>
        <v>3534364</v>
      </c>
      <c r="L42" s="19">
        <f t="shared" si="1"/>
        <v>57100</v>
      </c>
      <c r="M42" s="19">
        <f t="shared" si="2"/>
        <v>28783</v>
      </c>
      <c r="N42" s="22">
        <f t="shared" si="0"/>
        <v>0</v>
      </c>
      <c r="O42" s="26">
        <v>28783</v>
      </c>
      <c r="P42" s="26">
        <v>28317</v>
      </c>
      <c r="Q42" s="22">
        <f t="shared" si="3"/>
        <v>37</v>
      </c>
      <c r="R42" s="19">
        <f>+IF('Datos delta'!A42&gt;0,REASIGN(0,'Datos Protegidos'!$I42,PARTIDOS!B$11),0)</f>
        <v>0</v>
      </c>
      <c r="S42" s="24">
        <v>10</v>
      </c>
      <c r="T42" s="19">
        <f>+IF('Datos delta'!C42&gt;0,REASIGN(0,'Datos Protegidos'!$I42,PARTIDOS!D$11),0)</f>
        <v>0</v>
      </c>
      <c r="U42" s="24">
        <v>10</v>
      </c>
      <c r="V42" s="19">
        <f>+IF('Datos delta'!E42&gt;0,REASIGN(0,'Datos Protegidos'!$I42,PARTIDOS!F$11),0)</f>
        <v>0</v>
      </c>
      <c r="W42" s="24">
        <v>7</v>
      </c>
      <c r="X42" s="19">
        <f>+IF('Datos delta'!G42&gt;0,REASIGN(0,'Datos Protegidos'!$I42,PARTIDOS!H$11),0)</f>
        <v>0</v>
      </c>
      <c r="Y42" s="24">
        <v>5</v>
      </c>
      <c r="Z42" s="19">
        <f>+IF('Datos delta'!I42&gt;0,REASIGN(0,'Datos Protegidos'!$I42,PARTIDOS!J$11),0)</f>
        <v>0</v>
      </c>
      <c r="AA42" s="24">
        <v>0</v>
      </c>
      <c r="AB42" s="19">
        <f>+IF('Datos delta'!K42&gt;0,REASIGN(0,'Datos Protegidos'!$I42,PARTIDOS!L$11),0)</f>
        <v>0</v>
      </c>
      <c r="AC42" s="24">
        <v>3</v>
      </c>
      <c r="AD42" s="19">
        <f>+IF('Datos delta'!M42&gt;0,REASIGN(0,'Datos Protegidos'!$I42,PARTIDOS!N$11),0)</f>
        <v>0</v>
      </c>
      <c r="AE42" s="24">
        <v>0</v>
      </c>
      <c r="AF42" s="19">
        <f>+IF('Datos delta'!O42&gt;0,REASIGN(0,'Datos Protegidos'!$I42,PARTIDOS!P$11),0)</f>
        <v>0</v>
      </c>
      <c r="AG42" s="24">
        <v>0</v>
      </c>
      <c r="AH42" s="19">
        <f>+IF('Datos delta'!Q42&gt;0,REASIGN(0,'Datos Protegidos'!$I42,PARTIDOS!R$11),0)</f>
        <v>0</v>
      </c>
      <c r="AI42" s="24">
        <v>0</v>
      </c>
      <c r="AJ42" s="19">
        <f>+IF('Datos delta'!S42&gt;0,REASIGN(0,'Datos Protegidos'!$I42,PARTIDOS!T$11),0)</f>
        <v>0</v>
      </c>
      <c r="AK42" s="24">
        <v>0</v>
      </c>
      <c r="AL42" s="19">
        <f>+IF('Datos delta'!U42&gt;0,REASIGN(0,'Datos Protegidos'!$I42,PARTIDOS!V$11),0)</f>
        <v>0</v>
      </c>
      <c r="AM42" s="24">
        <v>2</v>
      </c>
      <c r="AN42" s="19">
        <f>+IF('Datos delta'!W42&gt;0,REASIGN(0,'Datos Protegidos'!$I42,PARTIDOS!X$11),0)</f>
        <v>0</v>
      </c>
      <c r="AO42" s="24">
        <v>0</v>
      </c>
      <c r="AP42" s="19">
        <f>+IF('Datos delta'!Y42&gt;0,REASIGN(0,'Datos Protegidos'!$I42,PARTIDOS!Z$11),0)</f>
        <v>0</v>
      </c>
      <c r="AQ42" s="24">
        <v>0</v>
      </c>
      <c r="AR42" s="19">
        <f>+IF('Datos delta'!AA42&gt;0,REASIGN(0,'Datos Protegidos'!$I42,PARTIDOS!AB$11),0)</f>
        <v>0</v>
      </c>
      <c r="AS42" s="24">
        <v>0</v>
      </c>
      <c r="AT42" s="19">
        <f>+IF('Datos delta'!AC42&gt;0,REASIGN(0,'Datos Protegidos'!$I42,PARTIDOS!AD$11),0)</f>
        <v>0</v>
      </c>
      <c r="AU42" s="24">
        <v>0</v>
      </c>
      <c r="AV42" s="19">
        <f>+IF('Datos delta'!AE42&gt;0,REASIGN(0,'Datos Protegidos'!$I42,PARTIDOS!AF$11),0)</f>
        <v>0</v>
      </c>
      <c r="AW42" s="24">
        <v>0</v>
      </c>
      <c r="AX42" s="19">
        <f>+IF('Datos delta'!AG42&gt;0,REASIGN(0,'Datos Protegidos'!$I42,PARTIDOS!AH$11),0)</f>
        <v>0</v>
      </c>
      <c r="AY42" s="24">
        <v>0</v>
      </c>
      <c r="AZ42" s="19">
        <f>+IF('Datos delta'!AI42&gt;0,REASIGN(0,'Datos Protegidos'!$I42,PARTIDOS!AJ$11),0)</f>
        <v>0</v>
      </c>
      <c r="BA42" s="24">
        <v>0</v>
      </c>
      <c r="BB42" s="19">
        <f>+IF('Datos delta'!AK42&gt;0,REASIGN(0,'Datos Protegidos'!$I42,PARTIDOS!AL$11),0)</f>
        <v>0</v>
      </c>
      <c r="BC42" s="24">
        <v>0</v>
      </c>
      <c r="BD42" s="19">
        <f>+IF('Datos delta'!AM42&gt;0,REASIGN(0,'Datos Protegidos'!$I42,PARTIDOS!AN$11),0)</f>
        <v>0</v>
      </c>
      <c r="BE42" s="24">
        <v>0</v>
      </c>
      <c r="BF42" s="19">
        <f>+IF('Datos delta'!AO42&gt;0,REASIGN(0,'Datos Protegidos'!$I42,PARTIDOS!AP$11),0)</f>
        <v>0</v>
      </c>
      <c r="BG42" s="24">
        <v>0</v>
      </c>
      <c r="BH42" s="19">
        <f>+IF('Datos delta'!AQ42&gt;0,REASIGN(0,'Datos Protegidos'!$I42,PARTIDOS!AR$11),0)</f>
        <v>0</v>
      </c>
      <c r="BI42" s="24">
        <v>0</v>
      </c>
      <c r="BJ42" s="19">
        <f>+IF('Datos delta'!AS42&gt;0,REASIGN(0,'Datos Protegidos'!$I42,PARTIDOS!AT$11),0)</f>
        <v>0</v>
      </c>
      <c r="BK42" s="24">
        <v>0</v>
      </c>
      <c r="BL42" s="19">
        <f>+IF('Datos delta'!AU42&gt;0,REASIGN(0,'Datos Protegidos'!$I42,PARTIDOS!AV$11),0)</f>
        <v>0</v>
      </c>
      <c r="BM42" s="24">
        <v>0</v>
      </c>
      <c r="BN42" s="19">
        <f>+IF('Datos delta'!AW42&gt;0,REASIGN(0,'Datos Protegidos'!$I42,PARTIDOS!AX$11),0)</f>
        <v>0</v>
      </c>
      <c r="BO42" s="24">
        <v>0</v>
      </c>
      <c r="BP42" s="19">
        <f>+IF('Datos delta'!AY42&gt;0,REASIGN(0,'Datos Protegidos'!$I42,PARTIDOS!AZ$11),0)</f>
        <v>0</v>
      </c>
      <c r="BQ42" s="24">
        <v>0</v>
      </c>
      <c r="BR42" s="19">
        <f>+IF('Datos delta'!BA42&gt;0,REASIGN(0,'Datos Protegidos'!$I42,PARTIDOS!BB$11),0)</f>
        <v>0</v>
      </c>
      <c r="BS42" s="24">
        <v>0</v>
      </c>
      <c r="BT42" s="19">
        <f>+IF('Datos delta'!BC42&gt;0,REASIGN(0,'Datos Protegidos'!$I42,PARTIDOS!BD$11),0)</f>
        <v>0</v>
      </c>
      <c r="BU42" s="24">
        <v>0</v>
      </c>
      <c r="BV42" s="19">
        <f>+IF('Datos delta'!BE42&gt;0,REASIGN(0,'Datos Protegidos'!$I42,PARTIDOS!BF$11),0)</f>
        <v>0</v>
      </c>
      <c r="BW42" s="24">
        <v>0</v>
      </c>
      <c r="BX42" s="19">
        <f>+IF('Datos delta'!BG42&gt;0,REASIGN(0,'Datos Protegidos'!$I42,PARTIDOS!BH$11),0)</f>
        <v>0</v>
      </c>
      <c r="BY42" s="24">
        <v>0</v>
      </c>
      <c r="BZ42" s="19">
        <f>+IF('Datos delta'!BI42&gt;0,REASIGN(0,'Datos Protegidos'!$I42,PARTIDOS!BJ$11),0)</f>
        <v>0</v>
      </c>
      <c r="CA42" s="24">
        <v>0</v>
      </c>
      <c r="CB42" s="19">
        <f>+IF('Datos delta'!BK42&gt;0,REASIGN(0,'Datos Protegidos'!$I42,PARTIDOS!BL$11),0)</f>
        <v>0</v>
      </c>
      <c r="CC42" s="24">
        <v>0</v>
      </c>
      <c r="CD42" s="19">
        <f>+IF('Datos delta'!BM42&gt;0,REASIGN(0,'Datos Protegidos'!$I42,PARTIDOS!BN$11),0)</f>
        <v>0</v>
      </c>
      <c r="CE42" s="24">
        <v>0</v>
      </c>
      <c r="CF42" s="19">
        <f>+IF('Datos delta'!BO42&gt;0,REASIGN(0,'Datos Protegidos'!$I42,PARTIDOS!BP$11),0)</f>
        <v>0</v>
      </c>
      <c r="CG42" s="24">
        <v>0</v>
      </c>
      <c r="CH42" s="19">
        <f>+IF('Datos delta'!BQ42&gt;0,REASIGN(0,'Datos Protegidos'!$I42,PARTIDOS!BR$11),0)</f>
        <v>0</v>
      </c>
      <c r="CI42" s="24">
        <v>0</v>
      </c>
      <c r="CJ42" s="19">
        <f>+IF('Datos delta'!BS42&gt;0,REASIGN(0,'Datos Protegidos'!$I42,PARTIDOS!BT$11),0)</f>
        <v>0</v>
      </c>
      <c r="CK42" s="24">
        <v>0</v>
      </c>
      <c r="CL42" s="19">
        <f>+IF('Datos delta'!BU42&gt;0,REASIGN(0,'Datos Protegidos'!$I42,PARTIDOS!BV$11),0)</f>
        <v>0</v>
      </c>
      <c r="CM42" s="24">
        <v>0</v>
      </c>
      <c r="CN42" s="19">
        <f>+IF('Datos delta'!BW42&gt;0,REASIGN(0,'Datos Protegidos'!$I42,PARTIDOS!BX$11),0)</f>
        <v>0</v>
      </c>
      <c r="CO42" s="24">
        <v>0</v>
      </c>
      <c r="CP42" s="19">
        <f>+IF('Datos delta'!BY42&gt;0,REASIGN(0,'Datos Protegidos'!$I42,PARTIDOS!BZ$11),0)</f>
        <v>0</v>
      </c>
      <c r="CQ42" s="24">
        <v>0</v>
      </c>
      <c r="CR42" s="19">
        <f>+IF('Datos delta'!CA42&gt;0,REASIGN(0,'Datos Protegidos'!$I42,PARTIDOS!CB$11),0)</f>
        <v>0</v>
      </c>
      <c r="CS42" s="24">
        <v>0</v>
      </c>
      <c r="CT42" s="19">
        <f>+IF('Datos delta'!CC42&gt;0,REASIGN(0,'Datos Protegidos'!$I42,PARTIDOS!CD$11),0)</f>
        <v>0</v>
      </c>
      <c r="CU42" s="24">
        <v>0</v>
      </c>
      <c r="CV42" s="19">
        <f>+IF('Datos delta'!CE42&gt;0,REASIGN(0,'Datos Protegidos'!$I42,PARTIDOS!CF$11),0)</f>
        <v>0</v>
      </c>
      <c r="CW42" s="24">
        <v>0</v>
      </c>
      <c r="CX42" s="19">
        <f>+IF('Datos delta'!CG42&gt;0,REASIGN(0,'Datos Protegidos'!$I42,PARTIDOS!CH$11),0)</f>
        <v>0</v>
      </c>
      <c r="CY42" s="24">
        <v>0</v>
      </c>
      <c r="CZ42" s="19">
        <f>+IF('Datos delta'!CI42&gt;0,REASIGN(0,'Datos Protegidos'!$I42,PARTIDOS!CJ$11),0)</f>
        <v>0</v>
      </c>
      <c r="DA42" s="24">
        <v>0</v>
      </c>
      <c r="DB42" s="19">
        <f>+IF('Datos delta'!CK42&gt;0,REASIGN(0,'Datos Protegidos'!$I42,PARTIDOS!CL$11),0)</f>
        <v>0</v>
      </c>
      <c r="DC42" s="24">
        <v>0</v>
      </c>
      <c r="DD42" s="19">
        <f>+IF('Datos delta'!CM42&gt;0,REASIGN(0,'Datos Protegidos'!$I42,PARTIDOS!CN$11),0)</f>
        <v>0</v>
      </c>
      <c r="DE42" s="24">
        <v>0</v>
      </c>
      <c r="DF42" s="19">
        <f>+IF('Datos delta'!CO42&gt;0,REASIGN(0,'Datos Protegidos'!$I42,PARTIDOS!CP$11),0)</f>
        <v>0</v>
      </c>
      <c r="DG42" s="24">
        <v>0</v>
      </c>
      <c r="DH42" s="19">
        <f>+IF('Datos delta'!CQ42&gt;0,REASIGN(0,'Datos Protegidos'!$I42,PARTIDOS!CR$11),0)</f>
        <v>0</v>
      </c>
      <c r="DI42" s="24">
        <v>0</v>
      </c>
      <c r="DJ42" s="19">
        <f>+IF('Datos delta'!CS42&gt;0,REASIGN(0,'Datos Protegidos'!$I42,PARTIDOS!CT$11),0)</f>
        <v>0</v>
      </c>
      <c r="DK42" s="24">
        <v>0</v>
      </c>
      <c r="DL42" s="19">
        <f>+IF('Datos delta'!CU42&gt;0,REASIGN(0,'Datos Protegidos'!$I42,PARTIDOS!CV$11),0)</f>
        <v>0</v>
      </c>
      <c r="DM42" s="24">
        <v>0</v>
      </c>
      <c r="DN42" s="19">
        <f>+IF('Datos delta'!CW42&gt;0,REASIGN(0,'Datos Protegidos'!$I42,PARTIDOS!CX$11),0)</f>
        <v>0</v>
      </c>
      <c r="DO42" s="24">
        <v>0</v>
      </c>
      <c r="DP42" s="19">
        <f>+IF('Datos delta'!CY42&gt;0,REASIGN(0,'Datos Protegidos'!$I42,PARTIDOS!CZ$11),0)</f>
        <v>0</v>
      </c>
      <c r="DQ42" s="24">
        <v>0</v>
      </c>
      <c r="DR42" s="19">
        <f>+IF('Datos delta'!DA42&gt;0,REASIGN(0,'Datos Protegidos'!$I42,PARTIDOS!DB$11),0)</f>
        <v>0</v>
      </c>
      <c r="DS42" s="24">
        <v>0</v>
      </c>
      <c r="DT42" s="19">
        <f>+IF('Datos delta'!DC42&gt;0,REASIGN(0,'Datos Protegidos'!$I42,PARTIDOS!DD$11),0)</f>
        <v>0</v>
      </c>
      <c r="DU42" s="24">
        <v>0</v>
      </c>
      <c r="DV42" s="19">
        <f>+IF('Datos delta'!DE42&gt;0,REASIGN(0,'Datos Protegidos'!$I42,PARTIDOS!DF$11),0)</f>
        <v>0</v>
      </c>
      <c r="DW42" s="24">
        <v>0</v>
      </c>
      <c r="DX42" s="19">
        <f>+IF('Datos delta'!DG42&gt;0,REASIGN(0,'Datos Protegidos'!$I42,PARTIDOS!DH$11),0)</f>
        <v>0</v>
      </c>
      <c r="DY42" s="24">
        <v>0</v>
      </c>
      <c r="DZ42" s="19">
        <f>+IF('Datos delta'!DI42&gt;0,REASIGN(0,'Datos Protegidos'!$I42,PARTIDOS!DJ$11),0)</f>
        <v>0</v>
      </c>
      <c r="EA42" s="24">
        <v>0</v>
      </c>
      <c r="EB42" s="19">
        <f>+IF('Datos delta'!DK42&gt;0,REASIGN(0,'Datos Protegidos'!$I42,PARTIDOS!DL$11),0)</f>
        <v>0</v>
      </c>
      <c r="EC42" s="24">
        <v>0</v>
      </c>
      <c r="ED42" s="19">
        <f>+IF('Datos delta'!DM42&gt;0,REASIGN(0,'Datos Protegidos'!$I42,PARTIDOS!DN$11),0)</f>
        <v>0</v>
      </c>
      <c r="EE42" s="24">
        <v>0</v>
      </c>
      <c r="EF42" s="19">
        <f>+IF('Datos delta'!DO42&gt;0,REASIGN(0,'Datos Protegidos'!$I42,PARTIDOS!DP$11),0)</f>
        <v>0</v>
      </c>
      <c r="EG42" s="24">
        <v>0</v>
      </c>
      <c r="EH42" s="19">
        <f>+IF('Datos delta'!DQ42&gt;0,REASIGN(0,'Datos Protegidos'!$I42,PARTIDOS!DR$11),0)</f>
        <v>0</v>
      </c>
      <c r="EI42" s="24">
        <v>0</v>
      </c>
      <c r="EJ42" s="19">
        <f>+IF('Datos delta'!DS42&gt;0,REASIGN(0,'Datos Protegidos'!$I42,PARTIDOS!DT$11),0)</f>
        <v>0</v>
      </c>
      <c r="EK42" s="24">
        <v>0</v>
      </c>
      <c r="EL42" s="19">
        <f>+IF('Datos delta'!DU42&gt;0,REASIGN(0,'Datos Protegidos'!$I42,PARTIDOS!DV$11),0)</f>
        <v>0</v>
      </c>
      <c r="EM42" s="24">
        <v>0</v>
      </c>
      <c r="EN42" s="19">
        <f>+IF('Datos delta'!DW42&gt;0,REASIGN(0,'Datos Protegidos'!$I42,PARTIDOS!DX$11),0)</f>
        <v>0</v>
      </c>
      <c r="EO42" s="24">
        <v>0</v>
      </c>
      <c r="EP42" s="19">
        <f>+IF('Datos delta'!DY42&gt;0,REASIGN(0,'Datos Protegidos'!$I42,PARTIDOS!DZ$11),0)</f>
        <v>0</v>
      </c>
      <c r="EQ42" s="24">
        <v>0</v>
      </c>
      <c r="ER42" s="19">
        <f>+IF('Datos delta'!EA42&gt;0,REASIGN(0,'Datos Protegidos'!$I42,PARTIDOS!EB$11),0)</f>
        <v>0</v>
      </c>
      <c r="ES42" s="24">
        <v>0</v>
      </c>
      <c r="ET42" s="19">
        <f>+IF('Datos delta'!EC42&gt;0,REASIGN(0,'Datos Protegidos'!$I42,PARTIDOS!ED$11),0)</f>
        <v>0</v>
      </c>
      <c r="EU42" s="24">
        <v>0</v>
      </c>
    </row>
    <row r="43" spans="1:151" x14ac:dyDescent="0.25">
      <c r="A43" s="24" t="s">
        <v>68</v>
      </c>
      <c r="B43" s="25">
        <v>31</v>
      </c>
      <c r="C43" s="24" t="s">
        <v>69</v>
      </c>
      <c r="D43" s="24">
        <v>647554</v>
      </c>
      <c r="E43" s="26">
        <v>976</v>
      </c>
      <c r="F43" s="26">
        <v>484955</v>
      </c>
      <c r="G43" s="26">
        <v>27871</v>
      </c>
      <c r="H43" s="26">
        <v>512826</v>
      </c>
      <c r="I43" s="1">
        <v>2828</v>
      </c>
      <c r="J43" s="19">
        <f>+INT(([1]Hoja1!M43/[1]Hoja1!O43)*M43)</f>
        <v>334982</v>
      </c>
      <c r="K43" s="19">
        <f>+INT(([1]Hoja1!N43/[1]Hoja1!O43)*M43)</f>
        <v>331531</v>
      </c>
      <c r="L43" s="19">
        <f t="shared" si="1"/>
        <v>6465</v>
      </c>
      <c r="M43" s="19">
        <f t="shared" si="2"/>
        <v>3451</v>
      </c>
      <c r="N43" s="22">
        <f t="shared" si="0"/>
        <v>0</v>
      </c>
      <c r="O43" s="26">
        <v>3451</v>
      </c>
      <c r="P43" s="26">
        <v>3014</v>
      </c>
      <c r="Q43" s="22">
        <f t="shared" si="3"/>
        <v>5</v>
      </c>
      <c r="R43" s="19">
        <f>+IF('Datos delta'!A43&gt;0,REASIGN(0,'Datos Protegidos'!$I43,PARTIDOS!B$11),0)</f>
        <v>0</v>
      </c>
      <c r="S43" s="24">
        <v>1</v>
      </c>
      <c r="T43" s="19">
        <f>+IF('Datos delta'!C43&gt;0,REASIGN(0,'Datos Protegidos'!$I43,PARTIDOS!D$11),0)</f>
        <v>0</v>
      </c>
      <c r="U43" s="24">
        <v>0</v>
      </c>
      <c r="V43" s="19">
        <f>+IF('Datos delta'!E43&gt;0,REASIGN(0,'Datos Protegidos'!$I43,PARTIDOS!F$11),0)</f>
        <v>0</v>
      </c>
      <c r="W43" s="24">
        <v>0</v>
      </c>
      <c r="X43" s="19">
        <f>+IF('Datos delta'!G43&gt;0,REASIGN(0,'Datos Protegidos'!$I43,PARTIDOS!H$11),0)</f>
        <v>0</v>
      </c>
      <c r="Y43" s="24">
        <v>1</v>
      </c>
      <c r="Z43" s="19">
        <f>+IF('Datos delta'!I43&gt;0,REASIGN(0,'Datos Protegidos'!$I43,PARTIDOS!J$11),0)</f>
        <v>0</v>
      </c>
      <c r="AA43" s="24">
        <v>0</v>
      </c>
      <c r="AB43" s="19">
        <f>+IF('Datos delta'!K43&gt;0,REASIGN(0,'Datos Protegidos'!$I43,PARTIDOS!L$11),0)</f>
        <v>0</v>
      </c>
      <c r="AC43" s="24">
        <v>0</v>
      </c>
      <c r="AD43" s="19">
        <f>+IF('Datos delta'!M43&gt;0,REASIGN(0,'Datos Protegidos'!$I43,PARTIDOS!N$11),0)</f>
        <v>0</v>
      </c>
      <c r="AE43" s="24">
        <v>0</v>
      </c>
      <c r="AF43" s="19">
        <f>+IF('Datos delta'!O43&gt;0,REASIGN(0,'Datos Protegidos'!$I43,PARTIDOS!P$11),0)</f>
        <v>0</v>
      </c>
      <c r="AG43" s="24">
        <v>0</v>
      </c>
      <c r="AH43" s="19">
        <f>+IF('Datos delta'!Q43&gt;0,REASIGN(0,'Datos Protegidos'!$I43,PARTIDOS!R$11),0)</f>
        <v>0</v>
      </c>
      <c r="AI43" s="24">
        <v>0</v>
      </c>
      <c r="AJ43" s="19">
        <f>+IF('Datos delta'!S43&gt;0,REASIGN(0,'Datos Protegidos'!$I43,PARTIDOS!T$11),0)</f>
        <v>0</v>
      </c>
      <c r="AK43" s="24">
        <v>1</v>
      </c>
      <c r="AL43" s="19">
        <f>+IF('Datos delta'!U43&gt;0,REASIGN(0,'Datos Protegidos'!$I43,PARTIDOS!V$11),0)</f>
        <v>0</v>
      </c>
      <c r="AM43" s="24">
        <v>0</v>
      </c>
      <c r="AN43" s="19">
        <f>+IF('Datos delta'!W43&gt;0,REASIGN(0,'Datos Protegidos'!$I43,PARTIDOS!X$11),0)</f>
        <v>0</v>
      </c>
      <c r="AO43" s="24">
        <v>0</v>
      </c>
      <c r="AP43" s="19">
        <f>+IF('Datos delta'!Y43&gt;0,REASIGN(0,'Datos Protegidos'!$I43,PARTIDOS!Z$11),0)</f>
        <v>0</v>
      </c>
      <c r="AQ43" s="24">
        <v>0</v>
      </c>
      <c r="AR43" s="19">
        <f>+IF('Datos delta'!AA43&gt;0,REASIGN(0,'Datos Protegidos'!$I43,PARTIDOS!AB$11),0)</f>
        <v>0</v>
      </c>
      <c r="AS43" s="24">
        <v>0</v>
      </c>
      <c r="AT43" s="19">
        <f>+IF('Datos delta'!AC43&gt;0,REASIGN(0,'Datos Protegidos'!$I43,PARTIDOS!AD$11),0)</f>
        <v>0</v>
      </c>
      <c r="AU43" s="24">
        <v>2</v>
      </c>
      <c r="AV43" s="19">
        <f>+IF('Datos delta'!AE43&gt;0,REASIGN(0,'Datos Protegidos'!$I43,PARTIDOS!AF$11),0)</f>
        <v>0</v>
      </c>
      <c r="AW43" s="24">
        <v>0</v>
      </c>
      <c r="AX43" s="19">
        <f>+IF('Datos delta'!AG43&gt;0,REASIGN(0,'Datos Protegidos'!$I43,PARTIDOS!AH$11),0)</f>
        <v>0</v>
      </c>
      <c r="AY43" s="24">
        <v>0</v>
      </c>
      <c r="AZ43" s="19">
        <f>+IF('Datos delta'!AI43&gt;0,REASIGN(0,'Datos Protegidos'!$I43,PARTIDOS!AJ$11),0)</f>
        <v>0</v>
      </c>
      <c r="BA43" s="24">
        <v>0</v>
      </c>
      <c r="BB43" s="19">
        <f>+IF('Datos delta'!AK43&gt;0,REASIGN(0,'Datos Protegidos'!$I43,PARTIDOS!AL$11),0)</f>
        <v>0</v>
      </c>
      <c r="BC43" s="24">
        <v>0</v>
      </c>
      <c r="BD43" s="19">
        <f>+IF('Datos delta'!AM43&gt;0,REASIGN(0,'Datos Protegidos'!$I43,PARTIDOS!AN$11),0)</f>
        <v>0</v>
      </c>
      <c r="BE43" s="24">
        <v>0</v>
      </c>
      <c r="BF43" s="19">
        <f>+IF('Datos delta'!AO43&gt;0,REASIGN(0,'Datos Protegidos'!$I43,PARTIDOS!AP$11),0)</f>
        <v>0</v>
      </c>
      <c r="BG43" s="24">
        <v>0</v>
      </c>
      <c r="BH43" s="19">
        <f>+IF('Datos delta'!AQ43&gt;0,REASIGN(0,'Datos Protegidos'!$I43,PARTIDOS!AR$11),0)</f>
        <v>0</v>
      </c>
      <c r="BI43" s="24">
        <v>0</v>
      </c>
      <c r="BJ43" s="19">
        <f>+IF('Datos delta'!AS43&gt;0,REASIGN(0,'Datos Protegidos'!$I43,PARTIDOS!AT$11),0)</f>
        <v>0</v>
      </c>
      <c r="BK43" s="24">
        <v>0</v>
      </c>
      <c r="BL43" s="19">
        <f>+IF('Datos delta'!AU43&gt;0,REASIGN(0,'Datos Protegidos'!$I43,PARTIDOS!AV$11),0)</f>
        <v>0</v>
      </c>
      <c r="BM43" s="24">
        <v>0</v>
      </c>
      <c r="BN43" s="19">
        <f>+IF('Datos delta'!AW43&gt;0,REASIGN(0,'Datos Protegidos'!$I43,PARTIDOS!AX$11),0)</f>
        <v>0</v>
      </c>
      <c r="BO43" s="24">
        <v>0</v>
      </c>
      <c r="BP43" s="19">
        <f>+IF('Datos delta'!AY43&gt;0,REASIGN(0,'Datos Protegidos'!$I43,PARTIDOS!AZ$11),0)</f>
        <v>0</v>
      </c>
      <c r="BQ43" s="24">
        <v>0</v>
      </c>
      <c r="BR43" s="19">
        <f>+IF('Datos delta'!BA43&gt;0,REASIGN(0,'Datos Protegidos'!$I43,PARTIDOS!BB$11),0)</f>
        <v>0</v>
      </c>
      <c r="BS43" s="24">
        <v>0</v>
      </c>
      <c r="BT43" s="19">
        <f>+IF('Datos delta'!BC43&gt;0,REASIGN(0,'Datos Protegidos'!$I43,PARTIDOS!BD$11),0)</f>
        <v>0</v>
      </c>
      <c r="BU43" s="24">
        <v>0</v>
      </c>
      <c r="BV43" s="19">
        <f>+IF('Datos delta'!BE43&gt;0,REASIGN(0,'Datos Protegidos'!$I43,PARTIDOS!BF$11),0)</f>
        <v>0</v>
      </c>
      <c r="BW43" s="24">
        <v>0</v>
      </c>
      <c r="BX43" s="19">
        <f>+IF('Datos delta'!BG43&gt;0,REASIGN(0,'Datos Protegidos'!$I43,PARTIDOS!BH$11),0)</f>
        <v>0</v>
      </c>
      <c r="BY43" s="24">
        <v>0</v>
      </c>
      <c r="BZ43" s="19">
        <f>+IF('Datos delta'!BI43&gt;0,REASIGN(0,'Datos Protegidos'!$I43,PARTIDOS!BJ$11),0)</f>
        <v>0</v>
      </c>
      <c r="CA43" s="24">
        <v>0</v>
      </c>
      <c r="CB43" s="19">
        <f>+IF('Datos delta'!BK43&gt;0,REASIGN(0,'Datos Protegidos'!$I43,PARTIDOS!BL$11),0)</f>
        <v>0</v>
      </c>
      <c r="CC43" s="24">
        <v>0</v>
      </c>
      <c r="CD43" s="19">
        <f>+IF('Datos delta'!BM43&gt;0,REASIGN(0,'Datos Protegidos'!$I43,PARTIDOS!BN$11),0)</f>
        <v>0</v>
      </c>
      <c r="CE43" s="24">
        <v>0</v>
      </c>
      <c r="CF43" s="19">
        <f>+IF('Datos delta'!BO43&gt;0,REASIGN(0,'Datos Protegidos'!$I43,PARTIDOS!BP$11),0)</f>
        <v>0</v>
      </c>
      <c r="CG43" s="24">
        <v>0</v>
      </c>
      <c r="CH43" s="19">
        <f>+IF('Datos delta'!BQ43&gt;0,REASIGN(0,'Datos Protegidos'!$I43,PARTIDOS!BR$11),0)</f>
        <v>0</v>
      </c>
      <c r="CI43" s="24">
        <v>0</v>
      </c>
      <c r="CJ43" s="19">
        <f>+IF('Datos delta'!BS43&gt;0,REASIGN(0,'Datos Protegidos'!$I43,PARTIDOS!BT$11),0)</f>
        <v>0</v>
      </c>
      <c r="CK43" s="24">
        <v>0</v>
      </c>
      <c r="CL43" s="19">
        <f>+IF('Datos delta'!BU43&gt;0,REASIGN(0,'Datos Protegidos'!$I43,PARTIDOS!BV$11),0)</f>
        <v>0</v>
      </c>
      <c r="CM43" s="24">
        <v>0</v>
      </c>
      <c r="CN43" s="19">
        <f>+IF('Datos delta'!BW43&gt;0,REASIGN(0,'Datos Protegidos'!$I43,PARTIDOS!BX$11),0)</f>
        <v>0</v>
      </c>
      <c r="CO43" s="24">
        <v>0</v>
      </c>
      <c r="CP43" s="19">
        <f>+IF('Datos delta'!BY43&gt;0,REASIGN(0,'Datos Protegidos'!$I43,PARTIDOS!BZ$11),0)</f>
        <v>0</v>
      </c>
      <c r="CQ43" s="24">
        <v>0</v>
      </c>
      <c r="CR43" s="19">
        <f>+IF('Datos delta'!CA43&gt;0,REASIGN(0,'Datos Protegidos'!$I43,PARTIDOS!CB$11),0)</f>
        <v>0</v>
      </c>
      <c r="CS43" s="24">
        <v>0</v>
      </c>
      <c r="CT43" s="19">
        <f>+IF('Datos delta'!CC43&gt;0,REASIGN(0,'Datos Protegidos'!$I43,PARTIDOS!CD$11),0)</f>
        <v>0</v>
      </c>
      <c r="CU43" s="24">
        <v>0</v>
      </c>
      <c r="CV43" s="19">
        <f>+IF('Datos delta'!CE43&gt;0,REASIGN(0,'Datos Protegidos'!$I43,PARTIDOS!CF$11),0)</f>
        <v>0</v>
      </c>
      <c r="CW43" s="24">
        <v>0</v>
      </c>
      <c r="CX43" s="19">
        <f>+IF('Datos delta'!CG43&gt;0,REASIGN(0,'Datos Protegidos'!$I43,PARTIDOS!CH$11),0)</f>
        <v>0</v>
      </c>
      <c r="CY43" s="24">
        <v>0</v>
      </c>
      <c r="CZ43" s="19">
        <f>+IF('Datos delta'!CI43&gt;0,REASIGN(0,'Datos Protegidos'!$I43,PARTIDOS!CJ$11),0)</f>
        <v>0</v>
      </c>
      <c r="DA43" s="24">
        <v>0</v>
      </c>
      <c r="DB43" s="19">
        <f>+IF('Datos delta'!CK43&gt;0,REASIGN(0,'Datos Protegidos'!$I43,PARTIDOS!CL$11),0)</f>
        <v>0</v>
      </c>
      <c r="DC43" s="24">
        <v>0</v>
      </c>
      <c r="DD43" s="19">
        <f>+IF('Datos delta'!CM43&gt;0,REASIGN(0,'Datos Protegidos'!$I43,PARTIDOS!CN$11),0)</f>
        <v>0</v>
      </c>
      <c r="DE43" s="24">
        <v>0</v>
      </c>
      <c r="DF43" s="19">
        <f>+IF('Datos delta'!CO43&gt;0,REASIGN(0,'Datos Protegidos'!$I43,PARTIDOS!CP$11),0)</f>
        <v>0</v>
      </c>
      <c r="DG43" s="24">
        <v>0</v>
      </c>
      <c r="DH43" s="19">
        <f>+IF('Datos delta'!CQ43&gt;0,REASIGN(0,'Datos Protegidos'!$I43,PARTIDOS!CR$11),0)</f>
        <v>0</v>
      </c>
      <c r="DI43" s="24">
        <v>0</v>
      </c>
      <c r="DJ43" s="19">
        <f>+IF('Datos delta'!CS43&gt;0,REASIGN(0,'Datos Protegidos'!$I43,PARTIDOS!CT$11),0)</f>
        <v>0</v>
      </c>
      <c r="DK43" s="24">
        <v>0</v>
      </c>
      <c r="DL43" s="19">
        <f>+IF('Datos delta'!CU43&gt;0,REASIGN(0,'Datos Protegidos'!$I43,PARTIDOS!CV$11),0)</f>
        <v>0</v>
      </c>
      <c r="DM43" s="24">
        <v>0</v>
      </c>
      <c r="DN43" s="19">
        <f>+IF('Datos delta'!CW43&gt;0,REASIGN(0,'Datos Protegidos'!$I43,PARTIDOS!CX$11),0)</f>
        <v>0</v>
      </c>
      <c r="DO43" s="24">
        <v>0</v>
      </c>
      <c r="DP43" s="19">
        <f>+IF('Datos delta'!CY43&gt;0,REASIGN(0,'Datos Protegidos'!$I43,PARTIDOS!CZ$11),0)</f>
        <v>0</v>
      </c>
      <c r="DQ43" s="24">
        <v>0</v>
      </c>
      <c r="DR43" s="19">
        <f>+IF('Datos delta'!DA43&gt;0,REASIGN(0,'Datos Protegidos'!$I43,PARTIDOS!DB$11),0)</f>
        <v>0</v>
      </c>
      <c r="DS43" s="24">
        <v>0</v>
      </c>
      <c r="DT43" s="19">
        <f>+IF('Datos delta'!DC43&gt;0,REASIGN(0,'Datos Protegidos'!$I43,PARTIDOS!DD$11),0)</f>
        <v>0</v>
      </c>
      <c r="DU43" s="24">
        <v>0</v>
      </c>
      <c r="DV43" s="19">
        <f>+IF('Datos delta'!DE43&gt;0,REASIGN(0,'Datos Protegidos'!$I43,PARTIDOS!DF$11),0)</f>
        <v>0</v>
      </c>
      <c r="DW43" s="24">
        <v>0</v>
      </c>
      <c r="DX43" s="19">
        <f>+IF('Datos delta'!DG43&gt;0,REASIGN(0,'Datos Protegidos'!$I43,PARTIDOS!DH$11),0)</f>
        <v>0</v>
      </c>
      <c r="DY43" s="24">
        <v>0</v>
      </c>
      <c r="DZ43" s="19">
        <f>+IF('Datos delta'!DI43&gt;0,REASIGN(0,'Datos Protegidos'!$I43,PARTIDOS!DJ$11),0)</f>
        <v>0</v>
      </c>
      <c r="EA43" s="24">
        <v>0</v>
      </c>
      <c r="EB43" s="19">
        <f>+IF('Datos delta'!DK43&gt;0,REASIGN(0,'Datos Protegidos'!$I43,PARTIDOS!DL$11),0)</f>
        <v>0</v>
      </c>
      <c r="EC43" s="24">
        <v>0</v>
      </c>
      <c r="ED43" s="19">
        <f>+IF('Datos delta'!DM43&gt;0,REASIGN(0,'Datos Protegidos'!$I43,PARTIDOS!DN$11),0)</f>
        <v>0</v>
      </c>
      <c r="EE43" s="24">
        <v>0</v>
      </c>
      <c r="EF43" s="19">
        <f>+IF('Datos delta'!DO43&gt;0,REASIGN(0,'Datos Protegidos'!$I43,PARTIDOS!DP$11),0)</f>
        <v>0</v>
      </c>
      <c r="EG43" s="24">
        <v>0</v>
      </c>
      <c r="EH43" s="19">
        <f>+IF('Datos delta'!DQ43&gt;0,REASIGN(0,'Datos Protegidos'!$I43,PARTIDOS!DR$11),0)</f>
        <v>0</v>
      </c>
      <c r="EI43" s="24">
        <v>0</v>
      </c>
      <c r="EJ43" s="19">
        <f>+IF('Datos delta'!DS43&gt;0,REASIGN(0,'Datos Protegidos'!$I43,PARTIDOS!DT$11),0)</f>
        <v>0</v>
      </c>
      <c r="EK43" s="24">
        <v>0</v>
      </c>
      <c r="EL43" s="19">
        <f>+IF('Datos delta'!DU43&gt;0,REASIGN(0,'Datos Protegidos'!$I43,PARTIDOS!DV$11),0)</f>
        <v>0</v>
      </c>
      <c r="EM43" s="24">
        <v>0</v>
      </c>
      <c r="EN43" s="19">
        <f>+IF('Datos delta'!DW43&gt;0,REASIGN(0,'Datos Protegidos'!$I43,PARTIDOS!DX$11),0)</f>
        <v>0</v>
      </c>
      <c r="EO43" s="24">
        <v>0</v>
      </c>
      <c r="EP43" s="19">
        <f>+IF('Datos delta'!DY43&gt;0,REASIGN(0,'Datos Protegidos'!$I43,PARTIDOS!DZ$11),0)</f>
        <v>0</v>
      </c>
      <c r="EQ43" s="24">
        <v>0</v>
      </c>
      <c r="ER43" s="19">
        <f>+IF('Datos delta'!EA43&gt;0,REASIGN(0,'Datos Protegidos'!$I43,PARTIDOS!EB$11),0)</f>
        <v>0</v>
      </c>
      <c r="ES43" s="24">
        <v>0</v>
      </c>
      <c r="ET43" s="19">
        <f>+IF('Datos delta'!EC43&gt;0,REASIGN(0,'Datos Protegidos'!$I43,PARTIDOS!ED$11),0)</f>
        <v>0</v>
      </c>
      <c r="EU43" s="24">
        <v>0</v>
      </c>
    </row>
    <row r="44" spans="1:151" x14ac:dyDescent="0.25">
      <c r="A44" s="24" t="s">
        <v>70</v>
      </c>
      <c r="B44" s="25">
        <v>1</v>
      </c>
      <c r="C44" s="24" t="s">
        <v>71</v>
      </c>
      <c r="D44" s="24">
        <v>328868</v>
      </c>
      <c r="E44" s="26">
        <v>425</v>
      </c>
      <c r="F44" s="26">
        <v>251428</v>
      </c>
      <c r="G44" s="26">
        <v>7067</v>
      </c>
      <c r="H44" s="26">
        <v>258495</v>
      </c>
      <c r="I44" s="1">
        <v>1020</v>
      </c>
      <c r="J44" s="19">
        <f>+INT(([1]Hoja1!M44/[1]Hoja1!O44)*M44)</f>
        <v>170855</v>
      </c>
      <c r="K44" s="19">
        <f>+INT(([1]Hoja1!N44/[1]Hoja1!O44)*M44)</f>
        <v>169944</v>
      </c>
      <c r="L44" s="19">
        <f t="shared" si="1"/>
        <v>2255</v>
      </c>
      <c r="M44" s="19">
        <f t="shared" si="2"/>
        <v>911</v>
      </c>
      <c r="N44" s="22">
        <f t="shared" si="0"/>
        <v>0</v>
      </c>
      <c r="O44" s="26">
        <v>911</v>
      </c>
      <c r="P44" s="26">
        <v>1344</v>
      </c>
      <c r="Q44" s="22">
        <f t="shared" si="3"/>
        <v>4</v>
      </c>
      <c r="R44" s="19">
        <f>+IF('Datos delta'!A44&gt;0,REASIGN(0,'Datos Protegidos'!$I44,PARTIDOS!B$11),0)</f>
        <v>0</v>
      </c>
      <c r="S44" s="24">
        <v>1</v>
      </c>
      <c r="T44" s="19">
        <f>+IF('Datos delta'!C44&gt;0,REASIGN(0,'Datos Protegidos'!$I44,PARTIDOS!D$11),0)</f>
        <v>0</v>
      </c>
      <c r="U44" s="24">
        <v>0</v>
      </c>
      <c r="V44" s="19">
        <f>+IF('Datos delta'!E44&gt;0,REASIGN(0,'Datos Protegidos'!$I44,PARTIDOS!F$11),0)</f>
        <v>0</v>
      </c>
      <c r="W44" s="24">
        <v>0</v>
      </c>
      <c r="X44" s="19">
        <f>+IF('Datos delta'!G44&gt;0,REASIGN(0,'Datos Protegidos'!$I44,PARTIDOS!H$11),0)</f>
        <v>0</v>
      </c>
      <c r="Y44" s="24">
        <v>1</v>
      </c>
      <c r="Z44" s="19">
        <f>+IF('Datos delta'!I44&gt;0,REASIGN(0,'Datos Protegidos'!$I44,PARTIDOS!J$11),0)</f>
        <v>0</v>
      </c>
      <c r="AA44" s="24">
        <v>0</v>
      </c>
      <c r="AB44" s="19">
        <f>+IF('Datos delta'!K44&gt;0,REASIGN(0,'Datos Protegidos'!$I44,PARTIDOS!L$11),0)</f>
        <v>0</v>
      </c>
      <c r="AC44" s="24">
        <v>0</v>
      </c>
      <c r="AD44" s="19">
        <f>+IF('Datos delta'!M44&gt;0,REASIGN(0,'Datos Protegidos'!$I44,PARTIDOS!N$11),0)</f>
        <v>0</v>
      </c>
      <c r="AE44" s="24">
        <v>0</v>
      </c>
      <c r="AF44" s="19">
        <f>+IF('Datos delta'!O44&gt;0,REASIGN(0,'Datos Protegidos'!$I44,PARTIDOS!P$11),0)</f>
        <v>0</v>
      </c>
      <c r="AG44" s="24">
        <v>0</v>
      </c>
      <c r="AH44" s="19">
        <f>+IF('Datos delta'!Q44&gt;0,REASIGN(0,'Datos Protegidos'!$I44,PARTIDOS!R$11),0)</f>
        <v>0</v>
      </c>
      <c r="AI44" s="24">
        <v>1</v>
      </c>
      <c r="AJ44" s="19">
        <f>+IF('Datos delta'!S44&gt;0,REASIGN(0,'Datos Protegidos'!$I44,PARTIDOS!T$11),0)</f>
        <v>0</v>
      </c>
      <c r="AK44" s="24">
        <v>1</v>
      </c>
      <c r="AL44" s="19">
        <f>+IF('Datos delta'!U44&gt;0,REASIGN(0,'Datos Protegidos'!$I44,PARTIDOS!V$11),0)</f>
        <v>0</v>
      </c>
      <c r="AM44" s="24">
        <v>0</v>
      </c>
      <c r="AN44" s="19">
        <f>+IF('Datos delta'!W44&gt;0,REASIGN(0,'Datos Protegidos'!$I44,PARTIDOS!X$11),0)</f>
        <v>0</v>
      </c>
      <c r="AO44" s="24">
        <v>0</v>
      </c>
      <c r="AP44" s="19">
        <f>+IF('Datos delta'!Y44&gt;0,REASIGN(0,'Datos Protegidos'!$I44,PARTIDOS!Z$11),0)</f>
        <v>0</v>
      </c>
      <c r="AQ44" s="24">
        <v>0</v>
      </c>
      <c r="AR44" s="19">
        <f>+IF('Datos delta'!AA44&gt;0,REASIGN(0,'Datos Protegidos'!$I44,PARTIDOS!AB$11),0)</f>
        <v>0</v>
      </c>
      <c r="AS44" s="24">
        <v>0</v>
      </c>
      <c r="AT44" s="19">
        <f>+IF('Datos delta'!AC44&gt;0,REASIGN(0,'Datos Protegidos'!$I44,PARTIDOS!AD$11),0)</f>
        <v>0</v>
      </c>
      <c r="AU44" s="24">
        <v>0</v>
      </c>
      <c r="AV44" s="19">
        <f>+IF('Datos delta'!AE44&gt;0,REASIGN(0,'Datos Protegidos'!$I44,PARTIDOS!AF$11),0)</f>
        <v>0</v>
      </c>
      <c r="AW44" s="24">
        <v>0</v>
      </c>
      <c r="AX44" s="19">
        <f>+IF('Datos delta'!AG44&gt;0,REASIGN(0,'Datos Protegidos'!$I44,PARTIDOS!AH$11),0)</f>
        <v>0</v>
      </c>
      <c r="AY44" s="24">
        <v>0</v>
      </c>
      <c r="AZ44" s="19">
        <f>+IF('Datos delta'!AI44&gt;0,REASIGN(0,'Datos Protegidos'!$I44,PARTIDOS!AJ$11),0)</f>
        <v>0</v>
      </c>
      <c r="BA44" s="24">
        <v>0</v>
      </c>
      <c r="BB44" s="19">
        <f>+IF('Datos delta'!AK44&gt;0,REASIGN(0,'Datos Protegidos'!$I44,PARTIDOS!AL$11),0)</f>
        <v>0</v>
      </c>
      <c r="BC44" s="24">
        <v>0</v>
      </c>
      <c r="BD44" s="19">
        <f>+IF('Datos delta'!AM44&gt;0,REASIGN(0,'Datos Protegidos'!$I44,PARTIDOS!AN$11),0)</f>
        <v>0</v>
      </c>
      <c r="BE44" s="24">
        <v>0</v>
      </c>
      <c r="BF44" s="19">
        <f>+IF('Datos delta'!AO44&gt;0,REASIGN(0,'Datos Protegidos'!$I44,PARTIDOS!AP$11),0)</f>
        <v>0</v>
      </c>
      <c r="BG44" s="24">
        <v>0</v>
      </c>
      <c r="BH44" s="19">
        <f>+IF('Datos delta'!AQ44&gt;0,REASIGN(0,'Datos Protegidos'!$I44,PARTIDOS!AR$11),0)</f>
        <v>0</v>
      </c>
      <c r="BI44" s="24">
        <v>0</v>
      </c>
      <c r="BJ44" s="19">
        <f>+IF('Datos delta'!AS44&gt;0,REASIGN(0,'Datos Protegidos'!$I44,PARTIDOS!AT$11),0)</f>
        <v>0</v>
      </c>
      <c r="BK44" s="24">
        <v>0</v>
      </c>
      <c r="BL44" s="19">
        <f>+IF('Datos delta'!AU44&gt;0,REASIGN(0,'Datos Protegidos'!$I44,PARTIDOS!AV$11),0)</f>
        <v>0</v>
      </c>
      <c r="BM44" s="24">
        <v>0</v>
      </c>
      <c r="BN44" s="19">
        <f>+IF('Datos delta'!AW44&gt;0,REASIGN(0,'Datos Protegidos'!$I44,PARTIDOS!AX$11),0)</f>
        <v>0</v>
      </c>
      <c r="BO44" s="24">
        <v>0</v>
      </c>
      <c r="BP44" s="19">
        <f>+IF('Datos delta'!AY44&gt;0,REASIGN(0,'Datos Protegidos'!$I44,PARTIDOS!AZ$11),0)</f>
        <v>0</v>
      </c>
      <c r="BQ44" s="24">
        <v>0</v>
      </c>
      <c r="BR44" s="19">
        <f>+IF('Datos delta'!BA44&gt;0,REASIGN(0,'Datos Protegidos'!$I44,PARTIDOS!BB$11),0)</f>
        <v>0</v>
      </c>
      <c r="BS44" s="24">
        <v>0</v>
      </c>
      <c r="BT44" s="19">
        <f>+IF('Datos delta'!BC44&gt;0,REASIGN(0,'Datos Protegidos'!$I44,PARTIDOS!BD$11),0)</f>
        <v>0</v>
      </c>
      <c r="BU44" s="24">
        <v>0</v>
      </c>
      <c r="BV44" s="19">
        <f>+IF('Datos delta'!BE44&gt;0,REASIGN(0,'Datos Protegidos'!$I44,PARTIDOS!BF$11),0)</f>
        <v>0</v>
      </c>
      <c r="BW44" s="24">
        <v>0</v>
      </c>
      <c r="BX44" s="19">
        <f>+IF('Datos delta'!BG44&gt;0,REASIGN(0,'Datos Protegidos'!$I44,PARTIDOS!BH$11),0)</f>
        <v>0</v>
      </c>
      <c r="BY44" s="24">
        <v>0</v>
      </c>
      <c r="BZ44" s="19">
        <f>+IF('Datos delta'!BI44&gt;0,REASIGN(0,'Datos Protegidos'!$I44,PARTIDOS!BJ$11),0)</f>
        <v>0</v>
      </c>
      <c r="CA44" s="24">
        <v>0</v>
      </c>
      <c r="CB44" s="19">
        <f>+IF('Datos delta'!BK44&gt;0,REASIGN(0,'Datos Protegidos'!$I44,PARTIDOS!BL$11),0)</f>
        <v>0</v>
      </c>
      <c r="CC44" s="24">
        <v>0</v>
      </c>
      <c r="CD44" s="19">
        <f>+IF('Datos delta'!BM44&gt;0,REASIGN(0,'Datos Protegidos'!$I44,PARTIDOS!BN$11),0)</f>
        <v>0</v>
      </c>
      <c r="CE44" s="24">
        <v>0</v>
      </c>
      <c r="CF44" s="19">
        <f>+IF('Datos delta'!BO44&gt;0,REASIGN(0,'Datos Protegidos'!$I44,PARTIDOS!BP$11),0)</f>
        <v>0</v>
      </c>
      <c r="CG44" s="24">
        <v>0</v>
      </c>
      <c r="CH44" s="19">
        <f>+IF('Datos delta'!BQ44&gt;0,REASIGN(0,'Datos Protegidos'!$I44,PARTIDOS!BR$11),0)</f>
        <v>0</v>
      </c>
      <c r="CI44" s="24">
        <v>0</v>
      </c>
      <c r="CJ44" s="19">
        <f>+IF('Datos delta'!BS44&gt;0,REASIGN(0,'Datos Protegidos'!$I44,PARTIDOS!BT$11),0)</f>
        <v>0</v>
      </c>
      <c r="CK44" s="24">
        <v>0</v>
      </c>
      <c r="CL44" s="19">
        <f>+IF('Datos delta'!BU44&gt;0,REASIGN(0,'Datos Protegidos'!$I44,PARTIDOS!BV$11),0)</f>
        <v>0</v>
      </c>
      <c r="CM44" s="24">
        <v>0</v>
      </c>
      <c r="CN44" s="19">
        <f>+IF('Datos delta'!BW44&gt;0,REASIGN(0,'Datos Protegidos'!$I44,PARTIDOS!BX$11),0)</f>
        <v>0</v>
      </c>
      <c r="CO44" s="24">
        <v>0</v>
      </c>
      <c r="CP44" s="19">
        <f>+IF('Datos delta'!BY44&gt;0,REASIGN(0,'Datos Protegidos'!$I44,PARTIDOS!BZ$11),0)</f>
        <v>0</v>
      </c>
      <c r="CQ44" s="24">
        <v>0</v>
      </c>
      <c r="CR44" s="19">
        <f>+IF('Datos delta'!CA44&gt;0,REASIGN(0,'Datos Protegidos'!$I44,PARTIDOS!CB$11),0)</f>
        <v>0</v>
      </c>
      <c r="CS44" s="24">
        <v>0</v>
      </c>
      <c r="CT44" s="19">
        <f>+IF('Datos delta'!CC44&gt;0,REASIGN(0,'Datos Protegidos'!$I44,PARTIDOS!CD$11),0)</f>
        <v>0</v>
      </c>
      <c r="CU44" s="24">
        <v>0</v>
      </c>
      <c r="CV44" s="19">
        <f>+IF('Datos delta'!CE44&gt;0,REASIGN(0,'Datos Protegidos'!$I44,PARTIDOS!CF$11),0)</f>
        <v>0</v>
      </c>
      <c r="CW44" s="24">
        <v>0</v>
      </c>
      <c r="CX44" s="19">
        <f>+IF('Datos delta'!CG44&gt;0,REASIGN(0,'Datos Protegidos'!$I44,PARTIDOS!CH$11),0)</f>
        <v>0</v>
      </c>
      <c r="CY44" s="24">
        <v>0</v>
      </c>
      <c r="CZ44" s="19">
        <f>+IF('Datos delta'!CI44&gt;0,REASIGN(0,'Datos Protegidos'!$I44,PARTIDOS!CJ$11),0)</f>
        <v>0</v>
      </c>
      <c r="DA44" s="24">
        <v>0</v>
      </c>
      <c r="DB44" s="19">
        <f>+IF('Datos delta'!CK44&gt;0,REASIGN(0,'Datos Protegidos'!$I44,PARTIDOS!CL$11),0)</f>
        <v>0</v>
      </c>
      <c r="DC44" s="24">
        <v>0</v>
      </c>
      <c r="DD44" s="19">
        <f>+IF('Datos delta'!CM44&gt;0,REASIGN(0,'Datos Protegidos'!$I44,PARTIDOS!CN$11),0)</f>
        <v>0</v>
      </c>
      <c r="DE44" s="24">
        <v>0</v>
      </c>
      <c r="DF44" s="19">
        <f>+IF('Datos delta'!CO44&gt;0,REASIGN(0,'Datos Protegidos'!$I44,PARTIDOS!CP$11),0)</f>
        <v>0</v>
      </c>
      <c r="DG44" s="24">
        <v>0</v>
      </c>
      <c r="DH44" s="19">
        <f>+IF('Datos delta'!CQ44&gt;0,REASIGN(0,'Datos Protegidos'!$I44,PARTIDOS!CR$11),0)</f>
        <v>0</v>
      </c>
      <c r="DI44" s="24">
        <v>0</v>
      </c>
      <c r="DJ44" s="19">
        <f>+IF('Datos delta'!CS44&gt;0,REASIGN(0,'Datos Protegidos'!$I44,PARTIDOS!CT$11),0)</f>
        <v>0</v>
      </c>
      <c r="DK44" s="24">
        <v>0</v>
      </c>
      <c r="DL44" s="19">
        <f>+IF('Datos delta'!CU44&gt;0,REASIGN(0,'Datos Protegidos'!$I44,PARTIDOS!CV$11),0)</f>
        <v>0</v>
      </c>
      <c r="DM44" s="24">
        <v>0</v>
      </c>
      <c r="DN44" s="19">
        <f>+IF('Datos delta'!CW44&gt;0,REASIGN(0,'Datos Protegidos'!$I44,PARTIDOS!CX$11),0)</f>
        <v>0</v>
      </c>
      <c r="DO44" s="24">
        <v>0</v>
      </c>
      <c r="DP44" s="19">
        <f>+IF('Datos delta'!CY44&gt;0,REASIGN(0,'Datos Protegidos'!$I44,PARTIDOS!CZ$11),0)</f>
        <v>0</v>
      </c>
      <c r="DQ44" s="24">
        <v>0</v>
      </c>
      <c r="DR44" s="19">
        <f>+IF('Datos delta'!DA44&gt;0,REASIGN(0,'Datos Protegidos'!$I44,PARTIDOS!DB$11),0)</f>
        <v>0</v>
      </c>
      <c r="DS44" s="24">
        <v>0</v>
      </c>
      <c r="DT44" s="19">
        <f>+IF('Datos delta'!DC44&gt;0,REASIGN(0,'Datos Protegidos'!$I44,PARTIDOS!DD$11),0)</f>
        <v>0</v>
      </c>
      <c r="DU44" s="24">
        <v>0</v>
      </c>
      <c r="DV44" s="19">
        <f>+IF('Datos delta'!DE44&gt;0,REASIGN(0,'Datos Protegidos'!$I44,PARTIDOS!DF$11),0)</f>
        <v>0</v>
      </c>
      <c r="DW44" s="24">
        <v>0</v>
      </c>
      <c r="DX44" s="19">
        <f>+IF('Datos delta'!DG44&gt;0,REASIGN(0,'Datos Protegidos'!$I44,PARTIDOS!DH$11),0)</f>
        <v>0</v>
      </c>
      <c r="DY44" s="24">
        <v>0</v>
      </c>
      <c r="DZ44" s="19">
        <f>+IF('Datos delta'!DI44&gt;0,REASIGN(0,'Datos Protegidos'!$I44,PARTIDOS!DJ$11),0)</f>
        <v>0</v>
      </c>
      <c r="EA44" s="24">
        <v>0</v>
      </c>
      <c r="EB44" s="19">
        <f>+IF('Datos delta'!DK44&gt;0,REASIGN(0,'Datos Protegidos'!$I44,PARTIDOS!DL$11),0)</f>
        <v>0</v>
      </c>
      <c r="EC44" s="24">
        <v>0</v>
      </c>
      <c r="ED44" s="19">
        <f>+IF('Datos delta'!DM44&gt;0,REASIGN(0,'Datos Protegidos'!$I44,PARTIDOS!DN$11),0)</f>
        <v>0</v>
      </c>
      <c r="EE44" s="24">
        <v>0</v>
      </c>
      <c r="EF44" s="19">
        <f>+IF('Datos delta'!DO44&gt;0,REASIGN(0,'Datos Protegidos'!$I44,PARTIDOS!DP$11),0)</f>
        <v>0</v>
      </c>
      <c r="EG44" s="24">
        <v>0</v>
      </c>
      <c r="EH44" s="19">
        <f>+IF('Datos delta'!DQ44&gt;0,REASIGN(0,'Datos Protegidos'!$I44,PARTIDOS!DR$11),0)</f>
        <v>0</v>
      </c>
      <c r="EI44" s="24">
        <v>0</v>
      </c>
      <c r="EJ44" s="19">
        <f>+IF('Datos delta'!DS44&gt;0,REASIGN(0,'Datos Protegidos'!$I44,PARTIDOS!DT$11),0)</f>
        <v>0</v>
      </c>
      <c r="EK44" s="24">
        <v>0</v>
      </c>
      <c r="EL44" s="19">
        <f>+IF('Datos delta'!DU44&gt;0,REASIGN(0,'Datos Protegidos'!$I44,PARTIDOS!DV$11),0)</f>
        <v>0</v>
      </c>
      <c r="EM44" s="24">
        <v>0</v>
      </c>
      <c r="EN44" s="19">
        <f>+IF('Datos delta'!DW44&gt;0,REASIGN(0,'Datos Protegidos'!$I44,PARTIDOS!DX$11),0)</f>
        <v>0</v>
      </c>
      <c r="EO44" s="24">
        <v>0</v>
      </c>
      <c r="EP44" s="19">
        <f>+IF('Datos delta'!DY44&gt;0,REASIGN(0,'Datos Protegidos'!$I44,PARTIDOS!DZ$11),0)</f>
        <v>0</v>
      </c>
      <c r="EQ44" s="24">
        <v>0</v>
      </c>
      <c r="ER44" s="19">
        <f>+IF('Datos delta'!EA44&gt;0,REASIGN(0,'Datos Protegidos'!$I44,PARTIDOS!EB$11),0)</f>
        <v>0</v>
      </c>
      <c r="ES44" s="24">
        <v>0</v>
      </c>
      <c r="ET44" s="19">
        <f>+IF('Datos delta'!EC44&gt;0,REASIGN(0,'Datos Protegidos'!$I44,PARTIDOS!ED$11),0)</f>
        <v>0</v>
      </c>
      <c r="EU44" s="24">
        <v>0</v>
      </c>
    </row>
    <row r="45" spans="1:151" x14ac:dyDescent="0.25">
      <c r="A45" s="24" t="s">
        <v>70</v>
      </c>
      <c r="B45" s="25">
        <v>20</v>
      </c>
      <c r="C45" s="24" t="s">
        <v>72</v>
      </c>
      <c r="D45" s="24">
        <v>720592</v>
      </c>
      <c r="E45" s="26">
        <v>848</v>
      </c>
      <c r="F45" s="26">
        <v>556567</v>
      </c>
      <c r="G45" s="26">
        <v>27894</v>
      </c>
      <c r="H45" s="26">
        <v>584461</v>
      </c>
      <c r="I45" s="1">
        <v>4422</v>
      </c>
      <c r="J45" s="19">
        <f>+INT(([1]Hoja1!M45/[1]Hoja1!O45)*M45)</f>
        <v>382868</v>
      </c>
      <c r="K45" s="19">
        <f>+INT(([1]Hoja1!N45/[1]Hoja1!O45)*M45)</f>
        <v>380961</v>
      </c>
      <c r="L45" s="19">
        <f t="shared" si="1"/>
        <v>3585</v>
      </c>
      <c r="M45" s="19">
        <f t="shared" si="2"/>
        <v>1907</v>
      </c>
      <c r="N45" s="22">
        <f t="shared" si="0"/>
        <v>0</v>
      </c>
      <c r="O45" s="26">
        <v>1907</v>
      </c>
      <c r="P45" s="26">
        <v>1678</v>
      </c>
      <c r="Q45" s="22">
        <f t="shared" si="3"/>
        <v>6</v>
      </c>
      <c r="R45" s="19">
        <f>+IF('Datos delta'!A45&gt;0,REASIGN(0,'Datos Protegidos'!$I45,PARTIDOS!B$11),0)</f>
        <v>0</v>
      </c>
      <c r="S45" s="24">
        <v>1</v>
      </c>
      <c r="T45" s="19">
        <f>+IF('Datos delta'!C45&gt;0,REASIGN(0,'Datos Protegidos'!$I45,PARTIDOS!D$11),0)</f>
        <v>0</v>
      </c>
      <c r="U45" s="24">
        <v>0</v>
      </c>
      <c r="V45" s="19">
        <f>+IF('Datos delta'!E45&gt;0,REASIGN(0,'Datos Protegidos'!$I45,PARTIDOS!F$11),0)</f>
        <v>0</v>
      </c>
      <c r="W45" s="24">
        <v>0</v>
      </c>
      <c r="X45" s="19">
        <f>+IF('Datos delta'!G45&gt;0,REASIGN(0,'Datos Protegidos'!$I45,PARTIDOS!H$11),0)</f>
        <v>0</v>
      </c>
      <c r="Y45" s="24">
        <v>1</v>
      </c>
      <c r="Z45" s="19">
        <f>+IF('Datos delta'!I45&gt;0,REASIGN(0,'Datos Protegidos'!$I45,PARTIDOS!J$11),0)</f>
        <v>0</v>
      </c>
      <c r="AA45" s="24">
        <v>0</v>
      </c>
      <c r="AB45" s="19">
        <f>+IF('Datos delta'!K45&gt;0,REASIGN(0,'Datos Protegidos'!$I45,PARTIDOS!L$11),0)</f>
        <v>0</v>
      </c>
      <c r="AC45" s="24">
        <v>0</v>
      </c>
      <c r="AD45" s="19">
        <f>+IF('Datos delta'!M45&gt;0,REASIGN(0,'Datos Protegidos'!$I45,PARTIDOS!N$11),0)</f>
        <v>0</v>
      </c>
      <c r="AE45" s="24">
        <v>0</v>
      </c>
      <c r="AF45" s="19">
        <f>+IF('Datos delta'!O45&gt;0,REASIGN(0,'Datos Protegidos'!$I45,PARTIDOS!P$11),0)</f>
        <v>0</v>
      </c>
      <c r="AG45" s="24">
        <v>0</v>
      </c>
      <c r="AH45" s="19">
        <f>+IF('Datos delta'!Q45&gt;0,REASIGN(0,'Datos Protegidos'!$I45,PARTIDOS!R$11),0)</f>
        <v>0</v>
      </c>
      <c r="AI45" s="24">
        <v>2</v>
      </c>
      <c r="AJ45" s="19">
        <f>+IF('Datos delta'!S45&gt;0,REASIGN(0,'Datos Protegidos'!$I45,PARTIDOS!T$11),0)</f>
        <v>0</v>
      </c>
      <c r="AK45" s="24">
        <v>2</v>
      </c>
      <c r="AL45" s="19">
        <f>+IF('Datos delta'!U45&gt;0,REASIGN(0,'Datos Protegidos'!$I45,PARTIDOS!V$11),0)</f>
        <v>0</v>
      </c>
      <c r="AM45" s="24">
        <v>0</v>
      </c>
      <c r="AN45" s="19">
        <f>+IF('Datos delta'!W45&gt;0,REASIGN(0,'Datos Protegidos'!$I45,PARTIDOS!X$11),0)</f>
        <v>0</v>
      </c>
      <c r="AO45" s="24">
        <v>0</v>
      </c>
      <c r="AP45" s="19">
        <f>+IF('Datos delta'!Y45&gt;0,REASIGN(0,'Datos Protegidos'!$I45,PARTIDOS!Z$11),0)</f>
        <v>0</v>
      </c>
      <c r="AQ45" s="24">
        <v>0</v>
      </c>
      <c r="AR45" s="19">
        <f>+IF('Datos delta'!AA45&gt;0,REASIGN(0,'Datos Protegidos'!$I45,PARTIDOS!AB$11),0)</f>
        <v>0</v>
      </c>
      <c r="AS45" s="24">
        <v>0</v>
      </c>
      <c r="AT45" s="19">
        <f>+IF('Datos delta'!AC45&gt;0,REASIGN(0,'Datos Protegidos'!$I45,PARTIDOS!AD$11),0)</f>
        <v>0</v>
      </c>
      <c r="AU45" s="24">
        <v>0</v>
      </c>
      <c r="AV45" s="19">
        <f>+IF('Datos delta'!AE45&gt;0,REASIGN(0,'Datos Protegidos'!$I45,PARTIDOS!AF$11),0)</f>
        <v>0</v>
      </c>
      <c r="AW45" s="24">
        <v>0</v>
      </c>
      <c r="AX45" s="19">
        <f>+IF('Datos delta'!AG45&gt;0,REASIGN(0,'Datos Protegidos'!$I45,PARTIDOS!AH$11),0)</f>
        <v>0</v>
      </c>
      <c r="AY45" s="24">
        <v>0</v>
      </c>
      <c r="AZ45" s="19">
        <f>+IF('Datos delta'!AI45&gt;0,REASIGN(0,'Datos Protegidos'!$I45,PARTIDOS!AJ$11),0)</f>
        <v>0</v>
      </c>
      <c r="BA45" s="24">
        <v>0</v>
      </c>
      <c r="BB45" s="19">
        <f>+IF('Datos delta'!AK45&gt;0,REASIGN(0,'Datos Protegidos'!$I45,PARTIDOS!AL$11),0)</f>
        <v>0</v>
      </c>
      <c r="BC45" s="24">
        <v>0</v>
      </c>
      <c r="BD45" s="19">
        <f>+IF('Datos delta'!AM45&gt;0,REASIGN(0,'Datos Protegidos'!$I45,PARTIDOS!AN$11),0)</f>
        <v>0</v>
      </c>
      <c r="BE45" s="24">
        <v>0</v>
      </c>
      <c r="BF45" s="19">
        <f>+IF('Datos delta'!AO45&gt;0,REASIGN(0,'Datos Protegidos'!$I45,PARTIDOS!AP$11),0)</f>
        <v>0</v>
      </c>
      <c r="BG45" s="24">
        <v>0</v>
      </c>
      <c r="BH45" s="19">
        <f>+IF('Datos delta'!AQ45&gt;0,REASIGN(0,'Datos Protegidos'!$I45,PARTIDOS!AR$11),0)</f>
        <v>0</v>
      </c>
      <c r="BI45" s="24">
        <v>0</v>
      </c>
      <c r="BJ45" s="19">
        <f>+IF('Datos delta'!AS45&gt;0,REASIGN(0,'Datos Protegidos'!$I45,PARTIDOS!AT$11),0)</f>
        <v>0</v>
      </c>
      <c r="BK45" s="24">
        <v>0</v>
      </c>
      <c r="BL45" s="19">
        <f>+IF('Datos delta'!AU45&gt;0,REASIGN(0,'Datos Protegidos'!$I45,PARTIDOS!AV$11),0)</f>
        <v>0</v>
      </c>
      <c r="BM45" s="24">
        <v>0</v>
      </c>
      <c r="BN45" s="19">
        <f>+IF('Datos delta'!AW45&gt;0,REASIGN(0,'Datos Protegidos'!$I45,PARTIDOS!AX$11),0)</f>
        <v>0</v>
      </c>
      <c r="BO45" s="24">
        <v>0</v>
      </c>
      <c r="BP45" s="19">
        <f>+IF('Datos delta'!AY45&gt;0,REASIGN(0,'Datos Protegidos'!$I45,PARTIDOS!AZ$11),0)</f>
        <v>0</v>
      </c>
      <c r="BQ45" s="24">
        <v>0</v>
      </c>
      <c r="BR45" s="19">
        <f>+IF('Datos delta'!BA45&gt;0,REASIGN(0,'Datos Protegidos'!$I45,PARTIDOS!BB$11),0)</f>
        <v>0</v>
      </c>
      <c r="BS45" s="24">
        <v>0</v>
      </c>
      <c r="BT45" s="19">
        <f>+IF('Datos delta'!BC45&gt;0,REASIGN(0,'Datos Protegidos'!$I45,PARTIDOS!BD$11),0)</f>
        <v>0</v>
      </c>
      <c r="BU45" s="24">
        <v>0</v>
      </c>
      <c r="BV45" s="19">
        <f>+IF('Datos delta'!BE45&gt;0,REASIGN(0,'Datos Protegidos'!$I45,PARTIDOS!BF$11),0)</f>
        <v>0</v>
      </c>
      <c r="BW45" s="24">
        <v>0</v>
      </c>
      <c r="BX45" s="19">
        <f>+IF('Datos delta'!BG45&gt;0,REASIGN(0,'Datos Protegidos'!$I45,PARTIDOS!BH$11),0)</f>
        <v>0</v>
      </c>
      <c r="BY45" s="24">
        <v>0</v>
      </c>
      <c r="BZ45" s="19">
        <f>+IF('Datos delta'!BI45&gt;0,REASIGN(0,'Datos Protegidos'!$I45,PARTIDOS!BJ$11),0)</f>
        <v>0</v>
      </c>
      <c r="CA45" s="24">
        <v>0</v>
      </c>
      <c r="CB45" s="19">
        <f>+IF('Datos delta'!BK45&gt;0,REASIGN(0,'Datos Protegidos'!$I45,PARTIDOS!BL$11),0)</f>
        <v>0</v>
      </c>
      <c r="CC45" s="24">
        <v>0</v>
      </c>
      <c r="CD45" s="19">
        <f>+IF('Datos delta'!BM45&gt;0,REASIGN(0,'Datos Protegidos'!$I45,PARTIDOS!BN$11),0)</f>
        <v>0</v>
      </c>
      <c r="CE45" s="24">
        <v>0</v>
      </c>
      <c r="CF45" s="19">
        <f>+IF('Datos delta'!BO45&gt;0,REASIGN(0,'Datos Protegidos'!$I45,PARTIDOS!BP$11),0)</f>
        <v>0</v>
      </c>
      <c r="CG45" s="24">
        <v>0</v>
      </c>
      <c r="CH45" s="19">
        <f>+IF('Datos delta'!BQ45&gt;0,REASIGN(0,'Datos Protegidos'!$I45,PARTIDOS!BR$11),0)</f>
        <v>0</v>
      </c>
      <c r="CI45" s="24">
        <v>0</v>
      </c>
      <c r="CJ45" s="19">
        <f>+IF('Datos delta'!BS45&gt;0,REASIGN(0,'Datos Protegidos'!$I45,PARTIDOS!BT$11),0)</f>
        <v>0</v>
      </c>
      <c r="CK45" s="24">
        <v>0</v>
      </c>
      <c r="CL45" s="19">
        <f>+IF('Datos delta'!BU45&gt;0,REASIGN(0,'Datos Protegidos'!$I45,PARTIDOS!BV$11),0)</f>
        <v>0</v>
      </c>
      <c r="CM45" s="24">
        <v>0</v>
      </c>
      <c r="CN45" s="19">
        <f>+IF('Datos delta'!BW45&gt;0,REASIGN(0,'Datos Protegidos'!$I45,PARTIDOS!BX$11),0)</f>
        <v>0</v>
      </c>
      <c r="CO45" s="24">
        <v>0</v>
      </c>
      <c r="CP45" s="19">
        <f>+IF('Datos delta'!BY45&gt;0,REASIGN(0,'Datos Protegidos'!$I45,PARTIDOS!BZ$11),0)</f>
        <v>0</v>
      </c>
      <c r="CQ45" s="24">
        <v>0</v>
      </c>
      <c r="CR45" s="19">
        <f>+IF('Datos delta'!CA45&gt;0,REASIGN(0,'Datos Protegidos'!$I45,PARTIDOS!CB$11),0)</f>
        <v>0</v>
      </c>
      <c r="CS45" s="24">
        <v>0</v>
      </c>
      <c r="CT45" s="19">
        <f>+IF('Datos delta'!CC45&gt;0,REASIGN(0,'Datos Protegidos'!$I45,PARTIDOS!CD$11),0)</f>
        <v>0</v>
      </c>
      <c r="CU45" s="24">
        <v>0</v>
      </c>
      <c r="CV45" s="19">
        <f>+IF('Datos delta'!CE45&gt;0,REASIGN(0,'Datos Protegidos'!$I45,PARTIDOS!CF$11),0)</f>
        <v>0</v>
      </c>
      <c r="CW45" s="24">
        <v>0</v>
      </c>
      <c r="CX45" s="19">
        <f>+IF('Datos delta'!CG45&gt;0,REASIGN(0,'Datos Protegidos'!$I45,PARTIDOS!CH$11),0)</f>
        <v>0</v>
      </c>
      <c r="CY45" s="24">
        <v>0</v>
      </c>
      <c r="CZ45" s="19">
        <f>+IF('Datos delta'!CI45&gt;0,REASIGN(0,'Datos Protegidos'!$I45,PARTIDOS!CJ$11),0)</f>
        <v>0</v>
      </c>
      <c r="DA45" s="24">
        <v>0</v>
      </c>
      <c r="DB45" s="19">
        <f>+IF('Datos delta'!CK45&gt;0,REASIGN(0,'Datos Protegidos'!$I45,PARTIDOS!CL$11),0)</f>
        <v>0</v>
      </c>
      <c r="DC45" s="24">
        <v>0</v>
      </c>
      <c r="DD45" s="19">
        <f>+IF('Datos delta'!CM45&gt;0,REASIGN(0,'Datos Protegidos'!$I45,PARTIDOS!CN$11),0)</f>
        <v>0</v>
      </c>
      <c r="DE45" s="24">
        <v>0</v>
      </c>
      <c r="DF45" s="19">
        <f>+IF('Datos delta'!CO45&gt;0,REASIGN(0,'Datos Protegidos'!$I45,PARTIDOS!CP$11),0)</f>
        <v>0</v>
      </c>
      <c r="DG45" s="24">
        <v>0</v>
      </c>
      <c r="DH45" s="19">
        <f>+IF('Datos delta'!CQ45&gt;0,REASIGN(0,'Datos Protegidos'!$I45,PARTIDOS!CR$11),0)</f>
        <v>0</v>
      </c>
      <c r="DI45" s="24">
        <v>0</v>
      </c>
      <c r="DJ45" s="19">
        <f>+IF('Datos delta'!CS45&gt;0,REASIGN(0,'Datos Protegidos'!$I45,PARTIDOS!CT$11),0)</f>
        <v>0</v>
      </c>
      <c r="DK45" s="24">
        <v>0</v>
      </c>
      <c r="DL45" s="19">
        <f>+IF('Datos delta'!CU45&gt;0,REASIGN(0,'Datos Protegidos'!$I45,PARTIDOS!CV$11),0)</f>
        <v>0</v>
      </c>
      <c r="DM45" s="24">
        <v>0</v>
      </c>
      <c r="DN45" s="19">
        <f>+IF('Datos delta'!CW45&gt;0,REASIGN(0,'Datos Protegidos'!$I45,PARTIDOS!CX$11),0)</f>
        <v>0</v>
      </c>
      <c r="DO45" s="24">
        <v>0</v>
      </c>
      <c r="DP45" s="19">
        <f>+IF('Datos delta'!CY45&gt;0,REASIGN(0,'Datos Protegidos'!$I45,PARTIDOS!CZ$11),0)</f>
        <v>0</v>
      </c>
      <c r="DQ45" s="24">
        <v>0</v>
      </c>
      <c r="DR45" s="19">
        <f>+IF('Datos delta'!DA45&gt;0,REASIGN(0,'Datos Protegidos'!$I45,PARTIDOS!DB$11),0)</f>
        <v>0</v>
      </c>
      <c r="DS45" s="24">
        <v>0</v>
      </c>
      <c r="DT45" s="19">
        <f>+IF('Datos delta'!DC45&gt;0,REASIGN(0,'Datos Protegidos'!$I45,PARTIDOS!DD$11),0)</f>
        <v>0</v>
      </c>
      <c r="DU45" s="24">
        <v>0</v>
      </c>
      <c r="DV45" s="19">
        <f>+IF('Datos delta'!DE45&gt;0,REASIGN(0,'Datos Protegidos'!$I45,PARTIDOS!DF$11),0)</f>
        <v>0</v>
      </c>
      <c r="DW45" s="24">
        <v>0</v>
      </c>
      <c r="DX45" s="19">
        <f>+IF('Datos delta'!DG45&gt;0,REASIGN(0,'Datos Protegidos'!$I45,PARTIDOS!DH$11),0)</f>
        <v>0</v>
      </c>
      <c r="DY45" s="24">
        <v>0</v>
      </c>
      <c r="DZ45" s="19">
        <f>+IF('Datos delta'!DI45&gt;0,REASIGN(0,'Datos Protegidos'!$I45,PARTIDOS!DJ$11),0)</f>
        <v>0</v>
      </c>
      <c r="EA45" s="24">
        <v>0</v>
      </c>
      <c r="EB45" s="19">
        <f>+IF('Datos delta'!DK45&gt;0,REASIGN(0,'Datos Protegidos'!$I45,PARTIDOS!DL$11),0)</f>
        <v>0</v>
      </c>
      <c r="EC45" s="24">
        <v>0</v>
      </c>
      <c r="ED45" s="19">
        <f>+IF('Datos delta'!DM45&gt;0,REASIGN(0,'Datos Protegidos'!$I45,PARTIDOS!DN$11),0)</f>
        <v>0</v>
      </c>
      <c r="EE45" s="24">
        <v>0</v>
      </c>
      <c r="EF45" s="19">
        <f>+IF('Datos delta'!DO45&gt;0,REASIGN(0,'Datos Protegidos'!$I45,PARTIDOS!DP$11),0)</f>
        <v>0</v>
      </c>
      <c r="EG45" s="24">
        <v>0</v>
      </c>
      <c r="EH45" s="19">
        <f>+IF('Datos delta'!DQ45&gt;0,REASIGN(0,'Datos Protegidos'!$I45,PARTIDOS!DR$11),0)</f>
        <v>0</v>
      </c>
      <c r="EI45" s="24">
        <v>0</v>
      </c>
      <c r="EJ45" s="19">
        <f>+IF('Datos delta'!DS45&gt;0,REASIGN(0,'Datos Protegidos'!$I45,PARTIDOS!DT$11),0)</f>
        <v>0</v>
      </c>
      <c r="EK45" s="24">
        <v>0</v>
      </c>
      <c r="EL45" s="19">
        <f>+IF('Datos delta'!DU45&gt;0,REASIGN(0,'Datos Protegidos'!$I45,PARTIDOS!DV$11),0)</f>
        <v>0</v>
      </c>
      <c r="EM45" s="24">
        <v>0</v>
      </c>
      <c r="EN45" s="19">
        <f>+IF('Datos delta'!DW45&gt;0,REASIGN(0,'Datos Protegidos'!$I45,PARTIDOS!DX$11),0)</f>
        <v>0</v>
      </c>
      <c r="EO45" s="24">
        <v>0</v>
      </c>
      <c r="EP45" s="19">
        <f>+IF('Datos delta'!DY45&gt;0,REASIGN(0,'Datos Protegidos'!$I45,PARTIDOS!DZ$11),0)</f>
        <v>0</v>
      </c>
      <c r="EQ45" s="24">
        <v>0</v>
      </c>
      <c r="ER45" s="19">
        <f>+IF('Datos delta'!EA45&gt;0,REASIGN(0,'Datos Protegidos'!$I45,PARTIDOS!EB$11),0)</f>
        <v>0</v>
      </c>
      <c r="ES45" s="24">
        <v>0</v>
      </c>
      <c r="ET45" s="19">
        <f>+IF('Datos delta'!EC45&gt;0,REASIGN(0,'Datos Protegidos'!$I45,PARTIDOS!ED$11),0)</f>
        <v>0</v>
      </c>
      <c r="EU45" s="24">
        <v>0</v>
      </c>
    </row>
    <row r="46" spans="1:151" x14ac:dyDescent="0.25">
      <c r="A46" s="24" t="s">
        <v>70</v>
      </c>
      <c r="B46" s="25">
        <v>48</v>
      </c>
      <c r="C46" s="24" t="s">
        <v>73</v>
      </c>
      <c r="D46" s="24">
        <v>1149628</v>
      </c>
      <c r="E46" s="26">
        <v>1396</v>
      </c>
      <c r="F46" s="26">
        <v>909601</v>
      </c>
      <c r="G46" s="26">
        <v>39997</v>
      </c>
      <c r="H46" s="26">
        <v>949598</v>
      </c>
      <c r="I46" s="1">
        <v>4541</v>
      </c>
      <c r="J46" s="19">
        <f>+INT(([1]Hoja1!M46/[1]Hoja1!O46)*M46)</f>
        <v>630312</v>
      </c>
      <c r="K46" s="19">
        <f>+INT(([1]Hoja1!N46/[1]Hoja1!O46)*M46)</f>
        <v>626506</v>
      </c>
      <c r="L46" s="19">
        <f t="shared" si="1"/>
        <v>7471</v>
      </c>
      <c r="M46" s="19">
        <f t="shared" si="2"/>
        <v>3806</v>
      </c>
      <c r="N46" s="22">
        <f t="shared" si="0"/>
        <v>0</v>
      </c>
      <c r="O46" s="26">
        <v>3806</v>
      </c>
      <c r="P46" s="26">
        <v>3665</v>
      </c>
      <c r="Q46" s="22">
        <f t="shared" si="3"/>
        <v>8</v>
      </c>
      <c r="R46" s="19">
        <f>+IF('Datos delta'!A46&gt;0,REASIGN(0,'Datos Protegidos'!$I46,PARTIDOS!B$11),0)</f>
        <v>0</v>
      </c>
      <c r="S46" s="24">
        <v>2</v>
      </c>
      <c r="T46" s="19">
        <f>+IF('Datos delta'!C46&gt;0,REASIGN(0,'Datos Protegidos'!$I46,PARTIDOS!D$11),0)</f>
        <v>0</v>
      </c>
      <c r="U46" s="24">
        <v>1</v>
      </c>
      <c r="V46" s="19">
        <f>+IF('Datos delta'!E46&gt;0,REASIGN(0,'Datos Protegidos'!$I46,PARTIDOS!F$11),0)</f>
        <v>0</v>
      </c>
      <c r="W46" s="24">
        <v>0</v>
      </c>
      <c r="X46" s="19">
        <f>+IF('Datos delta'!G46&gt;0,REASIGN(0,'Datos Protegidos'!$I46,PARTIDOS!H$11),0)</f>
        <v>0</v>
      </c>
      <c r="Y46" s="24">
        <v>1</v>
      </c>
      <c r="Z46" s="19">
        <f>+IF('Datos delta'!I46&gt;0,REASIGN(0,'Datos Protegidos'!$I46,PARTIDOS!J$11),0)</f>
        <v>0</v>
      </c>
      <c r="AA46" s="24">
        <v>0</v>
      </c>
      <c r="AB46" s="19">
        <f>+IF('Datos delta'!K46&gt;0,REASIGN(0,'Datos Protegidos'!$I46,PARTIDOS!L$11),0)</f>
        <v>0</v>
      </c>
      <c r="AC46" s="24">
        <v>0</v>
      </c>
      <c r="AD46" s="19">
        <f>+IF('Datos delta'!M46&gt;0,REASIGN(0,'Datos Protegidos'!$I46,PARTIDOS!N$11),0)</f>
        <v>0</v>
      </c>
      <c r="AE46" s="24">
        <v>0</v>
      </c>
      <c r="AF46" s="19">
        <f>+IF('Datos delta'!O46&gt;0,REASIGN(0,'Datos Protegidos'!$I46,PARTIDOS!P$11),0)</f>
        <v>0</v>
      </c>
      <c r="AG46" s="24">
        <v>0</v>
      </c>
      <c r="AH46" s="19">
        <f>+IF('Datos delta'!Q46&gt;0,REASIGN(0,'Datos Protegidos'!$I46,PARTIDOS!R$11),0)</f>
        <v>0</v>
      </c>
      <c r="AI46" s="24">
        <v>3</v>
      </c>
      <c r="AJ46" s="19">
        <f>+IF('Datos delta'!S46&gt;0,REASIGN(0,'Datos Protegidos'!$I46,PARTIDOS!T$11),0)</f>
        <v>0</v>
      </c>
      <c r="AK46" s="24">
        <v>1</v>
      </c>
      <c r="AL46" s="19">
        <f>+IF('Datos delta'!U46&gt;0,REASIGN(0,'Datos Protegidos'!$I46,PARTIDOS!V$11),0)</f>
        <v>0</v>
      </c>
      <c r="AM46" s="24">
        <v>0</v>
      </c>
      <c r="AN46" s="19">
        <f>+IF('Datos delta'!W46&gt;0,REASIGN(0,'Datos Protegidos'!$I46,PARTIDOS!X$11),0)</f>
        <v>0</v>
      </c>
      <c r="AO46" s="24">
        <v>0</v>
      </c>
      <c r="AP46" s="19">
        <f>+IF('Datos delta'!Y46&gt;0,REASIGN(0,'Datos Protegidos'!$I46,PARTIDOS!Z$11),0)</f>
        <v>0</v>
      </c>
      <c r="AQ46" s="24">
        <v>0</v>
      </c>
      <c r="AR46" s="19">
        <f>+IF('Datos delta'!AA46&gt;0,REASIGN(0,'Datos Protegidos'!$I46,PARTIDOS!AB$11),0)</f>
        <v>0</v>
      </c>
      <c r="AS46" s="24">
        <v>0</v>
      </c>
      <c r="AT46" s="19">
        <f>+IF('Datos delta'!AC46&gt;0,REASIGN(0,'Datos Protegidos'!$I46,PARTIDOS!AD$11),0)</f>
        <v>0</v>
      </c>
      <c r="AU46" s="24">
        <v>0</v>
      </c>
      <c r="AV46" s="19">
        <f>+IF('Datos delta'!AE46&gt;0,REASIGN(0,'Datos Protegidos'!$I46,PARTIDOS!AF$11),0)</f>
        <v>0</v>
      </c>
      <c r="AW46" s="24">
        <v>0</v>
      </c>
      <c r="AX46" s="19">
        <f>+IF('Datos delta'!AG46&gt;0,REASIGN(0,'Datos Protegidos'!$I46,PARTIDOS!AH$11),0)</f>
        <v>0</v>
      </c>
      <c r="AY46" s="24">
        <v>0</v>
      </c>
      <c r="AZ46" s="19">
        <f>+IF('Datos delta'!AI46&gt;0,REASIGN(0,'Datos Protegidos'!$I46,PARTIDOS!AJ$11),0)</f>
        <v>0</v>
      </c>
      <c r="BA46" s="24">
        <v>0</v>
      </c>
      <c r="BB46" s="19">
        <f>+IF('Datos delta'!AK46&gt;0,REASIGN(0,'Datos Protegidos'!$I46,PARTIDOS!AL$11),0)</f>
        <v>0</v>
      </c>
      <c r="BC46" s="24">
        <v>0</v>
      </c>
      <c r="BD46" s="19">
        <f>+IF('Datos delta'!AM46&gt;0,REASIGN(0,'Datos Protegidos'!$I46,PARTIDOS!AN$11),0)</f>
        <v>0</v>
      </c>
      <c r="BE46" s="24">
        <v>0</v>
      </c>
      <c r="BF46" s="19">
        <f>+IF('Datos delta'!AO46&gt;0,REASIGN(0,'Datos Protegidos'!$I46,PARTIDOS!AP$11),0)</f>
        <v>0</v>
      </c>
      <c r="BG46" s="24">
        <v>0</v>
      </c>
      <c r="BH46" s="19">
        <f>+IF('Datos delta'!AQ46&gt;0,REASIGN(0,'Datos Protegidos'!$I46,PARTIDOS!AR$11),0)</f>
        <v>0</v>
      </c>
      <c r="BI46" s="24">
        <v>0</v>
      </c>
      <c r="BJ46" s="19">
        <f>+IF('Datos delta'!AS46&gt;0,REASIGN(0,'Datos Protegidos'!$I46,PARTIDOS!AT$11),0)</f>
        <v>0</v>
      </c>
      <c r="BK46" s="24">
        <v>0</v>
      </c>
      <c r="BL46" s="19">
        <f>+IF('Datos delta'!AU46&gt;0,REASIGN(0,'Datos Protegidos'!$I46,PARTIDOS!AV$11),0)</f>
        <v>0</v>
      </c>
      <c r="BM46" s="24">
        <v>0</v>
      </c>
      <c r="BN46" s="19">
        <f>+IF('Datos delta'!AW46&gt;0,REASIGN(0,'Datos Protegidos'!$I46,PARTIDOS!AX$11),0)</f>
        <v>0</v>
      </c>
      <c r="BO46" s="24">
        <v>0</v>
      </c>
      <c r="BP46" s="19">
        <f>+IF('Datos delta'!AY46&gt;0,REASIGN(0,'Datos Protegidos'!$I46,PARTIDOS!AZ$11),0)</f>
        <v>0</v>
      </c>
      <c r="BQ46" s="24">
        <v>0</v>
      </c>
      <c r="BR46" s="19">
        <f>+IF('Datos delta'!BA46&gt;0,REASIGN(0,'Datos Protegidos'!$I46,PARTIDOS!BB$11),0)</f>
        <v>0</v>
      </c>
      <c r="BS46" s="24">
        <v>0</v>
      </c>
      <c r="BT46" s="19">
        <f>+IF('Datos delta'!BC46&gt;0,REASIGN(0,'Datos Protegidos'!$I46,PARTIDOS!BD$11),0)</f>
        <v>0</v>
      </c>
      <c r="BU46" s="24">
        <v>0</v>
      </c>
      <c r="BV46" s="19">
        <f>+IF('Datos delta'!BE46&gt;0,REASIGN(0,'Datos Protegidos'!$I46,PARTIDOS!BF$11),0)</f>
        <v>0</v>
      </c>
      <c r="BW46" s="24">
        <v>0</v>
      </c>
      <c r="BX46" s="19">
        <f>+IF('Datos delta'!BG46&gt;0,REASIGN(0,'Datos Protegidos'!$I46,PARTIDOS!BH$11),0)</f>
        <v>0</v>
      </c>
      <c r="BY46" s="24">
        <v>0</v>
      </c>
      <c r="BZ46" s="19">
        <f>+IF('Datos delta'!BI46&gt;0,REASIGN(0,'Datos Protegidos'!$I46,PARTIDOS!BJ$11),0)</f>
        <v>0</v>
      </c>
      <c r="CA46" s="24">
        <v>0</v>
      </c>
      <c r="CB46" s="19">
        <f>+IF('Datos delta'!BK46&gt;0,REASIGN(0,'Datos Protegidos'!$I46,PARTIDOS!BL$11),0)</f>
        <v>0</v>
      </c>
      <c r="CC46" s="24">
        <v>0</v>
      </c>
      <c r="CD46" s="19">
        <f>+IF('Datos delta'!BM46&gt;0,REASIGN(0,'Datos Protegidos'!$I46,PARTIDOS!BN$11),0)</f>
        <v>0</v>
      </c>
      <c r="CE46" s="24">
        <v>0</v>
      </c>
      <c r="CF46" s="19">
        <f>+IF('Datos delta'!BO46&gt;0,REASIGN(0,'Datos Protegidos'!$I46,PARTIDOS!BP$11),0)</f>
        <v>0</v>
      </c>
      <c r="CG46" s="24">
        <v>0</v>
      </c>
      <c r="CH46" s="19">
        <f>+IF('Datos delta'!BQ46&gt;0,REASIGN(0,'Datos Protegidos'!$I46,PARTIDOS!BR$11),0)</f>
        <v>0</v>
      </c>
      <c r="CI46" s="24">
        <v>0</v>
      </c>
      <c r="CJ46" s="19">
        <f>+IF('Datos delta'!BS46&gt;0,REASIGN(0,'Datos Protegidos'!$I46,PARTIDOS!BT$11),0)</f>
        <v>0</v>
      </c>
      <c r="CK46" s="24">
        <v>0</v>
      </c>
      <c r="CL46" s="19">
        <f>+IF('Datos delta'!BU46&gt;0,REASIGN(0,'Datos Protegidos'!$I46,PARTIDOS!BV$11),0)</f>
        <v>0</v>
      </c>
      <c r="CM46" s="24">
        <v>0</v>
      </c>
      <c r="CN46" s="19">
        <f>+IF('Datos delta'!BW46&gt;0,REASIGN(0,'Datos Protegidos'!$I46,PARTIDOS!BX$11),0)</f>
        <v>0</v>
      </c>
      <c r="CO46" s="24">
        <v>0</v>
      </c>
      <c r="CP46" s="19">
        <f>+IF('Datos delta'!BY46&gt;0,REASIGN(0,'Datos Protegidos'!$I46,PARTIDOS!BZ$11),0)</f>
        <v>0</v>
      </c>
      <c r="CQ46" s="24">
        <v>0</v>
      </c>
      <c r="CR46" s="19">
        <f>+IF('Datos delta'!CA46&gt;0,REASIGN(0,'Datos Protegidos'!$I46,PARTIDOS!CB$11),0)</f>
        <v>0</v>
      </c>
      <c r="CS46" s="24">
        <v>0</v>
      </c>
      <c r="CT46" s="19">
        <f>+IF('Datos delta'!CC46&gt;0,REASIGN(0,'Datos Protegidos'!$I46,PARTIDOS!CD$11),0)</f>
        <v>0</v>
      </c>
      <c r="CU46" s="24">
        <v>0</v>
      </c>
      <c r="CV46" s="19">
        <f>+IF('Datos delta'!CE46&gt;0,REASIGN(0,'Datos Protegidos'!$I46,PARTIDOS!CF$11),0)</f>
        <v>0</v>
      </c>
      <c r="CW46" s="24">
        <v>0</v>
      </c>
      <c r="CX46" s="19">
        <f>+IF('Datos delta'!CG46&gt;0,REASIGN(0,'Datos Protegidos'!$I46,PARTIDOS!CH$11),0)</f>
        <v>0</v>
      </c>
      <c r="CY46" s="24">
        <v>0</v>
      </c>
      <c r="CZ46" s="19">
        <f>+IF('Datos delta'!CI46&gt;0,REASIGN(0,'Datos Protegidos'!$I46,PARTIDOS!CJ$11),0)</f>
        <v>0</v>
      </c>
      <c r="DA46" s="24">
        <v>0</v>
      </c>
      <c r="DB46" s="19">
        <f>+IF('Datos delta'!CK46&gt;0,REASIGN(0,'Datos Protegidos'!$I46,PARTIDOS!CL$11),0)</f>
        <v>0</v>
      </c>
      <c r="DC46" s="24">
        <v>0</v>
      </c>
      <c r="DD46" s="19">
        <f>+IF('Datos delta'!CM46&gt;0,REASIGN(0,'Datos Protegidos'!$I46,PARTIDOS!CN$11),0)</f>
        <v>0</v>
      </c>
      <c r="DE46" s="24">
        <v>0</v>
      </c>
      <c r="DF46" s="19">
        <f>+IF('Datos delta'!CO46&gt;0,REASIGN(0,'Datos Protegidos'!$I46,PARTIDOS!CP$11),0)</f>
        <v>0</v>
      </c>
      <c r="DG46" s="24">
        <v>0</v>
      </c>
      <c r="DH46" s="19">
        <f>+IF('Datos delta'!CQ46&gt;0,REASIGN(0,'Datos Protegidos'!$I46,PARTIDOS!CR$11),0)</f>
        <v>0</v>
      </c>
      <c r="DI46" s="24">
        <v>0</v>
      </c>
      <c r="DJ46" s="19">
        <f>+IF('Datos delta'!CS46&gt;0,REASIGN(0,'Datos Protegidos'!$I46,PARTIDOS!CT$11),0)</f>
        <v>0</v>
      </c>
      <c r="DK46" s="24">
        <v>0</v>
      </c>
      <c r="DL46" s="19">
        <f>+IF('Datos delta'!CU46&gt;0,REASIGN(0,'Datos Protegidos'!$I46,PARTIDOS!CV$11),0)</f>
        <v>0</v>
      </c>
      <c r="DM46" s="24">
        <v>0</v>
      </c>
      <c r="DN46" s="19">
        <f>+IF('Datos delta'!CW46&gt;0,REASIGN(0,'Datos Protegidos'!$I46,PARTIDOS!CX$11),0)</f>
        <v>0</v>
      </c>
      <c r="DO46" s="24">
        <v>0</v>
      </c>
      <c r="DP46" s="19">
        <f>+IF('Datos delta'!CY46&gt;0,REASIGN(0,'Datos Protegidos'!$I46,PARTIDOS!CZ$11),0)</f>
        <v>0</v>
      </c>
      <c r="DQ46" s="24">
        <v>0</v>
      </c>
      <c r="DR46" s="19">
        <f>+IF('Datos delta'!DA46&gt;0,REASIGN(0,'Datos Protegidos'!$I46,PARTIDOS!DB$11),0)</f>
        <v>0</v>
      </c>
      <c r="DS46" s="24">
        <v>0</v>
      </c>
      <c r="DT46" s="19">
        <f>+IF('Datos delta'!DC46&gt;0,REASIGN(0,'Datos Protegidos'!$I46,PARTIDOS!DD$11),0)</f>
        <v>0</v>
      </c>
      <c r="DU46" s="24">
        <v>0</v>
      </c>
      <c r="DV46" s="19">
        <f>+IF('Datos delta'!DE46&gt;0,REASIGN(0,'Datos Protegidos'!$I46,PARTIDOS!DF$11),0)</f>
        <v>0</v>
      </c>
      <c r="DW46" s="24">
        <v>0</v>
      </c>
      <c r="DX46" s="19">
        <f>+IF('Datos delta'!DG46&gt;0,REASIGN(0,'Datos Protegidos'!$I46,PARTIDOS!DH$11),0)</f>
        <v>0</v>
      </c>
      <c r="DY46" s="24">
        <v>0</v>
      </c>
      <c r="DZ46" s="19">
        <f>+IF('Datos delta'!DI46&gt;0,REASIGN(0,'Datos Protegidos'!$I46,PARTIDOS!DJ$11),0)</f>
        <v>0</v>
      </c>
      <c r="EA46" s="24">
        <v>0</v>
      </c>
      <c r="EB46" s="19">
        <f>+IF('Datos delta'!DK46&gt;0,REASIGN(0,'Datos Protegidos'!$I46,PARTIDOS!DL$11),0)</f>
        <v>0</v>
      </c>
      <c r="EC46" s="24">
        <v>0</v>
      </c>
      <c r="ED46" s="19">
        <f>+IF('Datos delta'!DM46&gt;0,REASIGN(0,'Datos Protegidos'!$I46,PARTIDOS!DN$11),0)</f>
        <v>0</v>
      </c>
      <c r="EE46" s="24">
        <v>0</v>
      </c>
      <c r="EF46" s="19">
        <f>+IF('Datos delta'!DO46&gt;0,REASIGN(0,'Datos Protegidos'!$I46,PARTIDOS!DP$11),0)</f>
        <v>0</v>
      </c>
      <c r="EG46" s="24">
        <v>0</v>
      </c>
      <c r="EH46" s="19">
        <f>+IF('Datos delta'!DQ46&gt;0,REASIGN(0,'Datos Protegidos'!$I46,PARTIDOS!DR$11),0)</f>
        <v>0</v>
      </c>
      <c r="EI46" s="24">
        <v>0</v>
      </c>
      <c r="EJ46" s="19">
        <f>+IF('Datos delta'!DS46&gt;0,REASIGN(0,'Datos Protegidos'!$I46,PARTIDOS!DT$11),0)</f>
        <v>0</v>
      </c>
      <c r="EK46" s="24">
        <v>0</v>
      </c>
      <c r="EL46" s="19">
        <f>+IF('Datos delta'!DU46&gt;0,REASIGN(0,'Datos Protegidos'!$I46,PARTIDOS!DV$11),0)</f>
        <v>0</v>
      </c>
      <c r="EM46" s="24">
        <v>0</v>
      </c>
      <c r="EN46" s="19">
        <f>+IF('Datos delta'!DW46&gt;0,REASIGN(0,'Datos Protegidos'!$I46,PARTIDOS!DX$11),0)</f>
        <v>0</v>
      </c>
      <c r="EO46" s="24">
        <v>0</v>
      </c>
      <c r="EP46" s="19">
        <f>+IF('Datos delta'!DY46&gt;0,REASIGN(0,'Datos Protegidos'!$I46,PARTIDOS!DZ$11),0)</f>
        <v>0</v>
      </c>
      <c r="EQ46" s="24">
        <v>0</v>
      </c>
      <c r="ER46" s="19">
        <f>+IF('Datos delta'!EA46&gt;0,REASIGN(0,'Datos Protegidos'!$I46,PARTIDOS!EB$11),0)</f>
        <v>0</v>
      </c>
      <c r="ES46" s="24">
        <v>0</v>
      </c>
      <c r="ET46" s="19">
        <f>+IF('Datos delta'!EC46&gt;0,REASIGN(0,'Datos Protegidos'!$I46,PARTIDOS!ED$11),0)</f>
        <v>0</v>
      </c>
      <c r="EU46" s="24">
        <v>0</v>
      </c>
    </row>
    <row r="47" spans="1:151" x14ac:dyDescent="0.25">
      <c r="A47" s="24" t="s">
        <v>74</v>
      </c>
      <c r="B47" s="25">
        <v>30</v>
      </c>
      <c r="C47" s="24" t="s">
        <v>75</v>
      </c>
      <c r="D47" s="24">
        <v>1478509</v>
      </c>
      <c r="E47" s="26">
        <v>1685</v>
      </c>
      <c r="F47" s="26">
        <v>1028443</v>
      </c>
      <c r="G47" s="26">
        <v>33398</v>
      </c>
      <c r="H47" s="26">
        <v>1061841</v>
      </c>
      <c r="I47" s="1">
        <v>3789</v>
      </c>
      <c r="J47" s="19">
        <f>+INT(([1]Hoja1!M47/[1]Hoja1!O47)*M47)</f>
        <v>714927</v>
      </c>
      <c r="K47" s="19">
        <f>+INT(([1]Hoja1!N47/[1]Hoja1!O47)*M47)</f>
        <v>709674</v>
      </c>
      <c r="L47" s="19">
        <f t="shared" si="1"/>
        <v>12671</v>
      </c>
      <c r="M47" s="19">
        <f t="shared" si="2"/>
        <v>5253</v>
      </c>
      <c r="N47" s="22">
        <f t="shared" si="0"/>
        <v>0</v>
      </c>
      <c r="O47" s="26">
        <v>5253</v>
      </c>
      <c r="P47" s="26">
        <v>7418</v>
      </c>
      <c r="Q47" s="22">
        <f t="shared" si="3"/>
        <v>10</v>
      </c>
      <c r="R47" s="19">
        <f>+IF('Datos delta'!A47&gt;0,REASIGN(0,'Datos Protegidos'!$I47,PARTIDOS!B$11),0)</f>
        <v>0</v>
      </c>
      <c r="S47" s="24">
        <v>3</v>
      </c>
      <c r="T47" s="19">
        <f>+IF('Datos delta'!C47&gt;0,REASIGN(0,'Datos Protegidos'!$I47,PARTIDOS!D$11),0)</f>
        <v>0</v>
      </c>
      <c r="U47" s="24">
        <v>3</v>
      </c>
      <c r="V47" s="19">
        <f>+IF('Datos delta'!E47&gt;0,REASIGN(0,'Datos Protegidos'!$I47,PARTIDOS!F$11),0)</f>
        <v>0</v>
      </c>
      <c r="W47" s="24">
        <v>3</v>
      </c>
      <c r="X47" s="19">
        <f>+IF('Datos delta'!G47&gt;0,REASIGN(0,'Datos Protegidos'!$I47,PARTIDOS!H$11),0)</f>
        <v>0</v>
      </c>
      <c r="Y47" s="24">
        <v>1</v>
      </c>
      <c r="Z47" s="19">
        <f>+IF('Datos delta'!I47&gt;0,REASIGN(0,'Datos Protegidos'!$I47,PARTIDOS!J$11),0)</f>
        <v>0</v>
      </c>
      <c r="AA47" s="24">
        <v>0</v>
      </c>
      <c r="AB47" s="19">
        <f>+IF('Datos delta'!K47&gt;0,REASIGN(0,'Datos Protegidos'!$I47,PARTIDOS!L$11),0)</f>
        <v>0</v>
      </c>
      <c r="AC47" s="24">
        <v>0</v>
      </c>
      <c r="AD47" s="19">
        <f>+IF('Datos delta'!M47&gt;0,REASIGN(0,'Datos Protegidos'!$I47,PARTIDOS!N$11),0)</f>
        <v>0</v>
      </c>
      <c r="AE47" s="24">
        <v>0</v>
      </c>
      <c r="AF47" s="19">
        <f>+IF('Datos delta'!O47&gt;0,REASIGN(0,'Datos Protegidos'!$I47,PARTIDOS!P$11),0)</f>
        <v>0</v>
      </c>
      <c r="AG47" s="24">
        <v>0</v>
      </c>
      <c r="AH47" s="19">
        <f>+IF('Datos delta'!Q47&gt;0,REASIGN(0,'Datos Protegidos'!$I47,PARTIDOS!R$11),0)</f>
        <v>0</v>
      </c>
      <c r="AI47" s="24">
        <v>0</v>
      </c>
      <c r="AJ47" s="19">
        <f>+IF('Datos delta'!S47&gt;0,REASIGN(0,'Datos Protegidos'!$I47,PARTIDOS!T$11),0)</f>
        <v>0</v>
      </c>
      <c r="AK47" s="24">
        <v>0</v>
      </c>
      <c r="AL47" s="19">
        <f>+IF('Datos delta'!U47&gt;0,REASIGN(0,'Datos Protegidos'!$I47,PARTIDOS!V$11),0)</f>
        <v>0</v>
      </c>
      <c r="AM47" s="24">
        <v>0</v>
      </c>
      <c r="AN47" s="19">
        <f>+IF('Datos delta'!W47&gt;0,REASIGN(0,'Datos Protegidos'!$I47,PARTIDOS!X$11),0)</f>
        <v>0</v>
      </c>
      <c r="AO47" s="24">
        <v>0</v>
      </c>
      <c r="AP47" s="19">
        <f>+IF('Datos delta'!Y47&gt;0,REASIGN(0,'Datos Protegidos'!$I47,PARTIDOS!Z$11),0)</f>
        <v>0</v>
      </c>
      <c r="AQ47" s="24">
        <v>0</v>
      </c>
      <c r="AR47" s="19">
        <f>+IF('Datos delta'!AA47&gt;0,REASIGN(0,'Datos Protegidos'!$I47,PARTIDOS!AB$11),0)</f>
        <v>0</v>
      </c>
      <c r="AS47" s="24">
        <v>0</v>
      </c>
      <c r="AT47" s="19">
        <f>+IF('Datos delta'!AC47&gt;0,REASIGN(0,'Datos Protegidos'!$I47,PARTIDOS!AD$11),0)</f>
        <v>0</v>
      </c>
      <c r="AU47" s="24">
        <v>0</v>
      </c>
      <c r="AV47" s="19">
        <f>+IF('Datos delta'!AE47&gt;0,REASIGN(0,'Datos Protegidos'!$I47,PARTIDOS!AF$11),0)</f>
        <v>0</v>
      </c>
      <c r="AW47" s="24">
        <v>0</v>
      </c>
      <c r="AX47" s="19">
        <f>+IF('Datos delta'!AG47&gt;0,REASIGN(0,'Datos Protegidos'!$I47,PARTIDOS!AH$11),0)</f>
        <v>0</v>
      </c>
      <c r="AY47" s="24">
        <v>0</v>
      </c>
      <c r="AZ47" s="19">
        <f>+IF('Datos delta'!AI47&gt;0,REASIGN(0,'Datos Protegidos'!$I47,PARTIDOS!AJ$11),0)</f>
        <v>0</v>
      </c>
      <c r="BA47" s="24">
        <v>0</v>
      </c>
      <c r="BB47" s="19">
        <f>+IF('Datos delta'!AK47&gt;0,REASIGN(0,'Datos Protegidos'!$I47,PARTIDOS!AL$11),0)</f>
        <v>0</v>
      </c>
      <c r="BC47" s="24">
        <v>0</v>
      </c>
      <c r="BD47" s="19">
        <f>+IF('Datos delta'!AM47&gt;0,REASIGN(0,'Datos Protegidos'!$I47,PARTIDOS!AN$11),0)</f>
        <v>0</v>
      </c>
      <c r="BE47" s="24">
        <v>0</v>
      </c>
      <c r="BF47" s="19">
        <f>+IF('Datos delta'!AO47&gt;0,REASIGN(0,'Datos Protegidos'!$I47,PARTIDOS!AP$11),0)</f>
        <v>0</v>
      </c>
      <c r="BG47" s="24">
        <v>0</v>
      </c>
      <c r="BH47" s="19">
        <f>+IF('Datos delta'!AQ47&gt;0,REASIGN(0,'Datos Protegidos'!$I47,PARTIDOS!AR$11),0)</f>
        <v>0</v>
      </c>
      <c r="BI47" s="24">
        <v>0</v>
      </c>
      <c r="BJ47" s="19">
        <f>+IF('Datos delta'!AS47&gt;0,REASIGN(0,'Datos Protegidos'!$I47,PARTIDOS!AT$11),0)</f>
        <v>0</v>
      </c>
      <c r="BK47" s="24">
        <v>0</v>
      </c>
      <c r="BL47" s="19">
        <f>+IF('Datos delta'!AU47&gt;0,REASIGN(0,'Datos Protegidos'!$I47,PARTIDOS!AV$11),0)</f>
        <v>0</v>
      </c>
      <c r="BM47" s="24">
        <v>0</v>
      </c>
      <c r="BN47" s="19">
        <f>+IF('Datos delta'!AW47&gt;0,REASIGN(0,'Datos Protegidos'!$I47,PARTIDOS!AX$11),0)</f>
        <v>0</v>
      </c>
      <c r="BO47" s="24">
        <v>0</v>
      </c>
      <c r="BP47" s="19">
        <f>+IF('Datos delta'!AY47&gt;0,REASIGN(0,'Datos Protegidos'!$I47,PARTIDOS!AZ$11),0)</f>
        <v>0</v>
      </c>
      <c r="BQ47" s="24">
        <v>0</v>
      </c>
      <c r="BR47" s="19">
        <f>+IF('Datos delta'!BA47&gt;0,REASIGN(0,'Datos Protegidos'!$I47,PARTIDOS!BB$11),0)</f>
        <v>0</v>
      </c>
      <c r="BS47" s="24">
        <v>0</v>
      </c>
      <c r="BT47" s="19">
        <f>+IF('Datos delta'!BC47&gt;0,REASIGN(0,'Datos Protegidos'!$I47,PARTIDOS!BD$11),0)</f>
        <v>0</v>
      </c>
      <c r="BU47" s="24">
        <v>0</v>
      </c>
      <c r="BV47" s="19">
        <f>+IF('Datos delta'!BE47&gt;0,REASIGN(0,'Datos Protegidos'!$I47,PARTIDOS!BF$11),0)</f>
        <v>0</v>
      </c>
      <c r="BW47" s="24">
        <v>0</v>
      </c>
      <c r="BX47" s="19">
        <f>+IF('Datos delta'!BG47&gt;0,REASIGN(0,'Datos Protegidos'!$I47,PARTIDOS!BH$11),0)</f>
        <v>0</v>
      </c>
      <c r="BY47" s="24">
        <v>0</v>
      </c>
      <c r="BZ47" s="19">
        <f>+IF('Datos delta'!BI47&gt;0,REASIGN(0,'Datos Protegidos'!$I47,PARTIDOS!BJ$11),0)</f>
        <v>0</v>
      </c>
      <c r="CA47" s="24">
        <v>0</v>
      </c>
      <c r="CB47" s="19">
        <f>+IF('Datos delta'!BK47&gt;0,REASIGN(0,'Datos Protegidos'!$I47,PARTIDOS!BL$11),0)</f>
        <v>0</v>
      </c>
      <c r="CC47" s="24">
        <v>0</v>
      </c>
      <c r="CD47" s="19">
        <f>+IF('Datos delta'!BM47&gt;0,REASIGN(0,'Datos Protegidos'!$I47,PARTIDOS!BN$11),0)</f>
        <v>0</v>
      </c>
      <c r="CE47" s="24">
        <v>0</v>
      </c>
      <c r="CF47" s="19">
        <f>+IF('Datos delta'!BO47&gt;0,REASIGN(0,'Datos Protegidos'!$I47,PARTIDOS!BP$11),0)</f>
        <v>0</v>
      </c>
      <c r="CG47" s="24">
        <v>0</v>
      </c>
      <c r="CH47" s="19">
        <f>+IF('Datos delta'!BQ47&gt;0,REASIGN(0,'Datos Protegidos'!$I47,PARTIDOS!BR$11),0)</f>
        <v>0</v>
      </c>
      <c r="CI47" s="24">
        <v>0</v>
      </c>
      <c r="CJ47" s="19">
        <f>+IF('Datos delta'!BS47&gt;0,REASIGN(0,'Datos Protegidos'!$I47,PARTIDOS!BT$11),0)</f>
        <v>0</v>
      </c>
      <c r="CK47" s="24">
        <v>0</v>
      </c>
      <c r="CL47" s="19">
        <f>+IF('Datos delta'!BU47&gt;0,REASIGN(0,'Datos Protegidos'!$I47,PARTIDOS!BV$11),0)</f>
        <v>0</v>
      </c>
      <c r="CM47" s="24">
        <v>0</v>
      </c>
      <c r="CN47" s="19">
        <f>+IF('Datos delta'!BW47&gt;0,REASIGN(0,'Datos Protegidos'!$I47,PARTIDOS!BX$11),0)</f>
        <v>0</v>
      </c>
      <c r="CO47" s="24">
        <v>0</v>
      </c>
      <c r="CP47" s="19">
        <f>+IF('Datos delta'!BY47&gt;0,REASIGN(0,'Datos Protegidos'!$I47,PARTIDOS!BZ$11),0)</f>
        <v>0</v>
      </c>
      <c r="CQ47" s="24">
        <v>0</v>
      </c>
      <c r="CR47" s="19">
        <f>+IF('Datos delta'!CA47&gt;0,REASIGN(0,'Datos Protegidos'!$I47,PARTIDOS!CB$11),0)</f>
        <v>0</v>
      </c>
      <c r="CS47" s="24">
        <v>0</v>
      </c>
      <c r="CT47" s="19">
        <f>+IF('Datos delta'!CC47&gt;0,REASIGN(0,'Datos Protegidos'!$I47,PARTIDOS!CD$11),0)</f>
        <v>0</v>
      </c>
      <c r="CU47" s="24">
        <v>0</v>
      </c>
      <c r="CV47" s="19">
        <f>+IF('Datos delta'!CE47&gt;0,REASIGN(0,'Datos Protegidos'!$I47,PARTIDOS!CF$11),0)</f>
        <v>0</v>
      </c>
      <c r="CW47" s="24">
        <v>0</v>
      </c>
      <c r="CX47" s="19">
        <f>+IF('Datos delta'!CG47&gt;0,REASIGN(0,'Datos Protegidos'!$I47,PARTIDOS!CH$11),0)</f>
        <v>0</v>
      </c>
      <c r="CY47" s="24">
        <v>0</v>
      </c>
      <c r="CZ47" s="19">
        <f>+IF('Datos delta'!CI47&gt;0,REASIGN(0,'Datos Protegidos'!$I47,PARTIDOS!CJ$11),0)</f>
        <v>0</v>
      </c>
      <c r="DA47" s="24">
        <v>0</v>
      </c>
      <c r="DB47" s="19">
        <f>+IF('Datos delta'!CK47&gt;0,REASIGN(0,'Datos Protegidos'!$I47,PARTIDOS!CL$11),0)</f>
        <v>0</v>
      </c>
      <c r="DC47" s="24">
        <v>0</v>
      </c>
      <c r="DD47" s="19">
        <f>+IF('Datos delta'!CM47&gt;0,REASIGN(0,'Datos Protegidos'!$I47,PARTIDOS!CN$11),0)</f>
        <v>0</v>
      </c>
      <c r="DE47" s="24">
        <v>0</v>
      </c>
      <c r="DF47" s="19">
        <f>+IF('Datos delta'!CO47&gt;0,REASIGN(0,'Datos Protegidos'!$I47,PARTIDOS!CP$11),0)</f>
        <v>0</v>
      </c>
      <c r="DG47" s="24">
        <v>0</v>
      </c>
      <c r="DH47" s="19">
        <f>+IF('Datos delta'!CQ47&gt;0,REASIGN(0,'Datos Protegidos'!$I47,PARTIDOS!CR$11),0)</f>
        <v>0</v>
      </c>
      <c r="DI47" s="24">
        <v>0</v>
      </c>
      <c r="DJ47" s="19">
        <f>+IF('Datos delta'!CS47&gt;0,REASIGN(0,'Datos Protegidos'!$I47,PARTIDOS!CT$11),0)</f>
        <v>0</v>
      </c>
      <c r="DK47" s="24">
        <v>0</v>
      </c>
      <c r="DL47" s="19">
        <f>+IF('Datos delta'!CU47&gt;0,REASIGN(0,'Datos Protegidos'!$I47,PARTIDOS!CV$11),0)</f>
        <v>0</v>
      </c>
      <c r="DM47" s="24">
        <v>0</v>
      </c>
      <c r="DN47" s="19">
        <f>+IF('Datos delta'!CW47&gt;0,REASIGN(0,'Datos Protegidos'!$I47,PARTIDOS!CX$11),0)</f>
        <v>0</v>
      </c>
      <c r="DO47" s="24">
        <v>0</v>
      </c>
      <c r="DP47" s="19">
        <f>+IF('Datos delta'!CY47&gt;0,REASIGN(0,'Datos Protegidos'!$I47,PARTIDOS!CZ$11),0)</f>
        <v>0</v>
      </c>
      <c r="DQ47" s="24">
        <v>0</v>
      </c>
      <c r="DR47" s="19">
        <f>+IF('Datos delta'!DA47&gt;0,REASIGN(0,'Datos Protegidos'!$I47,PARTIDOS!DB$11),0)</f>
        <v>0</v>
      </c>
      <c r="DS47" s="24">
        <v>0</v>
      </c>
      <c r="DT47" s="19">
        <f>+IF('Datos delta'!DC47&gt;0,REASIGN(0,'Datos Protegidos'!$I47,PARTIDOS!DD$11),0)</f>
        <v>0</v>
      </c>
      <c r="DU47" s="24">
        <v>0</v>
      </c>
      <c r="DV47" s="19">
        <f>+IF('Datos delta'!DE47&gt;0,REASIGN(0,'Datos Protegidos'!$I47,PARTIDOS!DF$11),0)</f>
        <v>0</v>
      </c>
      <c r="DW47" s="24">
        <v>0</v>
      </c>
      <c r="DX47" s="19">
        <f>+IF('Datos delta'!DG47&gt;0,REASIGN(0,'Datos Protegidos'!$I47,PARTIDOS!DH$11),0)</f>
        <v>0</v>
      </c>
      <c r="DY47" s="24">
        <v>0</v>
      </c>
      <c r="DZ47" s="19">
        <f>+IF('Datos delta'!DI47&gt;0,REASIGN(0,'Datos Protegidos'!$I47,PARTIDOS!DJ$11),0)</f>
        <v>0</v>
      </c>
      <c r="EA47" s="24">
        <v>0</v>
      </c>
      <c r="EB47" s="19">
        <f>+IF('Datos delta'!DK47&gt;0,REASIGN(0,'Datos Protegidos'!$I47,PARTIDOS!DL$11),0)</f>
        <v>0</v>
      </c>
      <c r="EC47" s="24">
        <v>0</v>
      </c>
      <c r="ED47" s="19">
        <f>+IF('Datos delta'!DM47&gt;0,REASIGN(0,'Datos Protegidos'!$I47,PARTIDOS!DN$11),0)</f>
        <v>0</v>
      </c>
      <c r="EE47" s="24">
        <v>0</v>
      </c>
      <c r="EF47" s="19">
        <f>+IF('Datos delta'!DO47&gt;0,REASIGN(0,'Datos Protegidos'!$I47,PARTIDOS!DP$11),0)</f>
        <v>0</v>
      </c>
      <c r="EG47" s="24">
        <v>0</v>
      </c>
      <c r="EH47" s="19">
        <f>+IF('Datos delta'!DQ47&gt;0,REASIGN(0,'Datos Protegidos'!$I47,PARTIDOS!DR$11),0)</f>
        <v>0</v>
      </c>
      <c r="EI47" s="24">
        <v>0</v>
      </c>
      <c r="EJ47" s="19">
        <f>+IF('Datos delta'!DS47&gt;0,REASIGN(0,'Datos Protegidos'!$I47,PARTIDOS!DT$11),0)</f>
        <v>0</v>
      </c>
      <c r="EK47" s="24">
        <v>0</v>
      </c>
      <c r="EL47" s="19">
        <f>+IF('Datos delta'!DU47&gt;0,REASIGN(0,'Datos Protegidos'!$I47,PARTIDOS!DV$11),0)</f>
        <v>0</v>
      </c>
      <c r="EM47" s="24">
        <v>0</v>
      </c>
      <c r="EN47" s="19">
        <f>+IF('Datos delta'!DW47&gt;0,REASIGN(0,'Datos Protegidos'!$I47,PARTIDOS!DX$11),0)</f>
        <v>0</v>
      </c>
      <c r="EO47" s="24">
        <v>0</v>
      </c>
      <c r="EP47" s="19">
        <f>+IF('Datos delta'!DY47&gt;0,REASIGN(0,'Datos Protegidos'!$I47,PARTIDOS!DZ$11),0)</f>
        <v>0</v>
      </c>
      <c r="EQ47" s="24">
        <v>0</v>
      </c>
      <c r="ER47" s="19">
        <f>+IF('Datos delta'!EA47&gt;0,REASIGN(0,'Datos Protegidos'!$I47,PARTIDOS!EB$11),0)</f>
        <v>0</v>
      </c>
      <c r="ES47" s="24">
        <v>0</v>
      </c>
      <c r="ET47" s="19">
        <f>+IF('Datos delta'!EC47&gt;0,REASIGN(0,'Datos Protegidos'!$I47,PARTIDOS!ED$11),0)</f>
        <v>0</v>
      </c>
      <c r="EU47" s="24">
        <v>0</v>
      </c>
    </row>
    <row r="48" spans="1:151" x14ac:dyDescent="0.25">
      <c r="A48" s="24" t="s">
        <v>76</v>
      </c>
      <c r="B48" s="25">
        <v>26</v>
      </c>
      <c r="C48" s="24" t="s">
        <v>76</v>
      </c>
      <c r="D48" s="24">
        <v>315675</v>
      </c>
      <c r="E48" s="26">
        <v>497</v>
      </c>
      <c r="F48" s="26">
        <v>233732</v>
      </c>
      <c r="G48" s="26">
        <v>16481</v>
      </c>
      <c r="H48" s="26">
        <v>250213</v>
      </c>
      <c r="I48" s="1">
        <v>1502</v>
      </c>
      <c r="J48" s="19">
        <f>+INT(([1]Hoja1!M48/[1]Hoja1!O48)*M48)</f>
        <v>164934</v>
      </c>
      <c r="K48" s="19">
        <f>+INT(([1]Hoja1!N48/[1]Hoja1!O48)*M48)</f>
        <v>163177</v>
      </c>
      <c r="L48" s="19">
        <f t="shared" si="1"/>
        <v>4372</v>
      </c>
      <c r="M48" s="19">
        <f t="shared" si="2"/>
        <v>1757</v>
      </c>
      <c r="N48" s="22">
        <f t="shared" si="0"/>
        <v>0</v>
      </c>
      <c r="O48" s="26">
        <v>1757</v>
      </c>
      <c r="P48" s="26">
        <v>2615</v>
      </c>
      <c r="Q48" s="22">
        <f t="shared" si="3"/>
        <v>4</v>
      </c>
      <c r="R48" s="19">
        <f>+IF('Datos delta'!A48&gt;0,REASIGN(0,'Datos Protegidos'!$I48,PARTIDOS!B$11),0)</f>
        <v>0</v>
      </c>
      <c r="S48" s="24">
        <v>2</v>
      </c>
      <c r="T48" s="19">
        <f>+IF('Datos delta'!C48&gt;0,REASIGN(0,'Datos Protegidos'!$I48,PARTIDOS!D$11),0)</f>
        <v>0</v>
      </c>
      <c r="U48" s="24">
        <v>2</v>
      </c>
      <c r="V48" s="19">
        <f>+IF('Datos delta'!E48&gt;0,REASIGN(0,'Datos Protegidos'!$I48,PARTIDOS!F$11),0)</f>
        <v>0</v>
      </c>
      <c r="W48" s="24">
        <v>0</v>
      </c>
      <c r="X48" s="19">
        <f>+IF('Datos delta'!G48&gt;0,REASIGN(0,'Datos Protegidos'!$I48,PARTIDOS!H$11),0)</f>
        <v>0</v>
      </c>
      <c r="Y48" s="24">
        <v>0</v>
      </c>
      <c r="Z48" s="19">
        <f>+IF('Datos delta'!I48&gt;0,REASIGN(0,'Datos Protegidos'!$I48,PARTIDOS!J$11),0)</f>
        <v>0</v>
      </c>
      <c r="AA48" s="24">
        <v>0</v>
      </c>
      <c r="AB48" s="19">
        <f>+IF('Datos delta'!K48&gt;0,REASIGN(0,'Datos Protegidos'!$I48,PARTIDOS!L$11),0)</f>
        <v>0</v>
      </c>
      <c r="AC48" s="24">
        <v>0</v>
      </c>
      <c r="AD48" s="19">
        <f>+IF('Datos delta'!M48&gt;0,REASIGN(0,'Datos Protegidos'!$I48,PARTIDOS!N$11),0)</f>
        <v>0</v>
      </c>
      <c r="AE48" s="24">
        <v>0</v>
      </c>
      <c r="AF48" s="19">
        <f>+IF('Datos delta'!O48&gt;0,REASIGN(0,'Datos Protegidos'!$I48,PARTIDOS!P$11),0)</f>
        <v>0</v>
      </c>
      <c r="AG48" s="24">
        <v>0</v>
      </c>
      <c r="AH48" s="19">
        <f>+IF('Datos delta'!Q48&gt;0,REASIGN(0,'Datos Protegidos'!$I48,PARTIDOS!R$11),0)</f>
        <v>0</v>
      </c>
      <c r="AI48" s="24">
        <v>0</v>
      </c>
      <c r="AJ48" s="19">
        <f>+IF('Datos delta'!S48&gt;0,REASIGN(0,'Datos Protegidos'!$I48,PARTIDOS!T$11),0)</f>
        <v>0</v>
      </c>
      <c r="AK48" s="24">
        <v>0</v>
      </c>
      <c r="AL48" s="19">
        <f>+IF('Datos delta'!U48&gt;0,REASIGN(0,'Datos Protegidos'!$I48,PARTIDOS!V$11),0)</f>
        <v>0</v>
      </c>
      <c r="AM48" s="24">
        <v>0</v>
      </c>
      <c r="AN48" s="19">
        <f>+IF('Datos delta'!W48&gt;0,REASIGN(0,'Datos Protegidos'!$I48,PARTIDOS!X$11),0)</f>
        <v>0</v>
      </c>
      <c r="AO48" s="24">
        <v>0</v>
      </c>
      <c r="AP48" s="19">
        <f>+IF('Datos delta'!Y48&gt;0,REASIGN(0,'Datos Protegidos'!$I48,PARTIDOS!Z$11),0)</f>
        <v>0</v>
      </c>
      <c r="AQ48" s="24">
        <v>0</v>
      </c>
      <c r="AR48" s="19">
        <f>+IF('Datos delta'!AA48&gt;0,REASIGN(0,'Datos Protegidos'!$I48,PARTIDOS!AB$11),0)</f>
        <v>0</v>
      </c>
      <c r="AS48" s="24">
        <v>0</v>
      </c>
      <c r="AT48" s="19">
        <f>+IF('Datos delta'!AC48&gt;0,REASIGN(0,'Datos Protegidos'!$I48,PARTIDOS!AD$11),0)</f>
        <v>0</v>
      </c>
      <c r="AU48" s="24">
        <v>0</v>
      </c>
      <c r="AV48" s="19">
        <f>+IF('Datos delta'!AE48&gt;0,REASIGN(0,'Datos Protegidos'!$I48,PARTIDOS!AF$11),0)</f>
        <v>0</v>
      </c>
      <c r="AW48" s="24">
        <v>0</v>
      </c>
      <c r="AX48" s="19">
        <f>+IF('Datos delta'!AG48&gt;0,REASIGN(0,'Datos Protegidos'!$I48,PARTIDOS!AH$11),0)</f>
        <v>0</v>
      </c>
      <c r="AY48" s="24">
        <v>0</v>
      </c>
      <c r="AZ48" s="19">
        <f>+IF('Datos delta'!AI48&gt;0,REASIGN(0,'Datos Protegidos'!$I48,PARTIDOS!AJ$11),0)</f>
        <v>0</v>
      </c>
      <c r="BA48" s="24">
        <v>0</v>
      </c>
      <c r="BB48" s="19">
        <f>+IF('Datos delta'!AK48&gt;0,REASIGN(0,'Datos Protegidos'!$I48,PARTIDOS!AL$11),0)</f>
        <v>0</v>
      </c>
      <c r="BC48" s="24">
        <v>0</v>
      </c>
      <c r="BD48" s="19">
        <f>+IF('Datos delta'!AM48&gt;0,REASIGN(0,'Datos Protegidos'!$I48,PARTIDOS!AN$11),0)</f>
        <v>0</v>
      </c>
      <c r="BE48" s="24">
        <v>0</v>
      </c>
      <c r="BF48" s="19">
        <f>+IF('Datos delta'!AO48&gt;0,REASIGN(0,'Datos Protegidos'!$I48,PARTIDOS!AP$11),0)</f>
        <v>0</v>
      </c>
      <c r="BG48" s="24">
        <v>0</v>
      </c>
      <c r="BH48" s="19">
        <f>+IF('Datos delta'!AQ48&gt;0,REASIGN(0,'Datos Protegidos'!$I48,PARTIDOS!AR$11),0)</f>
        <v>0</v>
      </c>
      <c r="BI48" s="24">
        <v>0</v>
      </c>
      <c r="BJ48" s="19">
        <f>+IF('Datos delta'!AS48&gt;0,REASIGN(0,'Datos Protegidos'!$I48,PARTIDOS!AT$11),0)</f>
        <v>0</v>
      </c>
      <c r="BK48" s="24">
        <v>0</v>
      </c>
      <c r="BL48" s="19">
        <f>+IF('Datos delta'!AU48&gt;0,REASIGN(0,'Datos Protegidos'!$I48,PARTIDOS!AV$11),0)</f>
        <v>0</v>
      </c>
      <c r="BM48" s="24">
        <v>0</v>
      </c>
      <c r="BN48" s="19">
        <f>+IF('Datos delta'!AW48&gt;0,REASIGN(0,'Datos Protegidos'!$I48,PARTIDOS!AX$11),0)</f>
        <v>0</v>
      </c>
      <c r="BO48" s="24">
        <v>0</v>
      </c>
      <c r="BP48" s="19">
        <f>+IF('Datos delta'!AY48&gt;0,REASIGN(0,'Datos Protegidos'!$I48,PARTIDOS!AZ$11),0)</f>
        <v>0</v>
      </c>
      <c r="BQ48" s="24">
        <v>0</v>
      </c>
      <c r="BR48" s="19">
        <f>+IF('Datos delta'!BA48&gt;0,REASIGN(0,'Datos Protegidos'!$I48,PARTIDOS!BB$11),0)</f>
        <v>0</v>
      </c>
      <c r="BS48" s="24">
        <v>0</v>
      </c>
      <c r="BT48" s="19">
        <f>+IF('Datos delta'!BC48&gt;0,REASIGN(0,'Datos Protegidos'!$I48,PARTIDOS!BD$11),0)</f>
        <v>0</v>
      </c>
      <c r="BU48" s="24">
        <v>0</v>
      </c>
      <c r="BV48" s="19">
        <f>+IF('Datos delta'!BE48&gt;0,REASIGN(0,'Datos Protegidos'!$I48,PARTIDOS!BF$11),0)</f>
        <v>0</v>
      </c>
      <c r="BW48" s="24">
        <v>0</v>
      </c>
      <c r="BX48" s="19">
        <f>+IF('Datos delta'!BG48&gt;0,REASIGN(0,'Datos Protegidos'!$I48,PARTIDOS!BH$11),0)</f>
        <v>0</v>
      </c>
      <c r="BY48" s="24">
        <v>0</v>
      </c>
      <c r="BZ48" s="19">
        <f>+IF('Datos delta'!BI48&gt;0,REASIGN(0,'Datos Protegidos'!$I48,PARTIDOS!BJ$11),0)</f>
        <v>0</v>
      </c>
      <c r="CA48" s="24">
        <v>0</v>
      </c>
      <c r="CB48" s="19">
        <f>+IF('Datos delta'!BK48&gt;0,REASIGN(0,'Datos Protegidos'!$I48,PARTIDOS!BL$11),0)</f>
        <v>0</v>
      </c>
      <c r="CC48" s="24">
        <v>0</v>
      </c>
      <c r="CD48" s="19">
        <f>+IF('Datos delta'!BM48&gt;0,REASIGN(0,'Datos Protegidos'!$I48,PARTIDOS!BN$11),0)</f>
        <v>0</v>
      </c>
      <c r="CE48" s="24">
        <v>0</v>
      </c>
      <c r="CF48" s="19">
        <f>+IF('Datos delta'!BO48&gt;0,REASIGN(0,'Datos Protegidos'!$I48,PARTIDOS!BP$11),0)</f>
        <v>0</v>
      </c>
      <c r="CG48" s="24">
        <v>0</v>
      </c>
      <c r="CH48" s="19">
        <f>+IF('Datos delta'!BQ48&gt;0,REASIGN(0,'Datos Protegidos'!$I48,PARTIDOS!BR$11),0)</f>
        <v>0</v>
      </c>
      <c r="CI48" s="24">
        <v>0</v>
      </c>
      <c r="CJ48" s="19">
        <f>+IF('Datos delta'!BS48&gt;0,REASIGN(0,'Datos Protegidos'!$I48,PARTIDOS!BT$11),0)</f>
        <v>0</v>
      </c>
      <c r="CK48" s="24">
        <v>0</v>
      </c>
      <c r="CL48" s="19">
        <f>+IF('Datos delta'!BU48&gt;0,REASIGN(0,'Datos Protegidos'!$I48,PARTIDOS!BV$11),0)</f>
        <v>0</v>
      </c>
      <c r="CM48" s="24">
        <v>0</v>
      </c>
      <c r="CN48" s="19">
        <f>+IF('Datos delta'!BW48&gt;0,REASIGN(0,'Datos Protegidos'!$I48,PARTIDOS!BX$11),0)</f>
        <v>0</v>
      </c>
      <c r="CO48" s="24">
        <v>0</v>
      </c>
      <c r="CP48" s="19">
        <f>+IF('Datos delta'!BY48&gt;0,REASIGN(0,'Datos Protegidos'!$I48,PARTIDOS!BZ$11),0)</f>
        <v>0</v>
      </c>
      <c r="CQ48" s="24">
        <v>0</v>
      </c>
      <c r="CR48" s="19">
        <f>+IF('Datos delta'!CA48&gt;0,REASIGN(0,'Datos Protegidos'!$I48,PARTIDOS!CB$11),0)</f>
        <v>0</v>
      </c>
      <c r="CS48" s="24">
        <v>0</v>
      </c>
      <c r="CT48" s="19">
        <f>+IF('Datos delta'!CC48&gt;0,REASIGN(0,'Datos Protegidos'!$I48,PARTIDOS!CD$11),0)</f>
        <v>0</v>
      </c>
      <c r="CU48" s="24">
        <v>0</v>
      </c>
      <c r="CV48" s="19">
        <f>+IF('Datos delta'!CE48&gt;0,REASIGN(0,'Datos Protegidos'!$I48,PARTIDOS!CF$11),0)</f>
        <v>0</v>
      </c>
      <c r="CW48" s="24">
        <v>0</v>
      </c>
      <c r="CX48" s="19">
        <f>+IF('Datos delta'!CG48&gt;0,REASIGN(0,'Datos Protegidos'!$I48,PARTIDOS!CH$11),0)</f>
        <v>0</v>
      </c>
      <c r="CY48" s="24">
        <v>0</v>
      </c>
      <c r="CZ48" s="19">
        <f>+IF('Datos delta'!CI48&gt;0,REASIGN(0,'Datos Protegidos'!$I48,PARTIDOS!CJ$11),0)</f>
        <v>0</v>
      </c>
      <c r="DA48" s="24">
        <v>0</v>
      </c>
      <c r="DB48" s="19">
        <f>+IF('Datos delta'!CK48&gt;0,REASIGN(0,'Datos Protegidos'!$I48,PARTIDOS!CL$11),0)</f>
        <v>0</v>
      </c>
      <c r="DC48" s="24">
        <v>0</v>
      </c>
      <c r="DD48" s="19">
        <f>+IF('Datos delta'!CM48&gt;0,REASIGN(0,'Datos Protegidos'!$I48,PARTIDOS!CN$11),0)</f>
        <v>0</v>
      </c>
      <c r="DE48" s="24">
        <v>0</v>
      </c>
      <c r="DF48" s="19">
        <f>+IF('Datos delta'!CO48&gt;0,REASIGN(0,'Datos Protegidos'!$I48,PARTIDOS!CP$11),0)</f>
        <v>0</v>
      </c>
      <c r="DG48" s="24">
        <v>0</v>
      </c>
      <c r="DH48" s="19">
        <f>+IF('Datos delta'!CQ48&gt;0,REASIGN(0,'Datos Protegidos'!$I48,PARTIDOS!CR$11),0)</f>
        <v>0</v>
      </c>
      <c r="DI48" s="24">
        <v>0</v>
      </c>
      <c r="DJ48" s="19">
        <f>+IF('Datos delta'!CS48&gt;0,REASIGN(0,'Datos Protegidos'!$I48,PARTIDOS!CT$11),0)</f>
        <v>0</v>
      </c>
      <c r="DK48" s="24">
        <v>0</v>
      </c>
      <c r="DL48" s="19">
        <f>+IF('Datos delta'!CU48&gt;0,REASIGN(0,'Datos Protegidos'!$I48,PARTIDOS!CV$11),0)</f>
        <v>0</v>
      </c>
      <c r="DM48" s="24">
        <v>0</v>
      </c>
      <c r="DN48" s="19">
        <f>+IF('Datos delta'!CW48&gt;0,REASIGN(0,'Datos Protegidos'!$I48,PARTIDOS!CX$11),0)</f>
        <v>0</v>
      </c>
      <c r="DO48" s="24">
        <v>0</v>
      </c>
      <c r="DP48" s="19">
        <f>+IF('Datos delta'!CY48&gt;0,REASIGN(0,'Datos Protegidos'!$I48,PARTIDOS!CZ$11),0)</f>
        <v>0</v>
      </c>
      <c r="DQ48" s="24">
        <v>0</v>
      </c>
      <c r="DR48" s="19">
        <f>+IF('Datos delta'!DA48&gt;0,REASIGN(0,'Datos Protegidos'!$I48,PARTIDOS!DB$11),0)</f>
        <v>0</v>
      </c>
      <c r="DS48" s="24">
        <v>0</v>
      </c>
      <c r="DT48" s="19">
        <f>+IF('Datos delta'!DC48&gt;0,REASIGN(0,'Datos Protegidos'!$I48,PARTIDOS!DD$11),0)</f>
        <v>0</v>
      </c>
      <c r="DU48" s="24">
        <v>0</v>
      </c>
      <c r="DV48" s="19">
        <f>+IF('Datos delta'!DE48&gt;0,REASIGN(0,'Datos Protegidos'!$I48,PARTIDOS!DF$11),0)</f>
        <v>0</v>
      </c>
      <c r="DW48" s="24">
        <v>0</v>
      </c>
      <c r="DX48" s="19">
        <f>+IF('Datos delta'!DG48&gt;0,REASIGN(0,'Datos Protegidos'!$I48,PARTIDOS!DH$11),0)</f>
        <v>0</v>
      </c>
      <c r="DY48" s="24">
        <v>0</v>
      </c>
      <c r="DZ48" s="19">
        <f>+IF('Datos delta'!DI48&gt;0,REASIGN(0,'Datos Protegidos'!$I48,PARTIDOS!DJ$11),0)</f>
        <v>0</v>
      </c>
      <c r="EA48" s="24">
        <v>0</v>
      </c>
      <c r="EB48" s="19">
        <f>+IF('Datos delta'!DK48&gt;0,REASIGN(0,'Datos Protegidos'!$I48,PARTIDOS!DL$11),0)</f>
        <v>0</v>
      </c>
      <c r="EC48" s="24">
        <v>0</v>
      </c>
      <c r="ED48" s="19">
        <f>+IF('Datos delta'!DM48&gt;0,REASIGN(0,'Datos Protegidos'!$I48,PARTIDOS!DN$11),0)</f>
        <v>0</v>
      </c>
      <c r="EE48" s="24">
        <v>0</v>
      </c>
      <c r="EF48" s="19">
        <f>+IF('Datos delta'!DO48&gt;0,REASIGN(0,'Datos Protegidos'!$I48,PARTIDOS!DP$11),0)</f>
        <v>0</v>
      </c>
      <c r="EG48" s="24">
        <v>0</v>
      </c>
      <c r="EH48" s="19">
        <f>+IF('Datos delta'!DQ48&gt;0,REASIGN(0,'Datos Protegidos'!$I48,PARTIDOS!DR$11),0)</f>
        <v>0</v>
      </c>
      <c r="EI48" s="24">
        <v>0</v>
      </c>
      <c r="EJ48" s="19">
        <f>+IF('Datos delta'!DS48&gt;0,REASIGN(0,'Datos Protegidos'!$I48,PARTIDOS!DT$11),0)</f>
        <v>0</v>
      </c>
      <c r="EK48" s="24">
        <v>0</v>
      </c>
      <c r="EL48" s="19">
        <f>+IF('Datos delta'!DU48&gt;0,REASIGN(0,'Datos Protegidos'!$I48,PARTIDOS!DV$11),0)</f>
        <v>0</v>
      </c>
      <c r="EM48" s="24">
        <v>0</v>
      </c>
      <c r="EN48" s="19">
        <f>+IF('Datos delta'!DW48&gt;0,REASIGN(0,'Datos Protegidos'!$I48,PARTIDOS!DX$11),0)</f>
        <v>0</v>
      </c>
      <c r="EO48" s="24">
        <v>0</v>
      </c>
      <c r="EP48" s="19">
        <f>+IF('Datos delta'!DY48&gt;0,REASIGN(0,'Datos Protegidos'!$I48,PARTIDOS!DZ$11),0)</f>
        <v>0</v>
      </c>
      <c r="EQ48" s="24">
        <v>0</v>
      </c>
      <c r="ER48" s="19">
        <f>+IF('Datos delta'!EA48&gt;0,REASIGN(0,'Datos Protegidos'!$I48,PARTIDOS!EB$11),0)</f>
        <v>0</v>
      </c>
      <c r="ES48" s="24">
        <v>0</v>
      </c>
      <c r="ET48" s="19">
        <f>+IF('Datos delta'!EC48&gt;0,REASIGN(0,'Datos Protegidos'!$I48,PARTIDOS!ED$11),0)</f>
        <v>0</v>
      </c>
      <c r="EU48" s="24">
        <v>0</v>
      </c>
    </row>
    <row r="49" spans="1:151" x14ac:dyDescent="0.25">
      <c r="A49" s="24" t="s">
        <v>77</v>
      </c>
      <c r="B49" s="25">
        <v>3</v>
      </c>
      <c r="C49" s="24" t="s">
        <v>78</v>
      </c>
      <c r="D49" s="24">
        <v>1838819</v>
      </c>
      <c r="E49" s="26">
        <v>2221</v>
      </c>
      <c r="F49" s="26">
        <v>1237462</v>
      </c>
      <c r="G49" s="26">
        <v>39229</v>
      </c>
      <c r="H49" s="26">
        <v>1276691</v>
      </c>
      <c r="I49" s="1">
        <v>4950</v>
      </c>
      <c r="J49" s="19">
        <f>+INT(([1]Hoja1!M49/[1]Hoja1!O49)*M49)</f>
        <v>851716</v>
      </c>
      <c r="K49" s="19">
        <f>+INT(([1]Hoja1!N49/[1]Hoja1!O49)*M49)</f>
        <v>844938</v>
      </c>
      <c r="L49" s="19">
        <f t="shared" si="1"/>
        <v>15112</v>
      </c>
      <c r="M49" s="19">
        <f t="shared" si="2"/>
        <v>6778</v>
      </c>
      <c r="N49" s="22">
        <f t="shared" si="0"/>
        <v>0</v>
      </c>
      <c r="O49" s="26">
        <v>6778</v>
      </c>
      <c r="P49" s="26">
        <v>8334</v>
      </c>
      <c r="Q49" s="22">
        <f t="shared" si="3"/>
        <v>12</v>
      </c>
      <c r="R49" s="19">
        <f>+IF('Datos delta'!A49&gt;0,REASIGN(0,'Datos Protegidos'!$I49,PARTIDOS!B$11),0)</f>
        <v>0</v>
      </c>
      <c r="S49" s="24">
        <v>4</v>
      </c>
      <c r="T49" s="19">
        <f>+IF('Datos delta'!C49&gt;0,REASIGN(0,'Datos Protegidos'!$I49,PARTIDOS!D$11),0)</f>
        <v>0</v>
      </c>
      <c r="U49" s="24">
        <v>3</v>
      </c>
      <c r="V49" s="19">
        <f>+IF('Datos delta'!E49&gt;0,REASIGN(0,'Datos Protegidos'!$I49,PARTIDOS!F$11),0)</f>
        <v>0</v>
      </c>
      <c r="W49" s="24">
        <v>3</v>
      </c>
      <c r="X49" s="19">
        <f>+IF('Datos delta'!G49&gt;0,REASIGN(0,'Datos Protegidos'!$I49,PARTIDOS!H$11),0)</f>
        <v>0</v>
      </c>
      <c r="Y49" s="24">
        <v>1</v>
      </c>
      <c r="Z49" s="19">
        <f>+IF('Datos delta'!I49&gt;0,REASIGN(0,'Datos Protegidos'!$I49,PARTIDOS!J$11),0)</f>
        <v>0</v>
      </c>
      <c r="AA49" s="24">
        <v>0</v>
      </c>
      <c r="AB49" s="19">
        <f>+IF('Datos delta'!K49&gt;0,REASIGN(0,'Datos Protegidos'!$I49,PARTIDOS!L$11),0)</f>
        <v>0</v>
      </c>
      <c r="AC49" s="24">
        <v>1</v>
      </c>
      <c r="AD49" s="19">
        <f>+IF('Datos delta'!M49&gt;0,REASIGN(0,'Datos Protegidos'!$I49,PARTIDOS!N$11),0)</f>
        <v>0</v>
      </c>
      <c r="AE49" s="24">
        <v>0</v>
      </c>
      <c r="AF49" s="19">
        <f>+IF('Datos delta'!O49&gt;0,REASIGN(0,'Datos Protegidos'!$I49,PARTIDOS!P$11),0)</f>
        <v>0</v>
      </c>
      <c r="AG49" s="24">
        <v>0</v>
      </c>
      <c r="AH49" s="19">
        <f>+IF('Datos delta'!Q49&gt;0,REASIGN(0,'Datos Protegidos'!$I49,PARTIDOS!R$11),0)</f>
        <v>0</v>
      </c>
      <c r="AI49" s="24">
        <v>0</v>
      </c>
      <c r="AJ49" s="19">
        <f>+IF('Datos delta'!S49&gt;0,REASIGN(0,'Datos Protegidos'!$I49,PARTIDOS!T$11),0)</f>
        <v>0</v>
      </c>
      <c r="AK49" s="24">
        <v>0</v>
      </c>
      <c r="AL49" s="19">
        <f>+IF('Datos delta'!U49&gt;0,REASIGN(0,'Datos Protegidos'!$I49,PARTIDOS!V$11),0)</f>
        <v>0</v>
      </c>
      <c r="AM49" s="24">
        <v>0</v>
      </c>
      <c r="AN49" s="19">
        <f>+IF('Datos delta'!W49&gt;0,REASIGN(0,'Datos Protegidos'!$I49,PARTIDOS!X$11),0)</f>
        <v>0</v>
      </c>
      <c r="AO49" s="24">
        <v>0</v>
      </c>
      <c r="AP49" s="19">
        <f>+IF('Datos delta'!Y49&gt;0,REASIGN(0,'Datos Protegidos'!$I49,PARTIDOS!Z$11),0)</f>
        <v>0</v>
      </c>
      <c r="AQ49" s="24">
        <v>0</v>
      </c>
      <c r="AR49" s="19">
        <f>+IF('Datos delta'!AA49&gt;0,REASIGN(0,'Datos Protegidos'!$I49,PARTIDOS!AB$11),0)</f>
        <v>0</v>
      </c>
      <c r="AS49" s="24">
        <v>0</v>
      </c>
      <c r="AT49" s="19">
        <f>+IF('Datos delta'!AC49&gt;0,REASIGN(0,'Datos Protegidos'!$I49,PARTIDOS!AD$11),0)</f>
        <v>0</v>
      </c>
      <c r="AU49" s="24">
        <v>0</v>
      </c>
      <c r="AV49" s="19">
        <f>+IF('Datos delta'!AE49&gt;0,REASIGN(0,'Datos Protegidos'!$I49,PARTIDOS!AF$11),0)</f>
        <v>0</v>
      </c>
      <c r="AW49" s="24">
        <v>0</v>
      </c>
      <c r="AX49" s="19">
        <f>+IF('Datos delta'!AG49&gt;0,REASIGN(0,'Datos Protegidos'!$I49,PARTIDOS!AH$11),0)</f>
        <v>0</v>
      </c>
      <c r="AY49" s="24">
        <v>0</v>
      </c>
      <c r="AZ49" s="19">
        <f>+IF('Datos delta'!AI49&gt;0,REASIGN(0,'Datos Protegidos'!$I49,PARTIDOS!AJ$11),0)</f>
        <v>0</v>
      </c>
      <c r="BA49" s="24">
        <v>0</v>
      </c>
      <c r="BB49" s="19">
        <f>+IF('Datos delta'!AK49&gt;0,REASIGN(0,'Datos Protegidos'!$I49,PARTIDOS!AL$11),0)</f>
        <v>0</v>
      </c>
      <c r="BC49" s="24">
        <v>0</v>
      </c>
      <c r="BD49" s="19">
        <f>+IF('Datos delta'!AM49&gt;0,REASIGN(0,'Datos Protegidos'!$I49,PARTIDOS!AN$11),0)</f>
        <v>0</v>
      </c>
      <c r="BE49" s="24">
        <v>0</v>
      </c>
      <c r="BF49" s="19">
        <f>+IF('Datos delta'!AO49&gt;0,REASIGN(0,'Datos Protegidos'!$I49,PARTIDOS!AP$11),0)</f>
        <v>0</v>
      </c>
      <c r="BG49" s="24">
        <v>0</v>
      </c>
      <c r="BH49" s="19">
        <f>+IF('Datos delta'!AQ49&gt;0,REASIGN(0,'Datos Protegidos'!$I49,PARTIDOS!AR$11),0)</f>
        <v>0</v>
      </c>
      <c r="BI49" s="24">
        <v>0</v>
      </c>
      <c r="BJ49" s="19">
        <f>+IF('Datos delta'!AS49&gt;0,REASIGN(0,'Datos Protegidos'!$I49,PARTIDOS!AT$11),0)</f>
        <v>0</v>
      </c>
      <c r="BK49" s="24">
        <v>0</v>
      </c>
      <c r="BL49" s="19">
        <f>+IF('Datos delta'!AU49&gt;0,REASIGN(0,'Datos Protegidos'!$I49,PARTIDOS!AV$11),0)</f>
        <v>0</v>
      </c>
      <c r="BM49" s="24">
        <v>0</v>
      </c>
      <c r="BN49" s="19">
        <f>+IF('Datos delta'!AW49&gt;0,REASIGN(0,'Datos Protegidos'!$I49,PARTIDOS!AX$11),0)</f>
        <v>0</v>
      </c>
      <c r="BO49" s="24">
        <v>0</v>
      </c>
      <c r="BP49" s="19">
        <f>+IF('Datos delta'!AY49&gt;0,REASIGN(0,'Datos Protegidos'!$I49,PARTIDOS!AZ$11),0)</f>
        <v>0</v>
      </c>
      <c r="BQ49" s="24">
        <v>0</v>
      </c>
      <c r="BR49" s="19">
        <f>+IF('Datos delta'!BA49&gt;0,REASIGN(0,'Datos Protegidos'!$I49,PARTIDOS!BB$11),0)</f>
        <v>0</v>
      </c>
      <c r="BS49" s="24">
        <v>0</v>
      </c>
      <c r="BT49" s="19">
        <f>+IF('Datos delta'!BC49&gt;0,REASIGN(0,'Datos Protegidos'!$I49,PARTIDOS!BD$11),0)</f>
        <v>0</v>
      </c>
      <c r="BU49" s="24">
        <v>0</v>
      </c>
      <c r="BV49" s="19">
        <f>+IF('Datos delta'!BE49&gt;0,REASIGN(0,'Datos Protegidos'!$I49,PARTIDOS!BF$11),0)</f>
        <v>0</v>
      </c>
      <c r="BW49" s="24">
        <v>0</v>
      </c>
      <c r="BX49" s="19">
        <f>+IF('Datos delta'!BG49&gt;0,REASIGN(0,'Datos Protegidos'!$I49,PARTIDOS!BH$11),0)</f>
        <v>0</v>
      </c>
      <c r="BY49" s="24">
        <v>0</v>
      </c>
      <c r="BZ49" s="19">
        <f>+IF('Datos delta'!BI49&gt;0,REASIGN(0,'Datos Protegidos'!$I49,PARTIDOS!BJ$11),0)</f>
        <v>0</v>
      </c>
      <c r="CA49" s="24">
        <v>0</v>
      </c>
      <c r="CB49" s="19">
        <f>+IF('Datos delta'!BK49&gt;0,REASIGN(0,'Datos Protegidos'!$I49,PARTIDOS!BL$11),0)</f>
        <v>0</v>
      </c>
      <c r="CC49" s="24">
        <v>0</v>
      </c>
      <c r="CD49" s="19">
        <f>+IF('Datos delta'!BM49&gt;0,REASIGN(0,'Datos Protegidos'!$I49,PARTIDOS!BN$11),0)</f>
        <v>0</v>
      </c>
      <c r="CE49" s="24">
        <v>0</v>
      </c>
      <c r="CF49" s="19">
        <f>+IF('Datos delta'!BO49&gt;0,REASIGN(0,'Datos Protegidos'!$I49,PARTIDOS!BP$11),0)</f>
        <v>0</v>
      </c>
      <c r="CG49" s="24">
        <v>0</v>
      </c>
      <c r="CH49" s="19">
        <f>+IF('Datos delta'!BQ49&gt;0,REASIGN(0,'Datos Protegidos'!$I49,PARTIDOS!BR$11),0)</f>
        <v>0</v>
      </c>
      <c r="CI49" s="24">
        <v>0</v>
      </c>
      <c r="CJ49" s="19">
        <f>+IF('Datos delta'!BS49&gt;0,REASIGN(0,'Datos Protegidos'!$I49,PARTIDOS!BT$11),0)</f>
        <v>0</v>
      </c>
      <c r="CK49" s="24">
        <v>0</v>
      </c>
      <c r="CL49" s="19">
        <f>+IF('Datos delta'!BU49&gt;0,REASIGN(0,'Datos Protegidos'!$I49,PARTIDOS!BV$11),0)</f>
        <v>0</v>
      </c>
      <c r="CM49" s="24">
        <v>0</v>
      </c>
      <c r="CN49" s="19">
        <f>+IF('Datos delta'!BW49&gt;0,REASIGN(0,'Datos Protegidos'!$I49,PARTIDOS!BX$11),0)</f>
        <v>0</v>
      </c>
      <c r="CO49" s="24">
        <v>0</v>
      </c>
      <c r="CP49" s="19">
        <f>+IF('Datos delta'!BY49&gt;0,REASIGN(0,'Datos Protegidos'!$I49,PARTIDOS!BZ$11),0)</f>
        <v>0</v>
      </c>
      <c r="CQ49" s="24">
        <v>0</v>
      </c>
      <c r="CR49" s="19">
        <f>+IF('Datos delta'!CA49&gt;0,REASIGN(0,'Datos Protegidos'!$I49,PARTIDOS!CB$11),0)</f>
        <v>0</v>
      </c>
      <c r="CS49" s="24">
        <v>0</v>
      </c>
      <c r="CT49" s="19">
        <f>+IF('Datos delta'!CC49&gt;0,REASIGN(0,'Datos Protegidos'!$I49,PARTIDOS!CD$11),0)</f>
        <v>0</v>
      </c>
      <c r="CU49" s="24">
        <v>0</v>
      </c>
      <c r="CV49" s="19">
        <f>+IF('Datos delta'!CE49&gt;0,REASIGN(0,'Datos Protegidos'!$I49,PARTIDOS!CF$11),0)</f>
        <v>0</v>
      </c>
      <c r="CW49" s="24">
        <v>0</v>
      </c>
      <c r="CX49" s="19">
        <f>+IF('Datos delta'!CG49&gt;0,REASIGN(0,'Datos Protegidos'!$I49,PARTIDOS!CH$11),0)</f>
        <v>0</v>
      </c>
      <c r="CY49" s="24">
        <v>0</v>
      </c>
      <c r="CZ49" s="19">
        <f>+IF('Datos delta'!CI49&gt;0,REASIGN(0,'Datos Protegidos'!$I49,PARTIDOS!CJ$11),0)</f>
        <v>0</v>
      </c>
      <c r="DA49" s="24">
        <v>0</v>
      </c>
      <c r="DB49" s="19">
        <f>+IF('Datos delta'!CK49&gt;0,REASIGN(0,'Datos Protegidos'!$I49,PARTIDOS!CL$11),0)</f>
        <v>0</v>
      </c>
      <c r="DC49" s="24">
        <v>0</v>
      </c>
      <c r="DD49" s="19">
        <f>+IF('Datos delta'!CM49&gt;0,REASIGN(0,'Datos Protegidos'!$I49,PARTIDOS!CN$11),0)</f>
        <v>0</v>
      </c>
      <c r="DE49" s="24">
        <v>0</v>
      </c>
      <c r="DF49" s="19">
        <f>+IF('Datos delta'!CO49&gt;0,REASIGN(0,'Datos Protegidos'!$I49,PARTIDOS!CP$11),0)</f>
        <v>0</v>
      </c>
      <c r="DG49" s="24">
        <v>0</v>
      </c>
      <c r="DH49" s="19">
        <f>+IF('Datos delta'!CQ49&gt;0,REASIGN(0,'Datos Protegidos'!$I49,PARTIDOS!CR$11),0)</f>
        <v>0</v>
      </c>
      <c r="DI49" s="24">
        <v>0</v>
      </c>
      <c r="DJ49" s="19">
        <f>+IF('Datos delta'!CS49&gt;0,REASIGN(0,'Datos Protegidos'!$I49,PARTIDOS!CT$11),0)</f>
        <v>0</v>
      </c>
      <c r="DK49" s="24">
        <v>0</v>
      </c>
      <c r="DL49" s="19">
        <f>+IF('Datos delta'!CU49&gt;0,REASIGN(0,'Datos Protegidos'!$I49,PARTIDOS!CV$11),0)</f>
        <v>0</v>
      </c>
      <c r="DM49" s="24">
        <v>0</v>
      </c>
      <c r="DN49" s="19">
        <f>+IF('Datos delta'!CW49&gt;0,REASIGN(0,'Datos Protegidos'!$I49,PARTIDOS!CX$11),0)</f>
        <v>0</v>
      </c>
      <c r="DO49" s="24">
        <v>0</v>
      </c>
      <c r="DP49" s="19">
        <f>+IF('Datos delta'!CY49&gt;0,REASIGN(0,'Datos Protegidos'!$I49,PARTIDOS!CZ$11),0)</f>
        <v>0</v>
      </c>
      <c r="DQ49" s="24">
        <v>0</v>
      </c>
      <c r="DR49" s="19">
        <f>+IF('Datos delta'!DA49&gt;0,REASIGN(0,'Datos Protegidos'!$I49,PARTIDOS!DB$11),0)</f>
        <v>0</v>
      </c>
      <c r="DS49" s="24">
        <v>0</v>
      </c>
      <c r="DT49" s="19">
        <f>+IF('Datos delta'!DC49&gt;0,REASIGN(0,'Datos Protegidos'!$I49,PARTIDOS!DD$11),0)</f>
        <v>0</v>
      </c>
      <c r="DU49" s="24">
        <v>0</v>
      </c>
      <c r="DV49" s="19">
        <f>+IF('Datos delta'!DE49&gt;0,REASIGN(0,'Datos Protegidos'!$I49,PARTIDOS!DF$11),0)</f>
        <v>0</v>
      </c>
      <c r="DW49" s="24">
        <v>0</v>
      </c>
      <c r="DX49" s="19">
        <f>+IF('Datos delta'!DG49&gt;0,REASIGN(0,'Datos Protegidos'!$I49,PARTIDOS!DH$11),0)</f>
        <v>0</v>
      </c>
      <c r="DY49" s="24">
        <v>0</v>
      </c>
      <c r="DZ49" s="19">
        <f>+IF('Datos delta'!DI49&gt;0,REASIGN(0,'Datos Protegidos'!$I49,PARTIDOS!DJ$11),0)</f>
        <v>0</v>
      </c>
      <c r="EA49" s="24">
        <v>0</v>
      </c>
      <c r="EB49" s="19">
        <f>+IF('Datos delta'!DK49&gt;0,REASIGN(0,'Datos Protegidos'!$I49,PARTIDOS!DL$11),0)</f>
        <v>0</v>
      </c>
      <c r="EC49" s="24">
        <v>0</v>
      </c>
      <c r="ED49" s="19">
        <f>+IF('Datos delta'!DM49&gt;0,REASIGN(0,'Datos Protegidos'!$I49,PARTIDOS!DN$11),0)</f>
        <v>0</v>
      </c>
      <c r="EE49" s="24">
        <v>0</v>
      </c>
      <c r="EF49" s="19">
        <f>+IF('Datos delta'!DO49&gt;0,REASIGN(0,'Datos Protegidos'!$I49,PARTIDOS!DP$11),0)</f>
        <v>0</v>
      </c>
      <c r="EG49" s="24">
        <v>0</v>
      </c>
      <c r="EH49" s="19">
        <f>+IF('Datos delta'!DQ49&gt;0,REASIGN(0,'Datos Protegidos'!$I49,PARTIDOS!DR$11),0)</f>
        <v>0</v>
      </c>
      <c r="EI49" s="24">
        <v>0</v>
      </c>
      <c r="EJ49" s="19">
        <f>+IF('Datos delta'!DS49&gt;0,REASIGN(0,'Datos Protegidos'!$I49,PARTIDOS!DT$11),0)</f>
        <v>0</v>
      </c>
      <c r="EK49" s="24">
        <v>0</v>
      </c>
      <c r="EL49" s="19">
        <f>+IF('Datos delta'!DU49&gt;0,REASIGN(0,'Datos Protegidos'!$I49,PARTIDOS!DV$11),0)</f>
        <v>0</v>
      </c>
      <c r="EM49" s="24">
        <v>0</v>
      </c>
      <c r="EN49" s="19">
        <f>+IF('Datos delta'!DW49&gt;0,REASIGN(0,'Datos Protegidos'!$I49,PARTIDOS!DX$11),0)</f>
        <v>0</v>
      </c>
      <c r="EO49" s="24">
        <v>0</v>
      </c>
      <c r="EP49" s="19">
        <f>+IF('Datos delta'!DY49&gt;0,REASIGN(0,'Datos Protegidos'!$I49,PARTIDOS!DZ$11),0)</f>
        <v>0</v>
      </c>
      <c r="EQ49" s="24">
        <v>0</v>
      </c>
      <c r="ER49" s="19">
        <f>+IF('Datos delta'!EA49&gt;0,REASIGN(0,'Datos Protegidos'!$I49,PARTIDOS!EB$11),0)</f>
        <v>0</v>
      </c>
      <c r="ES49" s="24">
        <v>0</v>
      </c>
      <c r="ET49" s="19">
        <f>+IF('Datos delta'!EC49&gt;0,REASIGN(0,'Datos Protegidos'!$I49,PARTIDOS!ED$11),0)</f>
        <v>0</v>
      </c>
      <c r="EU49" s="24">
        <v>0</v>
      </c>
    </row>
    <row r="50" spans="1:151" x14ac:dyDescent="0.25">
      <c r="A50" s="24" t="s">
        <v>77</v>
      </c>
      <c r="B50" s="25">
        <v>12</v>
      </c>
      <c r="C50" s="24" t="s">
        <v>79</v>
      </c>
      <c r="D50" s="24">
        <v>576898</v>
      </c>
      <c r="E50" s="26">
        <v>715</v>
      </c>
      <c r="F50" s="26">
        <v>411108</v>
      </c>
      <c r="G50" s="26">
        <v>9633</v>
      </c>
      <c r="H50" s="26">
        <v>420741</v>
      </c>
      <c r="I50" s="1">
        <v>1580</v>
      </c>
      <c r="J50" s="19">
        <f>+INT(([1]Hoja1!M50/[1]Hoja1!O50)*M50)</f>
        <v>294469</v>
      </c>
      <c r="K50" s="19">
        <f>+INT(([1]Hoja1!N50/[1]Hoja1!O50)*M50)</f>
        <v>292231</v>
      </c>
      <c r="L50" s="19">
        <f t="shared" si="1"/>
        <v>5261</v>
      </c>
      <c r="M50" s="19">
        <f t="shared" si="2"/>
        <v>2238</v>
      </c>
      <c r="N50" s="22">
        <f t="shared" si="0"/>
        <v>0</v>
      </c>
      <c r="O50" s="26">
        <v>2238</v>
      </c>
      <c r="P50" s="26">
        <v>3023</v>
      </c>
      <c r="Q50" s="22">
        <f t="shared" si="3"/>
        <v>5</v>
      </c>
      <c r="R50" s="19">
        <f>+IF('Datos delta'!A50&gt;0,REASIGN(0,'Datos Protegidos'!$I50,PARTIDOS!B$11),0)</f>
        <v>0</v>
      </c>
      <c r="S50" s="24">
        <v>2</v>
      </c>
      <c r="T50" s="19">
        <f>+IF('Datos delta'!C50&gt;0,REASIGN(0,'Datos Protegidos'!$I50,PARTIDOS!D$11),0)</f>
        <v>0</v>
      </c>
      <c r="U50" s="24">
        <v>1</v>
      </c>
      <c r="V50" s="19">
        <f>+IF('Datos delta'!E50&gt;0,REASIGN(0,'Datos Protegidos'!$I50,PARTIDOS!F$11),0)</f>
        <v>0</v>
      </c>
      <c r="W50" s="24">
        <v>1</v>
      </c>
      <c r="X50" s="19">
        <f>+IF('Datos delta'!G50&gt;0,REASIGN(0,'Datos Protegidos'!$I50,PARTIDOS!H$11),0)</f>
        <v>0</v>
      </c>
      <c r="Y50" s="24">
        <v>1</v>
      </c>
      <c r="Z50" s="19">
        <f>+IF('Datos delta'!I50&gt;0,REASIGN(0,'Datos Protegidos'!$I50,PARTIDOS!J$11),0)</f>
        <v>0</v>
      </c>
      <c r="AA50" s="24">
        <v>0</v>
      </c>
      <c r="AB50" s="19">
        <f>+IF('Datos delta'!K50&gt;0,REASIGN(0,'Datos Protegidos'!$I50,PARTIDOS!L$11),0)</f>
        <v>0</v>
      </c>
      <c r="AC50" s="24">
        <v>0</v>
      </c>
      <c r="AD50" s="19">
        <f>+IF('Datos delta'!M50&gt;0,REASIGN(0,'Datos Protegidos'!$I50,PARTIDOS!N$11),0)</f>
        <v>0</v>
      </c>
      <c r="AE50" s="24">
        <v>0</v>
      </c>
      <c r="AF50" s="19">
        <f>+IF('Datos delta'!O50&gt;0,REASIGN(0,'Datos Protegidos'!$I50,PARTIDOS!P$11),0)</f>
        <v>0</v>
      </c>
      <c r="AG50" s="24">
        <v>0</v>
      </c>
      <c r="AH50" s="19">
        <f>+IF('Datos delta'!Q50&gt;0,REASIGN(0,'Datos Protegidos'!$I50,PARTIDOS!R$11),0)</f>
        <v>0</v>
      </c>
      <c r="AI50" s="24">
        <v>0</v>
      </c>
      <c r="AJ50" s="19">
        <f>+IF('Datos delta'!S50&gt;0,REASIGN(0,'Datos Protegidos'!$I50,PARTIDOS!T$11),0)</f>
        <v>0</v>
      </c>
      <c r="AK50" s="24">
        <v>0</v>
      </c>
      <c r="AL50" s="19">
        <f>+IF('Datos delta'!U50&gt;0,REASIGN(0,'Datos Protegidos'!$I50,PARTIDOS!V$11),0)</f>
        <v>0</v>
      </c>
      <c r="AM50" s="24">
        <v>0</v>
      </c>
      <c r="AN50" s="19">
        <f>+IF('Datos delta'!W50&gt;0,REASIGN(0,'Datos Protegidos'!$I50,PARTIDOS!X$11),0)</f>
        <v>0</v>
      </c>
      <c r="AO50" s="24">
        <v>0</v>
      </c>
      <c r="AP50" s="19">
        <f>+IF('Datos delta'!Y50&gt;0,REASIGN(0,'Datos Protegidos'!$I50,PARTIDOS!Z$11),0)</f>
        <v>0</v>
      </c>
      <c r="AQ50" s="24">
        <v>0</v>
      </c>
      <c r="AR50" s="19">
        <f>+IF('Datos delta'!AA50&gt;0,REASIGN(0,'Datos Protegidos'!$I50,PARTIDOS!AB$11),0)</f>
        <v>0</v>
      </c>
      <c r="AS50" s="24">
        <v>0</v>
      </c>
      <c r="AT50" s="19">
        <f>+IF('Datos delta'!AC50&gt;0,REASIGN(0,'Datos Protegidos'!$I50,PARTIDOS!AD$11),0)</f>
        <v>0</v>
      </c>
      <c r="AU50" s="24">
        <v>0</v>
      </c>
      <c r="AV50" s="19">
        <f>+IF('Datos delta'!AE50&gt;0,REASIGN(0,'Datos Protegidos'!$I50,PARTIDOS!AF$11),0)</f>
        <v>0</v>
      </c>
      <c r="AW50" s="24">
        <v>0</v>
      </c>
      <c r="AX50" s="19">
        <f>+IF('Datos delta'!AG50&gt;0,REASIGN(0,'Datos Protegidos'!$I50,PARTIDOS!AH$11),0)</f>
        <v>0</v>
      </c>
      <c r="AY50" s="24">
        <v>0</v>
      </c>
      <c r="AZ50" s="19">
        <f>+IF('Datos delta'!AI50&gt;0,REASIGN(0,'Datos Protegidos'!$I50,PARTIDOS!AJ$11),0)</f>
        <v>0</v>
      </c>
      <c r="BA50" s="24">
        <v>0</v>
      </c>
      <c r="BB50" s="19">
        <f>+IF('Datos delta'!AK50&gt;0,REASIGN(0,'Datos Protegidos'!$I50,PARTIDOS!AL$11),0)</f>
        <v>0</v>
      </c>
      <c r="BC50" s="24">
        <v>0</v>
      </c>
      <c r="BD50" s="19">
        <f>+IF('Datos delta'!AM50&gt;0,REASIGN(0,'Datos Protegidos'!$I50,PARTIDOS!AN$11),0)</f>
        <v>0</v>
      </c>
      <c r="BE50" s="24">
        <v>0</v>
      </c>
      <c r="BF50" s="19">
        <f>+IF('Datos delta'!AO50&gt;0,REASIGN(0,'Datos Protegidos'!$I50,PARTIDOS!AP$11),0)</f>
        <v>0</v>
      </c>
      <c r="BG50" s="24">
        <v>0</v>
      </c>
      <c r="BH50" s="19">
        <f>+IF('Datos delta'!AQ50&gt;0,REASIGN(0,'Datos Protegidos'!$I50,PARTIDOS!AR$11),0)</f>
        <v>0</v>
      </c>
      <c r="BI50" s="24">
        <v>0</v>
      </c>
      <c r="BJ50" s="19">
        <f>+IF('Datos delta'!AS50&gt;0,REASIGN(0,'Datos Protegidos'!$I50,PARTIDOS!AT$11),0)</f>
        <v>0</v>
      </c>
      <c r="BK50" s="24">
        <v>0</v>
      </c>
      <c r="BL50" s="19">
        <f>+IF('Datos delta'!AU50&gt;0,REASIGN(0,'Datos Protegidos'!$I50,PARTIDOS!AV$11),0)</f>
        <v>0</v>
      </c>
      <c r="BM50" s="24">
        <v>0</v>
      </c>
      <c r="BN50" s="19">
        <f>+IF('Datos delta'!AW50&gt;0,REASIGN(0,'Datos Protegidos'!$I50,PARTIDOS!AX$11),0)</f>
        <v>0</v>
      </c>
      <c r="BO50" s="24">
        <v>0</v>
      </c>
      <c r="BP50" s="19">
        <f>+IF('Datos delta'!AY50&gt;0,REASIGN(0,'Datos Protegidos'!$I50,PARTIDOS!AZ$11),0)</f>
        <v>0</v>
      </c>
      <c r="BQ50" s="24">
        <v>0</v>
      </c>
      <c r="BR50" s="19">
        <f>+IF('Datos delta'!BA50&gt;0,REASIGN(0,'Datos Protegidos'!$I50,PARTIDOS!BB$11),0)</f>
        <v>0</v>
      </c>
      <c r="BS50" s="24">
        <v>0</v>
      </c>
      <c r="BT50" s="19">
        <f>+IF('Datos delta'!BC50&gt;0,REASIGN(0,'Datos Protegidos'!$I50,PARTIDOS!BD$11),0)</f>
        <v>0</v>
      </c>
      <c r="BU50" s="24">
        <v>0</v>
      </c>
      <c r="BV50" s="19">
        <f>+IF('Datos delta'!BE50&gt;0,REASIGN(0,'Datos Protegidos'!$I50,PARTIDOS!BF$11),0)</f>
        <v>0</v>
      </c>
      <c r="BW50" s="24">
        <v>0</v>
      </c>
      <c r="BX50" s="19">
        <f>+IF('Datos delta'!BG50&gt;0,REASIGN(0,'Datos Protegidos'!$I50,PARTIDOS!BH$11),0)</f>
        <v>0</v>
      </c>
      <c r="BY50" s="24">
        <v>0</v>
      </c>
      <c r="BZ50" s="19">
        <f>+IF('Datos delta'!BI50&gt;0,REASIGN(0,'Datos Protegidos'!$I50,PARTIDOS!BJ$11),0)</f>
        <v>0</v>
      </c>
      <c r="CA50" s="24">
        <v>0</v>
      </c>
      <c r="CB50" s="19">
        <f>+IF('Datos delta'!BK50&gt;0,REASIGN(0,'Datos Protegidos'!$I50,PARTIDOS!BL$11),0)</f>
        <v>0</v>
      </c>
      <c r="CC50" s="24">
        <v>0</v>
      </c>
      <c r="CD50" s="19">
        <f>+IF('Datos delta'!BM50&gt;0,REASIGN(0,'Datos Protegidos'!$I50,PARTIDOS!BN$11),0)</f>
        <v>0</v>
      </c>
      <c r="CE50" s="24">
        <v>0</v>
      </c>
      <c r="CF50" s="19">
        <f>+IF('Datos delta'!BO50&gt;0,REASIGN(0,'Datos Protegidos'!$I50,PARTIDOS!BP$11),0)</f>
        <v>0</v>
      </c>
      <c r="CG50" s="24">
        <v>0</v>
      </c>
      <c r="CH50" s="19">
        <f>+IF('Datos delta'!BQ50&gt;0,REASIGN(0,'Datos Protegidos'!$I50,PARTIDOS!BR$11),0)</f>
        <v>0</v>
      </c>
      <c r="CI50" s="24">
        <v>0</v>
      </c>
      <c r="CJ50" s="19">
        <f>+IF('Datos delta'!BS50&gt;0,REASIGN(0,'Datos Protegidos'!$I50,PARTIDOS!BT$11),0)</f>
        <v>0</v>
      </c>
      <c r="CK50" s="24">
        <v>0</v>
      </c>
      <c r="CL50" s="19">
        <f>+IF('Datos delta'!BU50&gt;0,REASIGN(0,'Datos Protegidos'!$I50,PARTIDOS!BV$11),0)</f>
        <v>0</v>
      </c>
      <c r="CM50" s="24">
        <v>0</v>
      </c>
      <c r="CN50" s="19">
        <f>+IF('Datos delta'!BW50&gt;0,REASIGN(0,'Datos Protegidos'!$I50,PARTIDOS!BX$11),0)</f>
        <v>0</v>
      </c>
      <c r="CO50" s="24">
        <v>0</v>
      </c>
      <c r="CP50" s="19">
        <f>+IF('Datos delta'!BY50&gt;0,REASIGN(0,'Datos Protegidos'!$I50,PARTIDOS!BZ$11),0)</f>
        <v>0</v>
      </c>
      <c r="CQ50" s="24">
        <v>0</v>
      </c>
      <c r="CR50" s="19">
        <f>+IF('Datos delta'!CA50&gt;0,REASIGN(0,'Datos Protegidos'!$I50,PARTIDOS!CB$11),0)</f>
        <v>0</v>
      </c>
      <c r="CS50" s="24">
        <v>0</v>
      </c>
      <c r="CT50" s="19">
        <f>+IF('Datos delta'!CC50&gt;0,REASIGN(0,'Datos Protegidos'!$I50,PARTIDOS!CD$11),0)</f>
        <v>0</v>
      </c>
      <c r="CU50" s="24">
        <v>0</v>
      </c>
      <c r="CV50" s="19">
        <f>+IF('Datos delta'!CE50&gt;0,REASIGN(0,'Datos Protegidos'!$I50,PARTIDOS!CF$11),0)</f>
        <v>0</v>
      </c>
      <c r="CW50" s="24">
        <v>0</v>
      </c>
      <c r="CX50" s="19">
        <f>+IF('Datos delta'!CG50&gt;0,REASIGN(0,'Datos Protegidos'!$I50,PARTIDOS!CH$11),0)</f>
        <v>0</v>
      </c>
      <c r="CY50" s="24">
        <v>0</v>
      </c>
      <c r="CZ50" s="19">
        <f>+IF('Datos delta'!CI50&gt;0,REASIGN(0,'Datos Protegidos'!$I50,PARTIDOS!CJ$11),0)</f>
        <v>0</v>
      </c>
      <c r="DA50" s="24">
        <v>0</v>
      </c>
      <c r="DB50" s="19">
        <f>+IF('Datos delta'!CK50&gt;0,REASIGN(0,'Datos Protegidos'!$I50,PARTIDOS!CL$11),0)</f>
        <v>0</v>
      </c>
      <c r="DC50" s="24">
        <v>0</v>
      </c>
      <c r="DD50" s="19">
        <f>+IF('Datos delta'!CM50&gt;0,REASIGN(0,'Datos Protegidos'!$I50,PARTIDOS!CN$11),0)</f>
        <v>0</v>
      </c>
      <c r="DE50" s="24">
        <v>0</v>
      </c>
      <c r="DF50" s="19">
        <f>+IF('Datos delta'!CO50&gt;0,REASIGN(0,'Datos Protegidos'!$I50,PARTIDOS!CP$11),0)</f>
        <v>0</v>
      </c>
      <c r="DG50" s="24">
        <v>0</v>
      </c>
      <c r="DH50" s="19">
        <f>+IF('Datos delta'!CQ50&gt;0,REASIGN(0,'Datos Protegidos'!$I50,PARTIDOS!CR$11),0)</f>
        <v>0</v>
      </c>
      <c r="DI50" s="24">
        <v>0</v>
      </c>
      <c r="DJ50" s="19">
        <f>+IF('Datos delta'!CS50&gt;0,REASIGN(0,'Datos Protegidos'!$I50,PARTIDOS!CT$11),0)</f>
        <v>0</v>
      </c>
      <c r="DK50" s="24">
        <v>0</v>
      </c>
      <c r="DL50" s="19">
        <f>+IF('Datos delta'!CU50&gt;0,REASIGN(0,'Datos Protegidos'!$I50,PARTIDOS!CV$11),0)</f>
        <v>0</v>
      </c>
      <c r="DM50" s="24">
        <v>0</v>
      </c>
      <c r="DN50" s="19">
        <f>+IF('Datos delta'!CW50&gt;0,REASIGN(0,'Datos Protegidos'!$I50,PARTIDOS!CX$11),0)</f>
        <v>0</v>
      </c>
      <c r="DO50" s="24">
        <v>0</v>
      </c>
      <c r="DP50" s="19">
        <f>+IF('Datos delta'!CY50&gt;0,REASIGN(0,'Datos Protegidos'!$I50,PARTIDOS!CZ$11),0)</f>
        <v>0</v>
      </c>
      <c r="DQ50" s="24">
        <v>0</v>
      </c>
      <c r="DR50" s="19">
        <f>+IF('Datos delta'!DA50&gt;0,REASIGN(0,'Datos Protegidos'!$I50,PARTIDOS!DB$11),0)</f>
        <v>0</v>
      </c>
      <c r="DS50" s="24">
        <v>0</v>
      </c>
      <c r="DT50" s="19">
        <f>+IF('Datos delta'!DC50&gt;0,REASIGN(0,'Datos Protegidos'!$I50,PARTIDOS!DD$11),0)</f>
        <v>0</v>
      </c>
      <c r="DU50" s="24">
        <v>0</v>
      </c>
      <c r="DV50" s="19">
        <f>+IF('Datos delta'!DE50&gt;0,REASIGN(0,'Datos Protegidos'!$I50,PARTIDOS!DF$11),0)</f>
        <v>0</v>
      </c>
      <c r="DW50" s="24">
        <v>0</v>
      </c>
      <c r="DX50" s="19">
        <f>+IF('Datos delta'!DG50&gt;0,REASIGN(0,'Datos Protegidos'!$I50,PARTIDOS!DH$11),0)</f>
        <v>0</v>
      </c>
      <c r="DY50" s="24">
        <v>0</v>
      </c>
      <c r="DZ50" s="19">
        <f>+IF('Datos delta'!DI50&gt;0,REASIGN(0,'Datos Protegidos'!$I50,PARTIDOS!DJ$11),0)</f>
        <v>0</v>
      </c>
      <c r="EA50" s="24">
        <v>0</v>
      </c>
      <c r="EB50" s="19">
        <f>+IF('Datos delta'!DK50&gt;0,REASIGN(0,'Datos Protegidos'!$I50,PARTIDOS!DL$11),0)</f>
        <v>0</v>
      </c>
      <c r="EC50" s="24">
        <v>0</v>
      </c>
      <c r="ED50" s="19">
        <f>+IF('Datos delta'!DM50&gt;0,REASIGN(0,'Datos Protegidos'!$I50,PARTIDOS!DN$11),0)</f>
        <v>0</v>
      </c>
      <c r="EE50" s="24">
        <v>0</v>
      </c>
      <c r="EF50" s="19">
        <f>+IF('Datos delta'!DO50&gt;0,REASIGN(0,'Datos Protegidos'!$I50,PARTIDOS!DP$11),0)</f>
        <v>0</v>
      </c>
      <c r="EG50" s="24">
        <v>0</v>
      </c>
      <c r="EH50" s="19">
        <f>+IF('Datos delta'!DQ50&gt;0,REASIGN(0,'Datos Protegidos'!$I50,PARTIDOS!DR$11),0)</f>
        <v>0</v>
      </c>
      <c r="EI50" s="24">
        <v>0</v>
      </c>
      <c r="EJ50" s="19">
        <f>+IF('Datos delta'!DS50&gt;0,REASIGN(0,'Datos Protegidos'!$I50,PARTIDOS!DT$11),0)</f>
        <v>0</v>
      </c>
      <c r="EK50" s="24">
        <v>0</v>
      </c>
      <c r="EL50" s="19">
        <f>+IF('Datos delta'!DU50&gt;0,REASIGN(0,'Datos Protegidos'!$I50,PARTIDOS!DV$11),0)</f>
        <v>0</v>
      </c>
      <c r="EM50" s="24">
        <v>0</v>
      </c>
      <c r="EN50" s="19">
        <f>+IF('Datos delta'!DW50&gt;0,REASIGN(0,'Datos Protegidos'!$I50,PARTIDOS!DX$11),0)</f>
        <v>0</v>
      </c>
      <c r="EO50" s="24">
        <v>0</v>
      </c>
      <c r="EP50" s="19">
        <f>+IF('Datos delta'!DY50&gt;0,REASIGN(0,'Datos Protegidos'!$I50,PARTIDOS!DZ$11),0)</f>
        <v>0</v>
      </c>
      <c r="EQ50" s="24">
        <v>0</v>
      </c>
      <c r="ER50" s="19">
        <f>+IF('Datos delta'!EA50&gt;0,REASIGN(0,'Datos Protegidos'!$I50,PARTIDOS!EB$11),0)</f>
        <v>0</v>
      </c>
      <c r="ES50" s="24">
        <v>0</v>
      </c>
      <c r="ET50" s="19">
        <f>+IF('Datos delta'!EC50&gt;0,REASIGN(0,'Datos Protegidos'!$I50,PARTIDOS!ED$11),0)</f>
        <v>0</v>
      </c>
      <c r="EU50" s="24">
        <v>0</v>
      </c>
    </row>
    <row r="51" spans="1:151" x14ac:dyDescent="0.25">
      <c r="A51" s="24" t="s">
        <v>77</v>
      </c>
      <c r="B51" s="25">
        <v>46</v>
      </c>
      <c r="C51" s="24" t="s">
        <v>80</v>
      </c>
      <c r="D51" s="24">
        <v>2547986</v>
      </c>
      <c r="E51" s="26">
        <v>3107</v>
      </c>
      <c r="F51" s="26">
        <v>1907174</v>
      </c>
      <c r="G51" s="26">
        <v>63022</v>
      </c>
      <c r="H51" s="26">
        <v>1970196</v>
      </c>
      <c r="I51" s="1">
        <v>8738</v>
      </c>
      <c r="J51" s="19">
        <f>+INT(([1]Hoja1!M51/[1]Hoja1!O51)*M51)</f>
        <v>1390258</v>
      </c>
      <c r="K51" s="19">
        <f>+INT(([1]Hoja1!N51/[1]Hoja1!O51)*M51)</f>
        <v>1379460</v>
      </c>
      <c r="L51" s="19">
        <f t="shared" si="1"/>
        <v>22945</v>
      </c>
      <c r="M51" s="19">
        <f t="shared" si="2"/>
        <v>10798</v>
      </c>
      <c r="N51" s="22">
        <f t="shared" si="0"/>
        <v>0</v>
      </c>
      <c r="O51" s="26">
        <v>10798</v>
      </c>
      <c r="P51" s="26">
        <v>12147</v>
      </c>
      <c r="Q51" s="22">
        <f t="shared" si="3"/>
        <v>15</v>
      </c>
      <c r="R51" s="19">
        <f>+IF('Datos delta'!A51&gt;0,REASIGN(0,'Datos Protegidos'!$I51,PARTIDOS!B$11),0)</f>
        <v>0</v>
      </c>
      <c r="S51" s="24">
        <v>4</v>
      </c>
      <c r="T51" s="19">
        <f>+IF('Datos delta'!C51&gt;0,REASIGN(0,'Datos Protegidos'!$I51,PARTIDOS!D$11),0)</f>
        <v>0</v>
      </c>
      <c r="U51" s="24">
        <v>4</v>
      </c>
      <c r="V51" s="19">
        <f>+IF('Datos delta'!E51&gt;0,REASIGN(0,'Datos Protegidos'!$I51,PARTIDOS!F$11),0)</f>
        <v>0</v>
      </c>
      <c r="W51" s="24">
        <v>3</v>
      </c>
      <c r="X51" s="19">
        <f>+IF('Datos delta'!G51&gt;0,REASIGN(0,'Datos Protegidos'!$I51,PARTIDOS!H$11),0)</f>
        <v>0</v>
      </c>
      <c r="Y51" s="24">
        <v>2</v>
      </c>
      <c r="Z51" s="19">
        <f>+IF('Datos delta'!I51&gt;0,REASIGN(0,'Datos Protegidos'!$I51,PARTIDOS!J$11),0)</f>
        <v>0</v>
      </c>
      <c r="AA51" s="24">
        <v>0</v>
      </c>
      <c r="AB51" s="19">
        <f>+IF('Datos delta'!K51&gt;0,REASIGN(0,'Datos Protegidos'!$I51,PARTIDOS!L$11),0)</f>
        <v>0</v>
      </c>
      <c r="AC51" s="24">
        <v>1</v>
      </c>
      <c r="AD51" s="19">
        <f>+IF('Datos delta'!M51&gt;0,REASIGN(0,'Datos Protegidos'!$I51,PARTIDOS!N$11),0)</f>
        <v>0</v>
      </c>
      <c r="AE51" s="24">
        <v>0</v>
      </c>
      <c r="AF51" s="19">
        <f>+IF('Datos delta'!O51&gt;0,REASIGN(0,'Datos Protegidos'!$I51,PARTIDOS!P$11),0)</f>
        <v>0</v>
      </c>
      <c r="AG51" s="24">
        <v>0</v>
      </c>
      <c r="AH51" s="19">
        <f>+IF('Datos delta'!Q51&gt;0,REASIGN(0,'Datos Protegidos'!$I51,PARTIDOS!R$11),0)</f>
        <v>0</v>
      </c>
      <c r="AI51" s="24">
        <v>0</v>
      </c>
      <c r="AJ51" s="19">
        <f>+IF('Datos delta'!S51&gt;0,REASIGN(0,'Datos Protegidos'!$I51,PARTIDOS!T$11),0)</f>
        <v>0</v>
      </c>
      <c r="AK51" s="24">
        <v>0</v>
      </c>
      <c r="AL51" s="19">
        <f>+IF('Datos delta'!U51&gt;0,REASIGN(0,'Datos Protegidos'!$I51,PARTIDOS!V$11),0)</f>
        <v>0</v>
      </c>
      <c r="AM51" s="24">
        <v>0</v>
      </c>
      <c r="AN51" s="19">
        <f>+IF('Datos delta'!W51&gt;0,REASIGN(0,'Datos Protegidos'!$I51,PARTIDOS!X$11),0)</f>
        <v>0</v>
      </c>
      <c r="AO51" s="24">
        <v>0</v>
      </c>
      <c r="AP51" s="19">
        <f>+IF('Datos delta'!Y51&gt;0,REASIGN(0,'Datos Protegidos'!$I51,PARTIDOS!Z$11),0)</f>
        <v>0</v>
      </c>
      <c r="AQ51" s="24">
        <v>0</v>
      </c>
      <c r="AR51" s="19">
        <f>+IF('Datos delta'!AA51&gt;0,REASIGN(0,'Datos Protegidos'!$I51,PARTIDOS!AB$11),0)</f>
        <v>0</v>
      </c>
      <c r="AS51" s="24">
        <v>0</v>
      </c>
      <c r="AT51" s="19">
        <f>+IF('Datos delta'!AC51&gt;0,REASIGN(0,'Datos Protegidos'!$I51,PARTIDOS!AD$11),0)</f>
        <v>0</v>
      </c>
      <c r="AU51" s="24">
        <v>0</v>
      </c>
      <c r="AV51" s="19">
        <f>+IF('Datos delta'!AE51&gt;0,REASIGN(0,'Datos Protegidos'!$I51,PARTIDOS!AF$11),0)</f>
        <v>0</v>
      </c>
      <c r="AW51" s="24">
        <v>1</v>
      </c>
      <c r="AX51" s="19">
        <f>+IF('Datos delta'!AG51&gt;0,REASIGN(0,'Datos Protegidos'!$I51,PARTIDOS!AH$11),0)</f>
        <v>0</v>
      </c>
      <c r="AY51" s="24">
        <v>0</v>
      </c>
      <c r="AZ51" s="19">
        <f>+IF('Datos delta'!AI51&gt;0,REASIGN(0,'Datos Protegidos'!$I51,PARTIDOS!AJ$11),0)</f>
        <v>0</v>
      </c>
      <c r="BA51" s="24">
        <v>0</v>
      </c>
      <c r="BB51" s="19">
        <f>+IF('Datos delta'!AK51&gt;0,REASIGN(0,'Datos Protegidos'!$I51,PARTIDOS!AL$11),0)</f>
        <v>0</v>
      </c>
      <c r="BC51" s="24">
        <v>0</v>
      </c>
      <c r="BD51" s="19">
        <f>+IF('Datos delta'!AM51&gt;0,REASIGN(0,'Datos Protegidos'!$I51,PARTIDOS!AN$11),0)</f>
        <v>0</v>
      </c>
      <c r="BE51" s="24">
        <v>0</v>
      </c>
      <c r="BF51" s="19">
        <f>+IF('Datos delta'!AO51&gt;0,REASIGN(0,'Datos Protegidos'!$I51,PARTIDOS!AP$11),0)</f>
        <v>0</v>
      </c>
      <c r="BG51" s="24">
        <v>0</v>
      </c>
      <c r="BH51" s="19">
        <f>+IF('Datos delta'!AQ51&gt;0,REASIGN(0,'Datos Protegidos'!$I51,PARTIDOS!AR$11),0)</f>
        <v>0</v>
      </c>
      <c r="BI51" s="24">
        <v>0</v>
      </c>
      <c r="BJ51" s="19">
        <f>+IF('Datos delta'!AS51&gt;0,REASIGN(0,'Datos Protegidos'!$I51,PARTIDOS!AT$11),0)</f>
        <v>0</v>
      </c>
      <c r="BK51" s="24">
        <v>0</v>
      </c>
      <c r="BL51" s="19">
        <f>+IF('Datos delta'!AU51&gt;0,REASIGN(0,'Datos Protegidos'!$I51,PARTIDOS!AV$11),0)</f>
        <v>0</v>
      </c>
      <c r="BM51" s="24">
        <v>0</v>
      </c>
      <c r="BN51" s="19">
        <f>+IF('Datos delta'!AW51&gt;0,REASIGN(0,'Datos Protegidos'!$I51,PARTIDOS!AX$11),0)</f>
        <v>0</v>
      </c>
      <c r="BO51" s="24">
        <v>0</v>
      </c>
      <c r="BP51" s="19">
        <f>+IF('Datos delta'!AY51&gt;0,REASIGN(0,'Datos Protegidos'!$I51,PARTIDOS!AZ$11),0)</f>
        <v>0</v>
      </c>
      <c r="BQ51" s="24">
        <v>0</v>
      </c>
      <c r="BR51" s="19">
        <f>+IF('Datos delta'!BA51&gt;0,REASIGN(0,'Datos Protegidos'!$I51,PARTIDOS!BB$11),0)</f>
        <v>0</v>
      </c>
      <c r="BS51" s="24">
        <v>0</v>
      </c>
      <c r="BT51" s="19">
        <f>+IF('Datos delta'!BC51&gt;0,REASIGN(0,'Datos Protegidos'!$I51,PARTIDOS!BD$11),0)</f>
        <v>0</v>
      </c>
      <c r="BU51" s="24">
        <v>0</v>
      </c>
      <c r="BV51" s="19">
        <f>+IF('Datos delta'!BE51&gt;0,REASIGN(0,'Datos Protegidos'!$I51,PARTIDOS!BF$11),0)</f>
        <v>0</v>
      </c>
      <c r="BW51" s="24">
        <v>0</v>
      </c>
      <c r="BX51" s="19">
        <f>+IF('Datos delta'!BG51&gt;0,REASIGN(0,'Datos Protegidos'!$I51,PARTIDOS!BH$11),0)</f>
        <v>0</v>
      </c>
      <c r="BY51" s="24">
        <v>0</v>
      </c>
      <c r="BZ51" s="19">
        <f>+IF('Datos delta'!BI51&gt;0,REASIGN(0,'Datos Protegidos'!$I51,PARTIDOS!BJ$11),0)</f>
        <v>0</v>
      </c>
      <c r="CA51" s="24">
        <v>0</v>
      </c>
      <c r="CB51" s="19">
        <f>+IF('Datos delta'!BK51&gt;0,REASIGN(0,'Datos Protegidos'!$I51,PARTIDOS!BL$11),0)</f>
        <v>0</v>
      </c>
      <c r="CC51" s="24">
        <v>0</v>
      </c>
      <c r="CD51" s="19">
        <f>+IF('Datos delta'!BM51&gt;0,REASIGN(0,'Datos Protegidos'!$I51,PARTIDOS!BN$11),0)</f>
        <v>0</v>
      </c>
      <c r="CE51" s="24">
        <v>0</v>
      </c>
      <c r="CF51" s="19">
        <f>+IF('Datos delta'!BO51&gt;0,REASIGN(0,'Datos Protegidos'!$I51,PARTIDOS!BP$11),0)</f>
        <v>0</v>
      </c>
      <c r="CG51" s="24">
        <v>0</v>
      </c>
      <c r="CH51" s="19">
        <f>+IF('Datos delta'!BQ51&gt;0,REASIGN(0,'Datos Protegidos'!$I51,PARTIDOS!BR$11),0)</f>
        <v>0</v>
      </c>
      <c r="CI51" s="24">
        <v>0</v>
      </c>
      <c r="CJ51" s="19">
        <f>+IF('Datos delta'!BS51&gt;0,REASIGN(0,'Datos Protegidos'!$I51,PARTIDOS!BT$11),0)</f>
        <v>0</v>
      </c>
      <c r="CK51" s="24">
        <v>0</v>
      </c>
      <c r="CL51" s="19">
        <f>+IF('Datos delta'!BU51&gt;0,REASIGN(0,'Datos Protegidos'!$I51,PARTIDOS!BV$11),0)</f>
        <v>0</v>
      </c>
      <c r="CM51" s="24">
        <v>0</v>
      </c>
      <c r="CN51" s="19">
        <f>+IF('Datos delta'!BW51&gt;0,REASIGN(0,'Datos Protegidos'!$I51,PARTIDOS!BX$11),0)</f>
        <v>0</v>
      </c>
      <c r="CO51" s="24">
        <v>0</v>
      </c>
      <c r="CP51" s="19">
        <f>+IF('Datos delta'!BY51&gt;0,REASIGN(0,'Datos Protegidos'!$I51,PARTIDOS!BZ$11),0)</f>
        <v>0</v>
      </c>
      <c r="CQ51" s="24">
        <v>0</v>
      </c>
      <c r="CR51" s="19">
        <f>+IF('Datos delta'!CA51&gt;0,REASIGN(0,'Datos Protegidos'!$I51,PARTIDOS!CB$11),0)</f>
        <v>0</v>
      </c>
      <c r="CS51" s="24">
        <v>0</v>
      </c>
      <c r="CT51" s="19">
        <f>+IF('Datos delta'!CC51&gt;0,REASIGN(0,'Datos Protegidos'!$I51,PARTIDOS!CD$11),0)</f>
        <v>0</v>
      </c>
      <c r="CU51" s="24">
        <v>0</v>
      </c>
      <c r="CV51" s="19">
        <f>+IF('Datos delta'!CE51&gt;0,REASIGN(0,'Datos Protegidos'!$I51,PARTIDOS!CF$11),0)</f>
        <v>0</v>
      </c>
      <c r="CW51" s="24">
        <v>0</v>
      </c>
      <c r="CX51" s="19">
        <f>+IF('Datos delta'!CG51&gt;0,REASIGN(0,'Datos Protegidos'!$I51,PARTIDOS!CH$11),0)</f>
        <v>0</v>
      </c>
      <c r="CY51" s="24">
        <v>0</v>
      </c>
      <c r="CZ51" s="19">
        <f>+IF('Datos delta'!CI51&gt;0,REASIGN(0,'Datos Protegidos'!$I51,PARTIDOS!CJ$11),0)</f>
        <v>0</v>
      </c>
      <c r="DA51" s="24">
        <v>0</v>
      </c>
      <c r="DB51" s="19">
        <f>+IF('Datos delta'!CK51&gt;0,REASIGN(0,'Datos Protegidos'!$I51,PARTIDOS!CL$11),0)</f>
        <v>0</v>
      </c>
      <c r="DC51" s="24">
        <v>0</v>
      </c>
      <c r="DD51" s="19">
        <f>+IF('Datos delta'!CM51&gt;0,REASIGN(0,'Datos Protegidos'!$I51,PARTIDOS!CN$11),0)</f>
        <v>0</v>
      </c>
      <c r="DE51" s="24">
        <v>0</v>
      </c>
      <c r="DF51" s="19">
        <f>+IF('Datos delta'!CO51&gt;0,REASIGN(0,'Datos Protegidos'!$I51,PARTIDOS!CP$11),0)</f>
        <v>0</v>
      </c>
      <c r="DG51" s="24">
        <v>0</v>
      </c>
      <c r="DH51" s="19">
        <f>+IF('Datos delta'!CQ51&gt;0,REASIGN(0,'Datos Protegidos'!$I51,PARTIDOS!CR$11),0)</f>
        <v>0</v>
      </c>
      <c r="DI51" s="24">
        <v>0</v>
      </c>
      <c r="DJ51" s="19">
        <f>+IF('Datos delta'!CS51&gt;0,REASIGN(0,'Datos Protegidos'!$I51,PARTIDOS!CT$11),0)</f>
        <v>0</v>
      </c>
      <c r="DK51" s="24">
        <v>0</v>
      </c>
      <c r="DL51" s="19">
        <f>+IF('Datos delta'!CU51&gt;0,REASIGN(0,'Datos Protegidos'!$I51,PARTIDOS!CV$11),0)</f>
        <v>0</v>
      </c>
      <c r="DM51" s="24">
        <v>0</v>
      </c>
      <c r="DN51" s="19">
        <f>+IF('Datos delta'!CW51&gt;0,REASIGN(0,'Datos Protegidos'!$I51,PARTIDOS!CX$11),0)</f>
        <v>0</v>
      </c>
      <c r="DO51" s="24">
        <v>0</v>
      </c>
      <c r="DP51" s="19">
        <f>+IF('Datos delta'!CY51&gt;0,REASIGN(0,'Datos Protegidos'!$I51,PARTIDOS!CZ$11),0)</f>
        <v>0</v>
      </c>
      <c r="DQ51" s="24">
        <v>0</v>
      </c>
      <c r="DR51" s="19">
        <f>+IF('Datos delta'!DA51&gt;0,REASIGN(0,'Datos Protegidos'!$I51,PARTIDOS!DB$11),0)</f>
        <v>0</v>
      </c>
      <c r="DS51" s="24">
        <v>0</v>
      </c>
      <c r="DT51" s="19">
        <f>+IF('Datos delta'!DC51&gt;0,REASIGN(0,'Datos Protegidos'!$I51,PARTIDOS!DD$11),0)</f>
        <v>0</v>
      </c>
      <c r="DU51" s="24">
        <v>0</v>
      </c>
      <c r="DV51" s="19">
        <f>+IF('Datos delta'!DE51&gt;0,REASIGN(0,'Datos Protegidos'!$I51,PARTIDOS!DF$11),0)</f>
        <v>0</v>
      </c>
      <c r="DW51" s="24">
        <v>0</v>
      </c>
      <c r="DX51" s="19">
        <f>+IF('Datos delta'!DG51&gt;0,REASIGN(0,'Datos Protegidos'!$I51,PARTIDOS!DH$11),0)</f>
        <v>0</v>
      </c>
      <c r="DY51" s="24">
        <v>0</v>
      </c>
      <c r="DZ51" s="19">
        <f>+IF('Datos delta'!DI51&gt;0,REASIGN(0,'Datos Protegidos'!$I51,PARTIDOS!DJ$11),0)</f>
        <v>0</v>
      </c>
      <c r="EA51" s="24">
        <v>0</v>
      </c>
      <c r="EB51" s="19">
        <f>+IF('Datos delta'!DK51&gt;0,REASIGN(0,'Datos Protegidos'!$I51,PARTIDOS!DL$11),0)</f>
        <v>0</v>
      </c>
      <c r="EC51" s="24">
        <v>0</v>
      </c>
      <c r="ED51" s="19">
        <f>+IF('Datos delta'!DM51&gt;0,REASIGN(0,'Datos Protegidos'!$I51,PARTIDOS!DN$11),0)</f>
        <v>0</v>
      </c>
      <c r="EE51" s="24">
        <v>0</v>
      </c>
      <c r="EF51" s="19">
        <f>+IF('Datos delta'!DO51&gt;0,REASIGN(0,'Datos Protegidos'!$I51,PARTIDOS!DP$11),0)</f>
        <v>0</v>
      </c>
      <c r="EG51" s="24">
        <v>0</v>
      </c>
      <c r="EH51" s="19">
        <f>+IF('Datos delta'!DQ51&gt;0,REASIGN(0,'Datos Protegidos'!$I51,PARTIDOS!DR$11),0)</f>
        <v>0</v>
      </c>
      <c r="EI51" s="24">
        <v>0</v>
      </c>
      <c r="EJ51" s="19">
        <f>+IF('Datos delta'!DS51&gt;0,REASIGN(0,'Datos Protegidos'!$I51,PARTIDOS!DT$11),0)</f>
        <v>0</v>
      </c>
      <c r="EK51" s="24">
        <v>0</v>
      </c>
      <c r="EL51" s="19">
        <f>+IF('Datos delta'!DU51&gt;0,REASIGN(0,'Datos Protegidos'!$I51,PARTIDOS!DV$11),0)</f>
        <v>0</v>
      </c>
      <c r="EM51" s="24">
        <v>0</v>
      </c>
      <c r="EN51" s="19">
        <f>+IF('Datos delta'!DW51&gt;0,REASIGN(0,'Datos Protegidos'!$I51,PARTIDOS!DX$11),0)</f>
        <v>0</v>
      </c>
      <c r="EO51" s="24">
        <v>0</v>
      </c>
      <c r="EP51" s="19">
        <f>+IF('Datos delta'!DY51&gt;0,REASIGN(0,'Datos Protegidos'!$I51,PARTIDOS!DZ$11),0)</f>
        <v>0</v>
      </c>
      <c r="EQ51" s="24">
        <v>0</v>
      </c>
      <c r="ER51" s="19">
        <f>+IF('Datos delta'!EA51&gt;0,REASIGN(0,'Datos Protegidos'!$I51,PARTIDOS!EB$11),0)</f>
        <v>0</v>
      </c>
      <c r="ES51" s="24">
        <v>0</v>
      </c>
      <c r="ET51" s="19">
        <f>+IF('Datos delta'!EC51&gt;0,REASIGN(0,'Datos Protegidos'!$I51,PARTIDOS!ED$11),0)</f>
        <v>0</v>
      </c>
      <c r="EU51" s="24">
        <v>0</v>
      </c>
    </row>
    <row r="52" spans="1:151" x14ac:dyDescent="0.25">
      <c r="A52" s="24" t="s">
        <v>81</v>
      </c>
      <c r="B52" s="25">
        <v>51</v>
      </c>
      <c r="C52" s="24" t="s">
        <v>82</v>
      </c>
      <c r="D52" s="24">
        <v>85144</v>
      </c>
      <c r="E52" s="26">
        <v>96</v>
      </c>
      <c r="F52" s="26">
        <v>59820</v>
      </c>
      <c r="G52" s="26">
        <v>2693</v>
      </c>
      <c r="H52" s="26">
        <v>62513</v>
      </c>
      <c r="I52">
        <v>220</v>
      </c>
      <c r="J52" s="19">
        <f>+INT(([1]Hoja1!M52/[1]Hoja1!O52)*M52)</f>
        <v>33395</v>
      </c>
      <c r="K52" s="19">
        <f>+INT(([1]Hoja1!N52/[1]Hoja1!O52)*M52)</f>
        <v>33071</v>
      </c>
      <c r="L52" s="19">
        <f t="shared" si="1"/>
        <v>675</v>
      </c>
      <c r="M52" s="19">
        <f t="shared" si="2"/>
        <v>324</v>
      </c>
      <c r="N52" s="22">
        <f t="shared" si="0"/>
        <v>0</v>
      </c>
      <c r="O52" s="26">
        <v>324</v>
      </c>
      <c r="P52" s="26">
        <v>351</v>
      </c>
      <c r="Q52" s="22">
        <f t="shared" si="3"/>
        <v>1</v>
      </c>
      <c r="R52" s="19">
        <f>+IF('Datos delta'!A52&gt;0,REASIGN(0,'Datos Protegidos'!$I52,PARTIDOS!B$11),0)</f>
        <v>0</v>
      </c>
      <c r="S52" s="24">
        <v>0</v>
      </c>
      <c r="T52" s="19">
        <f>+IF('Datos delta'!C52&gt;0,REASIGN(0,'Datos Protegidos'!$I52,PARTIDOS!D$11),0)</f>
        <v>0</v>
      </c>
      <c r="U52" s="24">
        <v>0</v>
      </c>
      <c r="V52" s="19">
        <f>+IF('Datos delta'!E52&gt;0,REASIGN(0,'Datos Protegidos'!$I52,PARTIDOS!F$11),0)</f>
        <v>0</v>
      </c>
      <c r="W52" s="24">
        <v>1</v>
      </c>
      <c r="X52" s="19">
        <f>+IF('Datos delta'!G52&gt;0,REASIGN(0,'Datos Protegidos'!$I52,PARTIDOS!H$11),0)</f>
        <v>0</v>
      </c>
      <c r="Y52" s="24">
        <v>0</v>
      </c>
      <c r="Z52" s="19">
        <f>+IF('Datos delta'!I52&gt;0,REASIGN(0,'Datos Protegidos'!$I52,PARTIDOS!J$11),0)</f>
        <v>0</v>
      </c>
      <c r="AA52" s="24">
        <v>0</v>
      </c>
      <c r="AB52" s="19">
        <f>+IF('Datos delta'!K52&gt;0,REASIGN(0,'Datos Protegidos'!$I52,PARTIDOS!L$11),0)</f>
        <v>0</v>
      </c>
      <c r="AC52" s="24">
        <v>0</v>
      </c>
      <c r="AD52" s="19">
        <f>+IF('Datos delta'!M52&gt;0,REASIGN(0,'Datos Protegidos'!$I52,PARTIDOS!N$11),0)</f>
        <v>0</v>
      </c>
      <c r="AE52" s="24">
        <v>0</v>
      </c>
      <c r="AF52" s="19">
        <f>+IF('Datos delta'!O52&gt;0,REASIGN(0,'Datos Protegidos'!$I52,PARTIDOS!P$11),0)</f>
        <v>0</v>
      </c>
      <c r="AG52" s="24">
        <v>0</v>
      </c>
      <c r="AH52" s="19">
        <f>+IF('Datos delta'!Q52&gt;0,REASIGN(0,'Datos Protegidos'!$I52,PARTIDOS!R$11),0)</f>
        <v>0</v>
      </c>
      <c r="AI52" s="24">
        <v>0</v>
      </c>
      <c r="AJ52" s="19">
        <f>+IF('Datos delta'!S52&gt;0,REASIGN(0,'Datos Protegidos'!$I52,PARTIDOS!T$11),0)</f>
        <v>0</v>
      </c>
      <c r="AK52" s="24">
        <v>0</v>
      </c>
      <c r="AL52" s="19">
        <f>+IF('Datos delta'!U52&gt;0,REASIGN(0,'Datos Protegidos'!$I52,PARTIDOS!V$11),0)</f>
        <v>0</v>
      </c>
      <c r="AM52" s="24">
        <v>0</v>
      </c>
      <c r="AN52" s="19">
        <f>+IF('Datos delta'!W52&gt;0,REASIGN(0,'Datos Protegidos'!$I52,PARTIDOS!X$11),0)</f>
        <v>0</v>
      </c>
      <c r="AO52" s="24">
        <v>0</v>
      </c>
      <c r="AP52" s="19">
        <f>+IF('Datos delta'!Y52&gt;0,REASIGN(0,'Datos Protegidos'!$I52,PARTIDOS!Z$11),0)</f>
        <v>0</v>
      </c>
      <c r="AQ52" s="24">
        <v>0</v>
      </c>
      <c r="AR52" s="19">
        <f>+IF('Datos delta'!AA52&gt;0,REASIGN(0,'Datos Protegidos'!$I52,PARTIDOS!AB$11),0)</f>
        <v>0</v>
      </c>
      <c r="AS52" s="24">
        <v>0</v>
      </c>
      <c r="AT52" s="19">
        <f>+IF('Datos delta'!AC52&gt;0,REASIGN(0,'Datos Protegidos'!$I52,PARTIDOS!AD$11),0)</f>
        <v>0</v>
      </c>
      <c r="AU52" s="24">
        <v>0</v>
      </c>
      <c r="AV52" s="19">
        <f>+IF('Datos delta'!AE52&gt;0,REASIGN(0,'Datos Protegidos'!$I52,PARTIDOS!AF$11),0)</f>
        <v>0</v>
      </c>
      <c r="AW52" s="24">
        <v>0</v>
      </c>
      <c r="AX52" s="19">
        <f>+IF('Datos delta'!AG52&gt;0,REASIGN(0,'Datos Protegidos'!$I52,PARTIDOS!AH$11),0)</f>
        <v>0</v>
      </c>
      <c r="AY52" s="24">
        <v>0</v>
      </c>
      <c r="AZ52" s="19">
        <f>+IF('Datos delta'!AI52&gt;0,REASIGN(0,'Datos Protegidos'!$I52,PARTIDOS!AJ$11),0)</f>
        <v>0</v>
      </c>
      <c r="BA52" s="24">
        <v>0</v>
      </c>
      <c r="BB52" s="19">
        <f>+IF('Datos delta'!AK52&gt;0,REASIGN(0,'Datos Protegidos'!$I52,PARTIDOS!AL$11),0)</f>
        <v>0</v>
      </c>
      <c r="BC52" s="24">
        <v>0</v>
      </c>
      <c r="BD52" s="19">
        <f>+IF('Datos delta'!AM52&gt;0,REASIGN(0,'Datos Protegidos'!$I52,PARTIDOS!AN$11),0)</f>
        <v>0</v>
      </c>
      <c r="BE52" s="24">
        <v>0</v>
      </c>
      <c r="BF52" s="19">
        <f>+IF('Datos delta'!AO52&gt;0,REASIGN(0,'Datos Protegidos'!$I52,PARTIDOS!AP$11),0)</f>
        <v>0</v>
      </c>
      <c r="BG52" s="24">
        <v>0</v>
      </c>
      <c r="BH52" s="19">
        <f>+IF('Datos delta'!AQ52&gt;0,REASIGN(0,'Datos Protegidos'!$I52,PARTIDOS!AR$11),0)</f>
        <v>0</v>
      </c>
      <c r="BI52" s="24">
        <v>0</v>
      </c>
      <c r="BJ52" s="19">
        <f>+IF('Datos delta'!AS52&gt;0,REASIGN(0,'Datos Protegidos'!$I52,PARTIDOS!AT$11),0)</f>
        <v>0</v>
      </c>
      <c r="BK52" s="24">
        <v>0</v>
      </c>
      <c r="BL52" s="19">
        <f>+IF('Datos delta'!AU52&gt;0,REASIGN(0,'Datos Protegidos'!$I52,PARTIDOS!AV$11),0)</f>
        <v>0</v>
      </c>
      <c r="BM52" s="24">
        <v>0</v>
      </c>
      <c r="BN52" s="19">
        <f>+IF('Datos delta'!AW52&gt;0,REASIGN(0,'Datos Protegidos'!$I52,PARTIDOS!AX$11),0)</f>
        <v>0</v>
      </c>
      <c r="BO52" s="24">
        <v>0</v>
      </c>
      <c r="BP52" s="19">
        <f>+IF('Datos delta'!AY52&gt;0,REASIGN(0,'Datos Protegidos'!$I52,PARTIDOS!AZ$11),0)</f>
        <v>0</v>
      </c>
      <c r="BQ52" s="24">
        <v>0</v>
      </c>
      <c r="BR52" s="19">
        <f>+IF('Datos delta'!BA52&gt;0,REASIGN(0,'Datos Protegidos'!$I52,PARTIDOS!BB$11),0)</f>
        <v>0</v>
      </c>
      <c r="BS52" s="24">
        <v>0</v>
      </c>
      <c r="BT52" s="19">
        <f>+IF('Datos delta'!BC52&gt;0,REASIGN(0,'Datos Protegidos'!$I52,PARTIDOS!BD$11),0)</f>
        <v>0</v>
      </c>
      <c r="BU52" s="24">
        <v>0</v>
      </c>
      <c r="BV52" s="19">
        <f>+IF('Datos delta'!BE52&gt;0,REASIGN(0,'Datos Protegidos'!$I52,PARTIDOS!BF$11),0)</f>
        <v>0</v>
      </c>
      <c r="BW52" s="24">
        <v>0</v>
      </c>
      <c r="BX52" s="19">
        <f>+IF('Datos delta'!BG52&gt;0,REASIGN(0,'Datos Protegidos'!$I52,PARTIDOS!BH$11),0)</f>
        <v>0</v>
      </c>
      <c r="BY52" s="24">
        <v>0</v>
      </c>
      <c r="BZ52" s="19">
        <f>+IF('Datos delta'!BI52&gt;0,REASIGN(0,'Datos Protegidos'!$I52,PARTIDOS!BJ$11),0)</f>
        <v>0</v>
      </c>
      <c r="CA52" s="24">
        <v>0</v>
      </c>
      <c r="CB52" s="19">
        <f>+IF('Datos delta'!BK52&gt;0,REASIGN(0,'Datos Protegidos'!$I52,PARTIDOS!BL$11),0)</f>
        <v>0</v>
      </c>
      <c r="CC52" s="24">
        <v>0</v>
      </c>
      <c r="CD52" s="19">
        <f>+IF('Datos delta'!BM52&gt;0,REASIGN(0,'Datos Protegidos'!$I52,PARTIDOS!BN$11),0)</f>
        <v>0</v>
      </c>
      <c r="CE52" s="24">
        <v>0</v>
      </c>
      <c r="CF52" s="19">
        <f>+IF('Datos delta'!BO52&gt;0,REASIGN(0,'Datos Protegidos'!$I52,PARTIDOS!BP$11),0)</f>
        <v>0</v>
      </c>
      <c r="CG52" s="24">
        <v>0</v>
      </c>
      <c r="CH52" s="19">
        <f>+IF('Datos delta'!BQ52&gt;0,REASIGN(0,'Datos Protegidos'!$I52,PARTIDOS!BR$11),0)</f>
        <v>0</v>
      </c>
      <c r="CI52" s="24">
        <v>0</v>
      </c>
      <c r="CJ52" s="19">
        <f>+IF('Datos delta'!BS52&gt;0,REASIGN(0,'Datos Protegidos'!$I52,PARTIDOS!BT$11),0)</f>
        <v>0</v>
      </c>
      <c r="CK52" s="24">
        <v>0</v>
      </c>
      <c r="CL52" s="19">
        <f>+IF('Datos delta'!BU52&gt;0,REASIGN(0,'Datos Protegidos'!$I52,PARTIDOS!BV$11),0)</f>
        <v>0</v>
      </c>
      <c r="CM52" s="24">
        <v>0</v>
      </c>
      <c r="CN52" s="19">
        <f>+IF('Datos delta'!BW52&gt;0,REASIGN(0,'Datos Protegidos'!$I52,PARTIDOS!BX$11),0)</f>
        <v>0</v>
      </c>
      <c r="CO52" s="24">
        <v>0</v>
      </c>
      <c r="CP52" s="19">
        <f>+IF('Datos delta'!BY52&gt;0,REASIGN(0,'Datos Protegidos'!$I52,PARTIDOS!BZ$11),0)</f>
        <v>0</v>
      </c>
      <c r="CQ52" s="24">
        <v>0</v>
      </c>
      <c r="CR52" s="19">
        <f>+IF('Datos delta'!CA52&gt;0,REASIGN(0,'Datos Protegidos'!$I52,PARTIDOS!CB$11),0)</f>
        <v>0</v>
      </c>
      <c r="CS52" s="24">
        <v>0</v>
      </c>
      <c r="CT52" s="19">
        <f>+IF('Datos delta'!CC52&gt;0,REASIGN(0,'Datos Protegidos'!$I52,PARTIDOS!CD$11),0)</f>
        <v>0</v>
      </c>
      <c r="CU52" s="24">
        <v>0</v>
      </c>
      <c r="CV52" s="19">
        <f>+IF('Datos delta'!CE52&gt;0,REASIGN(0,'Datos Protegidos'!$I52,PARTIDOS!CF$11),0)</f>
        <v>0</v>
      </c>
      <c r="CW52" s="24">
        <v>0</v>
      </c>
      <c r="CX52" s="19">
        <f>+IF('Datos delta'!CG52&gt;0,REASIGN(0,'Datos Protegidos'!$I52,PARTIDOS!CH$11),0)</f>
        <v>0</v>
      </c>
      <c r="CY52" s="24">
        <v>0</v>
      </c>
      <c r="CZ52" s="19">
        <f>+IF('Datos delta'!CI52&gt;0,REASIGN(0,'Datos Protegidos'!$I52,PARTIDOS!CJ$11),0)</f>
        <v>0</v>
      </c>
      <c r="DA52" s="24">
        <v>0</v>
      </c>
      <c r="DB52" s="19">
        <f>+IF('Datos delta'!CK52&gt;0,REASIGN(0,'Datos Protegidos'!$I52,PARTIDOS!CL$11),0)</f>
        <v>0</v>
      </c>
      <c r="DC52" s="24">
        <v>0</v>
      </c>
      <c r="DD52" s="19">
        <f>+IF('Datos delta'!CM52&gt;0,REASIGN(0,'Datos Protegidos'!$I52,PARTIDOS!CN$11),0)</f>
        <v>0</v>
      </c>
      <c r="DE52" s="24">
        <v>0</v>
      </c>
      <c r="DF52" s="19">
        <f>+IF('Datos delta'!CO52&gt;0,REASIGN(0,'Datos Protegidos'!$I52,PARTIDOS!CP$11),0)</f>
        <v>0</v>
      </c>
      <c r="DG52" s="24">
        <v>0</v>
      </c>
      <c r="DH52" s="19">
        <f>+IF('Datos delta'!CQ52&gt;0,REASIGN(0,'Datos Protegidos'!$I52,PARTIDOS!CR$11),0)</f>
        <v>0</v>
      </c>
      <c r="DI52" s="24">
        <v>0</v>
      </c>
      <c r="DJ52" s="19">
        <f>+IF('Datos delta'!CS52&gt;0,REASIGN(0,'Datos Protegidos'!$I52,PARTIDOS!CT$11),0)</f>
        <v>0</v>
      </c>
      <c r="DK52" s="24">
        <v>0</v>
      </c>
      <c r="DL52" s="19">
        <f>+IF('Datos delta'!CU52&gt;0,REASIGN(0,'Datos Protegidos'!$I52,PARTIDOS!CV$11),0)</f>
        <v>0</v>
      </c>
      <c r="DM52" s="24">
        <v>0</v>
      </c>
      <c r="DN52" s="19">
        <f>+IF('Datos delta'!CW52&gt;0,REASIGN(0,'Datos Protegidos'!$I52,PARTIDOS!CX$11),0)</f>
        <v>0</v>
      </c>
      <c r="DO52" s="24">
        <v>0</v>
      </c>
      <c r="DP52" s="19">
        <f>+IF('Datos delta'!CY52&gt;0,REASIGN(0,'Datos Protegidos'!$I52,PARTIDOS!CZ$11),0)</f>
        <v>0</v>
      </c>
      <c r="DQ52" s="24">
        <v>0</v>
      </c>
      <c r="DR52" s="19">
        <f>+IF('Datos delta'!DA52&gt;0,REASIGN(0,'Datos Protegidos'!$I52,PARTIDOS!DB$11),0)</f>
        <v>0</v>
      </c>
      <c r="DS52" s="24">
        <v>0</v>
      </c>
      <c r="DT52" s="19">
        <f>+IF('Datos delta'!DC52&gt;0,REASIGN(0,'Datos Protegidos'!$I52,PARTIDOS!DD$11),0)</f>
        <v>0</v>
      </c>
      <c r="DU52" s="24">
        <v>0</v>
      </c>
      <c r="DV52" s="19">
        <f>+IF('Datos delta'!DE52&gt;0,REASIGN(0,'Datos Protegidos'!$I52,PARTIDOS!DF$11),0)</f>
        <v>0</v>
      </c>
      <c r="DW52" s="24">
        <v>0</v>
      </c>
      <c r="DX52" s="19">
        <f>+IF('Datos delta'!DG52&gt;0,REASIGN(0,'Datos Protegidos'!$I52,PARTIDOS!DH$11),0)</f>
        <v>0</v>
      </c>
      <c r="DY52" s="24">
        <v>0</v>
      </c>
      <c r="DZ52" s="19">
        <f>+IF('Datos delta'!DI52&gt;0,REASIGN(0,'Datos Protegidos'!$I52,PARTIDOS!DJ$11),0)</f>
        <v>0</v>
      </c>
      <c r="EA52" s="24">
        <v>0</v>
      </c>
      <c r="EB52" s="19">
        <f>+IF('Datos delta'!DK52&gt;0,REASIGN(0,'Datos Protegidos'!$I52,PARTIDOS!DL$11),0)</f>
        <v>0</v>
      </c>
      <c r="EC52" s="24">
        <v>0</v>
      </c>
      <c r="ED52" s="19">
        <f>+IF('Datos delta'!DM52&gt;0,REASIGN(0,'Datos Protegidos'!$I52,PARTIDOS!DN$11),0)</f>
        <v>0</v>
      </c>
      <c r="EE52" s="24">
        <v>0</v>
      </c>
      <c r="EF52" s="19">
        <f>+IF('Datos delta'!DO52&gt;0,REASIGN(0,'Datos Protegidos'!$I52,PARTIDOS!DP$11),0)</f>
        <v>0</v>
      </c>
      <c r="EG52" s="24">
        <v>0</v>
      </c>
      <c r="EH52" s="19">
        <f>+IF('Datos delta'!DQ52&gt;0,REASIGN(0,'Datos Protegidos'!$I52,PARTIDOS!DR$11),0)</f>
        <v>0</v>
      </c>
      <c r="EI52" s="24">
        <v>0</v>
      </c>
      <c r="EJ52" s="19">
        <f>+IF('Datos delta'!DS52&gt;0,REASIGN(0,'Datos Protegidos'!$I52,PARTIDOS!DT$11),0)</f>
        <v>0</v>
      </c>
      <c r="EK52" s="24">
        <v>0</v>
      </c>
      <c r="EL52" s="19">
        <f>+IF('Datos delta'!DU52&gt;0,REASIGN(0,'Datos Protegidos'!$I52,PARTIDOS!DV$11),0)</f>
        <v>0</v>
      </c>
      <c r="EM52" s="24">
        <v>0</v>
      </c>
      <c r="EN52" s="19">
        <f>+IF('Datos delta'!DW52&gt;0,REASIGN(0,'Datos Protegidos'!$I52,PARTIDOS!DX$11),0)</f>
        <v>0</v>
      </c>
      <c r="EO52" s="24">
        <v>0</v>
      </c>
      <c r="EP52" s="19">
        <f>+IF('Datos delta'!DY52&gt;0,REASIGN(0,'Datos Protegidos'!$I52,PARTIDOS!DZ$11),0)</f>
        <v>0</v>
      </c>
      <c r="EQ52" s="24">
        <v>0</v>
      </c>
      <c r="ER52" s="19">
        <f>+IF('Datos delta'!EA52&gt;0,REASIGN(0,'Datos Protegidos'!$I52,PARTIDOS!EB$11),0)</f>
        <v>0</v>
      </c>
      <c r="ES52" s="24">
        <v>0</v>
      </c>
      <c r="ET52" s="19">
        <f>+IF('Datos delta'!EC52&gt;0,REASIGN(0,'Datos Protegidos'!$I52,PARTIDOS!ED$11),0)</f>
        <v>0</v>
      </c>
      <c r="EU52" s="24">
        <v>0</v>
      </c>
    </row>
    <row r="53" spans="1:151" x14ac:dyDescent="0.25">
      <c r="A53" s="24" t="s">
        <v>83</v>
      </c>
      <c r="B53" s="25">
        <v>52</v>
      </c>
      <c r="C53" s="24" t="s">
        <v>84</v>
      </c>
      <c r="D53" s="24">
        <v>86384</v>
      </c>
      <c r="E53" s="26">
        <v>87</v>
      </c>
      <c r="F53" s="26">
        <v>54294</v>
      </c>
      <c r="G53" s="26">
        <v>5203</v>
      </c>
      <c r="H53" s="26">
        <v>59497</v>
      </c>
      <c r="I53">
        <v>249</v>
      </c>
      <c r="J53" s="19">
        <f>+INT(([1]Hoja1!M53/[1]Hoja1!O53)*M53)</f>
        <v>30932</v>
      </c>
      <c r="K53" s="19">
        <f>+INT(([1]Hoja1!N53/[1]Hoja1!O53)*M53)</f>
        <v>30747</v>
      </c>
      <c r="L53" s="19">
        <f t="shared" si="1"/>
        <v>425</v>
      </c>
      <c r="M53" s="19">
        <f t="shared" si="2"/>
        <v>185</v>
      </c>
      <c r="N53" s="22">
        <f t="shared" si="0"/>
        <v>0</v>
      </c>
      <c r="O53" s="26">
        <v>185</v>
      </c>
      <c r="P53" s="26">
        <v>240</v>
      </c>
      <c r="Q53" s="22">
        <f t="shared" si="3"/>
        <v>1</v>
      </c>
      <c r="R53" s="19">
        <f>+IF('Datos delta'!A53&gt;0,REASIGN(0,'Datos Protegidos'!$I53,PARTIDOS!B$11),0)</f>
        <v>0</v>
      </c>
      <c r="S53" s="24">
        <v>0</v>
      </c>
      <c r="T53" s="19">
        <f>+IF('Datos delta'!C53&gt;0,REASIGN(0,'Datos Protegidos'!$I53,PARTIDOS!D$11),0)</f>
        <v>0</v>
      </c>
      <c r="U53" s="24">
        <v>1</v>
      </c>
      <c r="V53" s="19">
        <f>+IF('Datos delta'!E53&gt;0,REASIGN(0,'Datos Protegidos'!$I53,PARTIDOS!F$11),0)</f>
        <v>0</v>
      </c>
      <c r="W53" s="24">
        <v>0</v>
      </c>
      <c r="X53" s="19">
        <f>+IF('Datos delta'!G53&gt;0,REASIGN(0,'Datos Protegidos'!$I53,PARTIDOS!H$11),0)</f>
        <v>0</v>
      </c>
      <c r="Y53" s="24">
        <v>0</v>
      </c>
      <c r="Z53" s="19">
        <f>+IF('Datos delta'!I53&gt;0,REASIGN(0,'Datos Protegidos'!$I53,PARTIDOS!J$11),0)</f>
        <v>0</v>
      </c>
      <c r="AA53" s="24">
        <v>0</v>
      </c>
      <c r="AB53" s="19">
        <f>+IF('Datos delta'!K53&gt;0,REASIGN(0,'Datos Protegidos'!$I53,PARTIDOS!L$11),0)</f>
        <v>0</v>
      </c>
      <c r="AC53" s="24">
        <v>0</v>
      </c>
      <c r="AD53" s="19">
        <f>+IF('Datos delta'!M53&gt;0,REASIGN(0,'Datos Protegidos'!$I53,PARTIDOS!N$11),0)</f>
        <v>0</v>
      </c>
      <c r="AE53" s="24">
        <v>0</v>
      </c>
      <c r="AF53" s="19">
        <f>+IF('Datos delta'!O53&gt;0,REASIGN(0,'Datos Protegidos'!$I53,PARTIDOS!P$11),0)</f>
        <v>0</v>
      </c>
      <c r="AG53" s="24">
        <v>0</v>
      </c>
      <c r="AH53" s="19">
        <f>+IF('Datos delta'!Q53&gt;0,REASIGN(0,'Datos Protegidos'!$I53,PARTIDOS!R$11),0)</f>
        <v>0</v>
      </c>
      <c r="AI53" s="24">
        <v>0</v>
      </c>
      <c r="AJ53" s="19">
        <f>+IF('Datos delta'!S53&gt;0,REASIGN(0,'Datos Protegidos'!$I53,PARTIDOS!T$11),0)</f>
        <v>0</v>
      </c>
      <c r="AK53" s="24">
        <v>0</v>
      </c>
      <c r="AL53" s="19">
        <f>+IF('Datos delta'!U53&gt;0,REASIGN(0,'Datos Protegidos'!$I53,PARTIDOS!V$11),0)</f>
        <v>0</v>
      </c>
      <c r="AM53" s="24">
        <v>0</v>
      </c>
      <c r="AN53" s="19">
        <f>+IF('Datos delta'!W53&gt;0,REASIGN(0,'Datos Protegidos'!$I53,PARTIDOS!X$11),0)</f>
        <v>0</v>
      </c>
      <c r="AO53" s="24">
        <v>0</v>
      </c>
      <c r="AP53" s="19">
        <f>+IF('Datos delta'!Y53&gt;0,REASIGN(0,'Datos Protegidos'!$I53,PARTIDOS!Z$11),0)</f>
        <v>0</v>
      </c>
      <c r="AQ53" s="24">
        <v>0</v>
      </c>
      <c r="AR53" s="19">
        <f>+IF('Datos delta'!AA53&gt;0,REASIGN(0,'Datos Protegidos'!$I53,PARTIDOS!AB$11),0)</f>
        <v>0</v>
      </c>
      <c r="AS53" s="24">
        <v>0</v>
      </c>
      <c r="AT53" s="19">
        <f>+IF('Datos delta'!AC53&gt;0,REASIGN(0,'Datos Protegidos'!$I53,PARTIDOS!AD$11),0)</f>
        <v>0</v>
      </c>
      <c r="AU53" s="24">
        <v>0</v>
      </c>
      <c r="AV53" s="19">
        <f>+IF('Datos delta'!AE53&gt;0,REASIGN(0,'Datos Protegidos'!$I53,PARTIDOS!AF$11),0)</f>
        <v>0</v>
      </c>
      <c r="AW53" s="24">
        <v>0</v>
      </c>
      <c r="AX53" s="19">
        <f>+IF('Datos delta'!AG53&gt;0,REASIGN(0,'Datos Protegidos'!$I53,PARTIDOS!AH$11),0)</f>
        <v>0</v>
      </c>
      <c r="AY53" s="24">
        <v>0</v>
      </c>
      <c r="AZ53" s="19">
        <f>+IF('Datos delta'!AI53&gt;0,REASIGN(0,'Datos Protegidos'!$I53,PARTIDOS!AJ$11),0)</f>
        <v>0</v>
      </c>
      <c r="BA53" s="24">
        <v>0</v>
      </c>
      <c r="BB53" s="19">
        <f>+IF('Datos delta'!AK53&gt;0,REASIGN(0,'Datos Protegidos'!$I53,PARTIDOS!AL$11),0)</f>
        <v>0</v>
      </c>
      <c r="BC53" s="24">
        <v>0</v>
      </c>
      <c r="BD53" s="19">
        <f>+IF('Datos delta'!AM53&gt;0,REASIGN(0,'Datos Protegidos'!$I53,PARTIDOS!AN$11),0)</f>
        <v>0</v>
      </c>
      <c r="BE53" s="24">
        <v>0</v>
      </c>
      <c r="BF53" s="19">
        <f>+IF('Datos delta'!AO53&gt;0,REASIGN(0,'Datos Protegidos'!$I53,PARTIDOS!AP$11),0)</f>
        <v>0</v>
      </c>
      <c r="BG53" s="24">
        <v>0</v>
      </c>
      <c r="BH53" s="19">
        <f>+IF('Datos delta'!AQ53&gt;0,REASIGN(0,'Datos Protegidos'!$I53,PARTIDOS!AR$11),0)</f>
        <v>0</v>
      </c>
      <c r="BI53" s="24">
        <v>0</v>
      </c>
      <c r="BJ53" s="19">
        <f>+IF('Datos delta'!AS53&gt;0,REASIGN(0,'Datos Protegidos'!$I53,PARTIDOS!AT$11),0)</f>
        <v>0</v>
      </c>
      <c r="BK53" s="24">
        <v>0</v>
      </c>
      <c r="BL53" s="19">
        <f>+IF('Datos delta'!AU53&gt;0,REASIGN(0,'Datos Protegidos'!$I53,PARTIDOS!AV$11),0)</f>
        <v>0</v>
      </c>
      <c r="BM53" s="24">
        <v>0</v>
      </c>
      <c r="BN53" s="19">
        <f>+IF('Datos delta'!AW53&gt;0,REASIGN(0,'Datos Protegidos'!$I53,PARTIDOS!AX$11),0)</f>
        <v>0</v>
      </c>
      <c r="BO53" s="24">
        <v>0</v>
      </c>
      <c r="BP53" s="19">
        <f>+IF('Datos delta'!AY53&gt;0,REASIGN(0,'Datos Protegidos'!$I53,PARTIDOS!AZ$11),0)</f>
        <v>0</v>
      </c>
      <c r="BQ53" s="24">
        <v>0</v>
      </c>
      <c r="BR53" s="19">
        <f>+IF('Datos delta'!BA53&gt;0,REASIGN(0,'Datos Protegidos'!$I53,PARTIDOS!BB$11),0)</f>
        <v>0</v>
      </c>
      <c r="BS53" s="24">
        <v>0</v>
      </c>
      <c r="BT53" s="19">
        <f>+IF('Datos delta'!BC53&gt;0,REASIGN(0,'Datos Protegidos'!$I53,PARTIDOS!BD$11),0)</f>
        <v>0</v>
      </c>
      <c r="BU53" s="24">
        <v>0</v>
      </c>
      <c r="BV53" s="19">
        <f>+IF('Datos delta'!BE53&gt;0,REASIGN(0,'Datos Protegidos'!$I53,PARTIDOS!BF$11),0)</f>
        <v>0</v>
      </c>
      <c r="BW53" s="24">
        <v>0</v>
      </c>
      <c r="BX53" s="19">
        <f>+IF('Datos delta'!BG53&gt;0,REASIGN(0,'Datos Protegidos'!$I53,PARTIDOS!BH$11),0)</f>
        <v>0</v>
      </c>
      <c r="BY53" s="24">
        <v>0</v>
      </c>
      <c r="BZ53" s="19">
        <f>+IF('Datos delta'!BI53&gt;0,REASIGN(0,'Datos Protegidos'!$I53,PARTIDOS!BJ$11),0)</f>
        <v>0</v>
      </c>
      <c r="CA53" s="24">
        <v>0</v>
      </c>
      <c r="CB53" s="19">
        <f>+IF('Datos delta'!BK53&gt;0,REASIGN(0,'Datos Protegidos'!$I53,PARTIDOS!BL$11),0)</f>
        <v>0</v>
      </c>
      <c r="CC53" s="24">
        <v>0</v>
      </c>
      <c r="CD53" s="19">
        <f>+IF('Datos delta'!BM53&gt;0,REASIGN(0,'Datos Protegidos'!$I53,PARTIDOS!BN$11),0)</f>
        <v>0</v>
      </c>
      <c r="CE53" s="24">
        <v>0</v>
      </c>
      <c r="CF53" s="19">
        <f>+IF('Datos delta'!BO53&gt;0,REASIGN(0,'Datos Protegidos'!$I53,PARTIDOS!BP$11),0)</f>
        <v>0</v>
      </c>
      <c r="CG53" s="24">
        <v>0</v>
      </c>
      <c r="CH53" s="19">
        <f>+IF('Datos delta'!BQ53&gt;0,REASIGN(0,'Datos Protegidos'!$I53,PARTIDOS!BR$11),0)</f>
        <v>0</v>
      </c>
      <c r="CI53" s="24">
        <v>0</v>
      </c>
      <c r="CJ53" s="19">
        <f>+IF('Datos delta'!BS53&gt;0,REASIGN(0,'Datos Protegidos'!$I53,PARTIDOS!BT$11),0)</f>
        <v>0</v>
      </c>
      <c r="CK53" s="24">
        <v>0</v>
      </c>
      <c r="CL53" s="19">
        <f>+IF('Datos delta'!BU53&gt;0,REASIGN(0,'Datos Protegidos'!$I53,PARTIDOS!BV$11),0)</f>
        <v>0</v>
      </c>
      <c r="CM53" s="24">
        <v>0</v>
      </c>
      <c r="CN53" s="19">
        <f>+IF('Datos delta'!BW53&gt;0,REASIGN(0,'Datos Protegidos'!$I53,PARTIDOS!BX$11),0)</f>
        <v>0</v>
      </c>
      <c r="CO53" s="24">
        <v>0</v>
      </c>
      <c r="CP53" s="19">
        <f>+IF('Datos delta'!BY53&gt;0,REASIGN(0,'Datos Protegidos'!$I53,PARTIDOS!BZ$11),0)</f>
        <v>0</v>
      </c>
      <c r="CQ53" s="24">
        <v>0</v>
      </c>
      <c r="CR53" s="19">
        <f>+IF('Datos delta'!CA53&gt;0,REASIGN(0,'Datos Protegidos'!$I53,PARTIDOS!CB$11),0)</f>
        <v>0</v>
      </c>
      <c r="CS53" s="24">
        <v>0</v>
      </c>
      <c r="CT53" s="19">
        <f>+IF('Datos delta'!CC53&gt;0,REASIGN(0,'Datos Protegidos'!$I53,PARTIDOS!CD$11),0)</f>
        <v>0</v>
      </c>
      <c r="CU53" s="24">
        <v>0</v>
      </c>
      <c r="CV53" s="19">
        <f>+IF('Datos delta'!CE53&gt;0,REASIGN(0,'Datos Protegidos'!$I53,PARTIDOS!CF$11),0)</f>
        <v>0</v>
      </c>
      <c r="CW53" s="24">
        <v>0</v>
      </c>
      <c r="CX53" s="19">
        <f>+IF('Datos delta'!CG53&gt;0,REASIGN(0,'Datos Protegidos'!$I53,PARTIDOS!CH$11),0)</f>
        <v>0</v>
      </c>
      <c r="CY53" s="24">
        <v>0</v>
      </c>
      <c r="CZ53" s="19">
        <f>+IF('Datos delta'!CI53&gt;0,REASIGN(0,'Datos Protegidos'!$I53,PARTIDOS!CJ$11),0)</f>
        <v>0</v>
      </c>
      <c r="DA53" s="24">
        <v>0</v>
      </c>
      <c r="DB53" s="19">
        <f>+IF('Datos delta'!CK53&gt;0,REASIGN(0,'Datos Protegidos'!$I53,PARTIDOS!CL$11),0)</f>
        <v>0</v>
      </c>
      <c r="DC53" s="24">
        <v>0</v>
      </c>
      <c r="DD53" s="19">
        <f>+IF('Datos delta'!CM53&gt;0,REASIGN(0,'Datos Protegidos'!$I53,PARTIDOS!CN$11),0)</f>
        <v>0</v>
      </c>
      <c r="DE53" s="24">
        <v>0</v>
      </c>
      <c r="DF53" s="19">
        <f>+IF('Datos delta'!CO53&gt;0,REASIGN(0,'Datos Protegidos'!$I53,PARTIDOS!CP$11),0)</f>
        <v>0</v>
      </c>
      <c r="DG53" s="24">
        <v>0</v>
      </c>
      <c r="DH53" s="19">
        <f>+IF('Datos delta'!CQ53&gt;0,REASIGN(0,'Datos Protegidos'!$I53,PARTIDOS!CR$11),0)</f>
        <v>0</v>
      </c>
      <c r="DI53" s="24">
        <v>0</v>
      </c>
      <c r="DJ53" s="19">
        <f>+IF('Datos delta'!CS53&gt;0,REASIGN(0,'Datos Protegidos'!$I53,PARTIDOS!CT$11),0)</f>
        <v>0</v>
      </c>
      <c r="DK53" s="24">
        <v>0</v>
      </c>
      <c r="DL53" s="19">
        <f>+IF('Datos delta'!CU53&gt;0,REASIGN(0,'Datos Protegidos'!$I53,PARTIDOS!CV$11),0)</f>
        <v>0</v>
      </c>
      <c r="DM53" s="24">
        <v>0</v>
      </c>
      <c r="DN53" s="19">
        <f>+IF('Datos delta'!CW53&gt;0,REASIGN(0,'Datos Protegidos'!$I53,PARTIDOS!CX$11),0)</f>
        <v>0</v>
      </c>
      <c r="DO53" s="24">
        <v>0</v>
      </c>
      <c r="DP53" s="19">
        <f>+IF('Datos delta'!CY53&gt;0,REASIGN(0,'Datos Protegidos'!$I53,PARTIDOS!CZ$11),0)</f>
        <v>0</v>
      </c>
      <c r="DQ53" s="24">
        <v>0</v>
      </c>
      <c r="DR53" s="19">
        <f>+IF('Datos delta'!DA53&gt;0,REASIGN(0,'Datos Protegidos'!$I53,PARTIDOS!DB$11),0)</f>
        <v>0</v>
      </c>
      <c r="DS53" s="24">
        <v>0</v>
      </c>
      <c r="DT53" s="19">
        <f>+IF('Datos delta'!DC53&gt;0,REASIGN(0,'Datos Protegidos'!$I53,PARTIDOS!DD$11),0)</f>
        <v>0</v>
      </c>
      <c r="DU53" s="24">
        <v>0</v>
      </c>
      <c r="DV53" s="19">
        <f>+IF('Datos delta'!DE53&gt;0,REASIGN(0,'Datos Protegidos'!$I53,PARTIDOS!DF$11),0)</f>
        <v>0</v>
      </c>
      <c r="DW53" s="24">
        <v>0</v>
      </c>
      <c r="DX53" s="19">
        <f>+IF('Datos delta'!DG53&gt;0,REASIGN(0,'Datos Protegidos'!$I53,PARTIDOS!DH$11),0)</f>
        <v>0</v>
      </c>
      <c r="DY53" s="24">
        <v>0</v>
      </c>
      <c r="DZ53" s="19">
        <f>+IF('Datos delta'!DI53&gt;0,REASIGN(0,'Datos Protegidos'!$I53,PARTIDOS!DJ$11),0)</f>
        <v>0</v>
      </c>
      <c r="EA53" s="24">
        <v>0</v>
      </c>
      <c r="EB53" s="19">
        <f>+IF('Datos delta'!DK53&gt;0,REASIGN(0,'Datos Protegidos'!$I53,PARTIDOS!DL$11),0)</f>
        <v>0</v>
      </c>
      <c r="EC53" s="24">
        <v>0</v>
      </c>
      <c r="ED53" s="19">
        <f>+IF('Datos delta'!DM53&gt;0,REASIGN(0,'Datos Protegidos'!$I53,PARTIDOS!DN$11),0)</f>
        <v>0</v>
      </c>
      <c r="EE53" s="24">
        <v>0</v>
      </c>
      <c r="EF53" s="19">
        <f>+IF('Datos delta'!DO53&gt;0,REASIGN(0,'Datos Protegidos'!$I53,PARTIDOS!DP$11),0)</f>
        <v>0</v>
      </c>
      <c r="EG53" s="24">
        <v>0</v>
      </c>
      <c r="EH53" s="19">
        <f>+IF('Datos delta'!DQ53&gt;0,REASIGN(0,'Datos Protegidos'!$I53,PARTIDOS!DR$11),0)</f>
        <v>0</v>
      </c>
      <c r="EI53" s="24">
        <v>0</v>
      </c>
      <c r="EJ53" s="19">
        <f>+IF('Datos delta'!DS53&gt;0,REASIGN(0,'Datos Protegidos'!$I53,PARTIDOS!DT$11),0)</f>
        <v>0</v>
      </c>
      <c r="EK53" s="24">
        <v>0</v>
      </c>
      <c r="EL53" s="19">
        <f>+IF('Datos delta'!DU53&gt;0,REASIGN(0,'Datos Protegidos'!$I53,PARTIDOS!DV$11),0)</f>
        <v>0</v>
      </c>
      <c r="EM53" s="24">
        <v>0</v>
      </c>
      <c r="EN53" s="19">
        <f>+IF('Datos delta'!DW53&gt;0,REASIGN(0,'Datos Protegidos'!$I53,PARTIDOS!DX$11),0)</f>
        <v>0</v>
      </c>
      <c r="EO53" s="24">
        <v>0</v>
      </c>
      <c r="EP53" s="19">
        <f>+IF('Datos delta'!DY53&gt;0,REASIGN(0,'Datos Protegidos'!$I53,PARTIDOS!DZ$11),0)</f>
        <v>0</v>
      </c>
      <c r="EQ53" s="24">
        <v>0</v>
      </c>
      <c r="ER53" s="19">
        <f>+IF('Datos delta'!EA53&gt;0,REASIGN(0,'Datos Protegidos'!$I53,PARTIDOS!EB$11),0)</f>
        <v>0</v>
      </c>
      <c r="ES53" s="24">
        <v>0</v>
      </c>
      <c r="ET53" s="19">
        <f>+IF('Datos delta'!EC53&gt;0,REASIGN(0,'Datos Protegidos'!$I53,PARTIDOS!ED$11),0)</f>
        <v>0</v>
      </c>
      <c r="EU53" s="2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B1E4-2FE6-4522-829D-D31DE395C616}">
  <sheetPr codeName="Hoja1"/>
  <dimension ref="A1:EU55"/>
  <sheetViews>
    <sheetView showGridLines="0" topLeftCell="E1" workbookViewId="0">
      <pane ySplit="1" topLeftCell="A53" activePane="bottomLeft" state="frozen"/>
      <selection activeCell="BJ1" sqref="BJ1"/>
      <selection pane="bottomLeft" activeCell="R55" sqref="R55"/>
    </sheetView>
  </sheetViews>
  <sheetFormatPr baseColWidth="10" defaultColWidth="12.140625" defaultRowHeight="15" x14ac:dyDescent="0.25"/>
  <cols>
    <col min="2" max="2" width="12.140625" style="10"/>
    <col min="6" max="13" width="12.140625" style="7"/>
    <col min="15" max="17" width="12.140625" style="7"/>
    <col min="18" max="18" width="13.140625" bestFit="1" customWidth="1"/>
    <col min="19" max="19" width="12.140625" style="7"/>
    <col min="21" max="21" width="12.140625" style="7"/>
    <col min="23" max="23" width="12.140625" style="7"/>
    <col min="25" max="25" width="12.140625" style="7"/>
    <col min="27" max="27" width="12.140625" style="7"/>
    <col min="29" max="29" width="12.140625" style="7"/>
    <col min="31" max="31" width="12.140625" style="7"/>
    <col min="33" max="33" width="12.140625" style="7"/>
    <col min="35" max="35" width="12.140625" style="7"/>
    <col min="37" max="37" width="12.140625" style="7"/>
    <col min="39" max="39" width="12.140625" style="7"/>
    <col min="41" max="41" width="12.140625" style="7"/>
    <col min="43" max="43" width="12.140625" style="7"/>
    <col min="45" max="45" width="12.140625" style="7"/>
    <col min="47" max="47" width="12.140625" style="7"/>
    <col min="49" max="49" width="12.140625" style="7"/>
    <col min="51" max="51" width="12.140625" style="7"/>
    <col min="53" max="53" width="12.140625" style="7"/>
    <col min="55" max="55" width="12.140625" style="7"/>
    <col min="57" max="57" width="12.140625" style="7"/>
    <col min="59" max="59" width="12.140625" style="7"/>
    <col min="61" max="61" width="12.140625" style="7"/>
    <col min="63" max="63" width="12.140625" style="7"/>
    <col min="65" max="65" width="12.140625" style="7"/>
    <col min="67" max="67" width="12.140625" style="7"/>
    <col min="69" max="69" width="12.140625" style="7"/>
    <col min="71" max="71" width="12.140625" style="7"/>
    <col min="73" max="73" width="12.140625" style="7"/>
    <col min="75" max="75" width="12.140625" style="7"/>
    <col min="77" max="77" width="12.140625" style="7"/>
    <col min="79" max="79" width="12.140625" style="7"/>
    <col min="81" max="81" width="12.140625" style="7"/>
    <col min="83" max="83" width="12.140625" style="7"/>
    <col min="85" max="85" width="12.140625" style="7"/>
    <col min="87" max="87" width="12.140625" style="7"/>
    <col min="89" max="89" width="12.140625" style="7"/>
    <col min="91" max="91" width="12.140625" style="7"/>
    <col min="93" max="93" width="12.140625" style="7"/>
    <col min="95" max="95" width="12.140625" style="7"/>
    <col min="97" max="97" width="12.140625" style="7"/>
    <col min="99" max="99" width="12.140625" style="7"/>
    <col min="101" max="101" width="12.140625" style="7"/>
    <col min="103" max="103" width="12.140625" style="7"/>
    <col min="105" max="105" width="12.140625" style="7"/>
    <col min="107" max="107" width="12.140625" style="7"/>
    <col min="109" max="109" width="12.140625" style="7"/>
    <col min="111" max="111" width="12.140625" style="7"/>
    <col min="113" max="113" width="12.140625" style="7"/>
    <col min="115" max="115" width="12.140625" style="7"/>
    <col min="117" max="117" width="12.140625" style="7"/>
    <col min="119" max="119" width="12.140625" style="7"/>
    <col min="121" max="121" width="12.140625" style="7"/>
    <col min="123" max="123" width="12.140625" style="7"/>
    <col min="125" max="125" width="12.140625" style="7"/>
    <col min="127" max="127" width="12.140625" style="7"/>
    <col min="129" max="129" width="12.140625" style="7"/>
    <col min="131" max="131" width="12.140625" style="7"/>
    <col min="133" max="133" width="12.140625" style="7"/>
    <col min="135" max="135" width="12.140625" style="7"/>
    <col min="137" max="137" width="12.140625" style="7"/>
    <col min="139" max="139" width="12.140625" style="7"/>
    <col min="141" max="141" width="12.140625" style="7"/>
    <col min="143" max="143" width="12.140625" style="7"/>
    <col min="145" max="145" width="12.140625" style="7"/>
    <col min="147" max="147" width="12.140625" style="7"/>
    <col min="149" max="149" width="12.140625" style="7"/>
    <col min="151" max="151" width="12.140625" style="7"/>
  </cols>
  <sheetData>
    <row r="1" spans="1:151" s="11" customFormat="1" ht="42.75" customHeight="1" x14ac:dyDescent="0.25">
      <c r="A1" s="12" t="s">
        <v>0</v>
      </c>
      <c r="B1" s="12" t="s">
        <v>1</v>
      </c>
      <c r="C1" s="12" t="s">
        <v>2</v>
      </c>
      <c r="D1" s="12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2" t="s">
        <v>16</v>
      </c>
      <c r="R1" s="11" t="s">
        <v>85</v>
      </c>
      <c r="S1" s="12" t="s">
        <v>86</v>
      </c>
      <c r="T1" s="11" t="s">
        <v>87</v>
      </c>
      <c r="U1" s="12" t="s">
        <v>88</v>
      </c>
      <c r="V1" s="11" t="s">
        <v>89</v>
      </c>
      <c r="W1" s="12" t="s">
        <v>90</v>
      </c>
      <c r="X1" s="11" t="s">
        <v>91</v>
      </c>
      <c r="Y1" s="12" t="s">
        <v>92</v>
      </c>
      <c r="Z1" s="11" t="s">
        <v>93</v>
      </c>
      <c r="AA1" s="12" t="s">
        <v>94</v>
      </c>
      <c r="AB1" s="11" t="s">
        <v>95</v>
      </c>
      <c r="AC1" s="12" t="s">
        <v>96</v>
      </c>
      <c r="AD1" s="11" t="s">
        <v>97</v>
      </c>
      <c r="AE1" s="12" t="s">
        <v>98</v>
      </c>
      <c r="AF1" s="11" t="s">
        <v>99</v>
      </c>
      <c r="AG1" s="12" t="s">
        <v>100</v>
      </c>
      <c r="AH1" s="11" t="s">
        <v>101</v>
      </c>
      <c r="AI1" s="12" t="s">
        <v>102</v>
      </c>
      <c r="AJ1" s="11" t="s">
        <v>103</v>
      </c>
      <c r="AK1" s="12" t="s">
        <v>104</v>
      </c>
      <c r="AL1" s="11" t="s">
        <v>105</v>
      </c>
      <c r="AM1" s="12" t="s">
        <v>106</v>
      </c>
      <c r="AN1" s="11" t="s">
        <v>107</v>
      </c>
      <c r="AO1" s="12" t="s">
        <v>108</v>
      </c>
      <c r="AP1" s="11" t="s">
        <v>109</v>
      </c>
      <c r="AQ1" s="12" t="s">
        <v>110</v>
      </c>
      <c r="AR1" s="11" t="s">
        <v>111</v>
      </c>
      <c r="AS1" s="12" t="s">
        <v>112</v>
      </c>
      <c r="AT1" s="11" t="s">
        <v>113</v>
      </c>
      <c r="AU1" s="12" t="s">
        <v>114</v>
      </c>
      <c r="AV1" s="11" t="s">
        <v>115</v>
      </c>
      <c r="AW1" s="12" t="s">
        <v>116</v>
      </c>
      <c r="AX1" s="11" t="s">
        <v>117</v>
      </c>
      <c r="AY1" s="12" t="s">
        <v>118</v>
      </c>
      <c r="AZ1" s="11" t="s">
        <v>119</v>
      </c>
      <c r="BA1" s="12" t="s">
        <v>120</v>
      </c>
      <c r="BB1" s="11" t="s">
        <v>121</v>
      </c>
      <c r="BC1" s="12" t="s">
        <v>122</v>
      </c>
      <c r="BD1" s="11" t="s">
        <v>123</v>
      </c>
      <c r="BE1" s="12" t="s">
        <v>124</v>
      </c>
      <c r="BF1" s="11" t="s">
        <v>125</v>
      </c>
      <c r="BG1" s="12" t="s">
        <v>126</v>
      </c>
      <c r="BH1" s="11" t="s">
        <v>127</v>
      </c>
      <c r="BI1" s="12" t="s">
        <v>128</v>
      </c>
      <c r="BJ1" s="11" t="s">
        <v>129</v>
      </c>
      <c r="BK1" s="12" t="s">
        <v>130</v>
      </c>
      <c r="BL1" s="11" t="s">
        <v>131</v>
      </c>
      <c r="BM1" s="12" t="s">
        <v>132</v>
      </c>
      <c r="BN1" s="11" t="s">
        <v>133</v>
      </c>
      <c r="BO1" s="12" t="s">
        <v>134</v>
      </c>
      <c r="BP1" s="11" t="s">
        <v>135</v>
      </c>
      <c r="BQ1" s="12" t="s">
        <v>136</v>
      </c>
      <c r="BR1" s="11" t="s">
        <v>137</v>
      </c>
      <c r="BS1" s="12" t="s">
        <v>138</v>
      </c>
      <c r="BT1" s="11" t="s">
        <v>139</v>
      </c>
      <c r="BU1" s="12" t="s">
        <v>140</v>
      </c>
      <c r="BV1" s="11" t="s">
        <v>141</v>
      </c>
      <c r="BW1" s="12" t="s">
        <v>142</v>
      </c>
      <c r="BX1" s="11" t="s">
        <v>143</v>
      </c>
      <c r="BY1" s="12" t="s">
        <v>144</v>
      </c>
      <c r="BZ1" s="11" t="s">
        <v>145</v>
      </c>
      <c r="CA1" s="12" t="s">
        <v>146</v>
      </c>
      <c r="CB1" s="11" t="s">
        <v>147</v>
      </c>
      <c r="CC1" s="12" t="s">
        <v>148</v>
      </c>
      <c r="CD1" s="11" t="s">
        <v>149</v>
      </c>
      <c r="CE1" s="12" t="s">
        <v>150</v>
      </c>
      <c r="CF1" s="11" t="s">
        <v>151</v>
      </c>
      <c r="CG1" s="12" t="s">
        <v>152</v>
      </c>
      <c r="CH1" s="11" t="s">
        <v>153</v>
      </c>
      <c r="CI1" s="12" t="s">
        <v>154</v>
      </c>
      <c r="CJ1" s="11" t="s">
        <v>155</v>
      </c>
      <c r="CK1" s="12" t="s">
        <v>156</v>
      </c>
      <c r="CL1" s="11" t="s">
        <v>157</v>
      </c>
      <c r="CM1" s="12" t="s">
        <v>158</v>
      </c>
      <c r="CN1" s="11" t="s">
        <v>159</v>
      </c>
      <c r="CO1" s="12" t="s">
        <v>160</v>
      </c>
      <c r="CP1" s="11" t="s">
        <v>161</v>
      </c>
      <c r="CQ1" s="12" t="s">
        <v>162</v>
      </c>
      <c r="CR1" s="11" t="s">
        <v>163</v>
      </c>
      <c r="CS1" s="12" t="s">
        <v>164</v>
      </c>
      <c r="CT1" s="11" t="s">
        <v>165</v>
      </c>
      <c r="CU1" s="12" t="s">
        <v>166</v>
      </c>
      <c r="CV1" s="11" t="s">
        <v>167</v>
      </c>
      <c r="CW1" s="12" t="s">
        <v>168</v>
      </c>
      <c r="CX1" s="11" t="s">
        <v>169</v>
      </c>
      <c r="CY1" s="12" t="s">
        <v>170</v>
      </c>
      <c r="CZ1" s="11" t="s">
        <v>171</v>
      </c>
      <c r="DA1" s="12" t="s">
        <v>172</v>
      </c>
      <c r="DB1" s="11" t="s">
        <v>173</v>
      </c>
      <c r="DC1" s="12" t="s">
        <v>174</v>
      </c>
      <c r="DD1" s="11" t="s">
        <v>175</v>
      </c>
      <c r="DE1" s="12" t="s">
        <v>176</v>
      </c>
      <c r="DF1" s="11" t="s">
        <v>177</v>
      </c>
      <c r="DG1" s="12" t="s">
        <v>178</v>
      </c>
      <c r="DH1" s="11" t="s">
        <v>179</v>
      </c>
      <c r="DI1" s="12" t="s">
        <v>180</v>
      </c>
      <c r="DJ1" s="11" t="s">
        <v>181</v>
      </c>
      <c r="DK1" s="12" t="s">
        <v>182</v>
      </c>
      <c r="DL1" s="11" t="s">
        <v>183</v>
      </c>
      <c r="DM1" s="12" t="s">
        <v>184</v>
      </c>
      <c r="DN1" s="11" t="s">
        <v>185</v>
      </c>
      <c r="DO1" s="12" t="s">
        <v>186</v>
      </c>
      <c r="DP1" s="11" t="s">
        <v>187</v>
      </c>
      <c r="DQ1" s="12" t="s">
        <v>188</v>
      </c>
      <c r="DR1" s="11" t="s">
        <v>189</v>
      </c>
      <c r="DS1" s="12" t="s">
        <v>190</v>
      </c>
      <c r="DT1" s="11" t="s">
        <v>191</v>
      </c>
      <c r="DU1" s="12" t="s">
        <v>192</v>
      </c>
      <c r="DV1" s="11" t="s">
        <v>193</v>
      </c>
      <c r="DW1" s="12" t="s">
        <v>194</v>
      </c>
      <c r="DX1" s="11" t="s">
        <v>195</v>
      </c>
      <c r="DY1" s="12" t="s">
        <v>196</v>
      </c>
      <c r="DZ1" s="11" t="s">
        <v>197</v>
      </c>
      <c r="EA1" s="12" t="s">
        <v>198</v>
      </c>
      <c r="EB1" s="11" t="s">
        <v>199</v>
      </c>
      <c r="EC1" s="12" t="s">
        <v>200</v>
      </c>
      <c r="ED1" s="11" t="s">
        <v>201</v>
      </c>
      <c r="EE1" s="12" t="s">
        <v>202</v>
      </c>
      <c r="EF1" s="11" t="s">
        <v>203</v>
      </c>
      <c r="EG1" s="12" t="s">
        <v>204</v>
      </c>
      <c r="EH1" s="11" t="s">
        <v>205</v>
      </c>
      <c r="EI1" s="12" t="s">
        <v>206</v>
      </c>
      <c r="EJ1" s="11" t="s">
        <v>207</v>
      </c>
      <c r="EK1" s="12" t="s">
        <v>208</v>
      </c>
      <c r="EL1" s="11" t="s">
        <v>209</v>
      </c>
      <c r="EM1" s="12" t="s">
        <v>210</v>
      </c>
      <c r="EN1" s="11" t="s">
        <v>211</v>
      </c>
      <c r="EO1" s="12" t="s">
        <v>212</v>
      </c>
      <c r="EP1" s="11" t="s">
        <v>213</v>
      </c>
      <c r="EQ1" s="12" t="s">
        <v>214</v>
      </c>
      <c r="ER1" s="11" t="s">
        <v>215</v>
      </c>
      <c r="ES1" s="12" t="s">
        <v>216</v>
      </c>
      <c r="ET1" s="11" t="s">
        <v>217</v>
      </c>
      <c r="EU1" s="12" t="s">
        <v>218</v>
      </c>
    </row>
    <row r="2" spans="1:151" s="2" customFormat="1" x14ac:dyDescent="0.25">
      <c r="A2" s="4" t="s">
        <v>17</v>
      </c>
      <c r="B2" s="5">
        <v>4</v>
      </c>
      <c r="C2" s="4" t="s">
        <v>18</v>
      </c>
      <c r="D2" s="6">
        <v>709340</v>
      </c>
      <c r="E2" s="2">
        <v>809</v>
      </c>
      <c r="F2" s="3">
        <v>460639</v>
      </c>
      <c r="G2" s="3">
        <v>41988</v>
      </c>
      <c r="H2" s="3">
        <v>502627</v>
      </c>
      <c r="I2" s="3"/>
      <c r="J2" s="3"/>
      <c r="K2" s="3"/>
      <c r="L2" s="3">
        <f>+M2+P2</f>
        <v>311982</v>
      </c>
      <c r="M2" s="3">
        <f>+N2+O2</f>
        <v>308992</v>
      </c>
      <c r="N2" s="6">
        <f t="shared" ref="N2:N53" si="0">SUM(R2,T2,V2,X2,Z2,AB2,AD2,AF2,AH2,AJ2,AL2,AN2,AP2,AR2,AT2,AV2,AX2,AZ2,BB2,BD2)+SUM(BF2,BH2,BJ2,BL2,BN2,BP2,BR2,BT2,BV2,BX2)+SUM(BZ2,CB2,CD2,CF2,CH2,CJ2,CL2,CN2,CP2,CR2)+SUM(CT2,CV2,CX2,CZ2,DB2,DD2,DF2,DH2,DJ2,DL2,DN2,DP2,DR2,DT2,DV2,DX2,DZ2,EB2,ED2,EF2,EH2,EJ2,EL2,EN2,EP2,ER2,ET2)</f>
        <v>306331</v>
      </c>
      <c r="O2" s="3">
        <v>2661</v>
      </c>
      <c r="P2" s="3">
        <v>2990</v>
      </c>
      <c r="Q2" s="6">
        <f>+S2+U2+W2+Y2+AA2+AC2+AE2+AG2+AI2+AK2+AM2+AO2+AQ2+AS2+AU2+AW2+AY2+BA2+BC2+BE2+BG2+BI2+BK2+BM2+BO2+BQ2+BS2+BU2+BW2+BY2+CA2+CC2+CE2+CG2+CI2+CK2+CM2+CO2+CQ2+CS2+CU2+CW2+CY2+DA2+DC2+DE2+DG2+DI2+DK2+DM2+DO2+DQ2+DS2+DU2+DW2+DY2+EA2+EC2+EE2+EG2+EI2+EK2+EM2+EO2+EQ2+ES2+EU2</f>
        <v>6</v>
      </c>
      <c r="R2" s="19">
        <f>+IF('Datos delta'!A2&gt;0,REASIGN('Datos delta'!A2,'Datos Protegidos'!$K2,PARTIDOS!B$8),0)</f>
        <v>96042</v>
      </c>
      <c r="S2" s="4">
        <v>2</v>
      </c>
      <c r="T2" s="19">
        <f>+IF('Datos delta'!C2&gt;0,REASIGN('Datos delta'!C2,'Datos Protegidos'!$K2,PARTIDOS!D$8),0)</f>
        <v>97901</v>
      </c>
      <c r="U2" s="4">
        <v>2</v>
      </c>
      <c r="V2" s="19">
        <f>+IF('Datos delta'!E2&gt;0,REASIGN('Datos delta'!E2,'Datos Protegidos'!$K2,PARTIDOS!F$8),0)</f>
        <v>82328</v>
      </c>
      <c r="W2" s="4">
        <v>2</v>
      </c>
      <c r="X2" s="19">
        <f>+IF('Datos delta'!G2&gt;0,REASIGN('Datos delta'!G2,'Datos Protegidos'!$K2,PARTIDOS!H$8),0)</f>
        <v>25620</v>
      </c>
      <c r="Y2" s="4">
        <v>0</v>
      </c>
      <c r="Z2" s="19">
        <f>+IF('Datos delta'!I2&gt;0,REASIGN('Datos delta'!I2,'Datos Protegidos'!$K2,PARTIDOS!J$8),0)</f>
        <v>0</v>
      </c>
      <c r="AA2" s="4">
        <v>0</v>
      </c>
      <c r="AB2" s="19">
        <f>+IF('Datos delta'!K2&gt;0,REASIGN('Datos delta'!K2,'Datos Protegidos'!$K2,PARTIDOS!L$8),0)</f>
        <v>0</v>
      </c>
      <c r="AC2" s="4">
        <v>0</v>
      </c>
      <c r="AD2" s="19">
        <f>+IF('Datos delta'!M2&gt;0,REASIGN('Datos delta'!M2,'Datos Protegidos'!$K2,PARTIDOS!N$8),0)</f>
        <v>0</v>
      </c>
      <c r="AE2" s="4">
        <v>0</v>
      </c>
      <c r="AF2" s="19">
        <f>+IF('Datos delta'!O2&gt;0,REASIGN('Datos delta'!O2,'Datos Protegidos'!$K2,PARTIDOS!P$8),0)</f>
        <v>0</v>
      </c>
      <c r="AG2" s="4">
        <v>0</v>
      </c>
      <c r="AH2" s="19">
        <f>+IF('Datos delta'!Q2&gt;0,REASIGN('Datos delta'!Q2,'Datos Protegidos'!$K2,PARTIDOS!R$8),0)</f>
        <v>0</v>
      </c>
      <c r="AI2" s="4">
        <v>0</v>
      </c>
      <c r="AJ2" s="19">
        <f>+IF('Datos delta'!S2&gt;0,REASIGN('Datos delta'!S2,'Datos Protegidos'!$K2,PARTIDOS!T$8),0)</f>
        <v>0</v>
      </c>
      <c r="AK2" s="4">
        <v>0</v>
      </c>
      <c r="AL2" s="19">
        <f>+IF('Datos delta'!U2&gt;0,REASIGN('Datos delta'!U2,'Datos Protegidos'!$K2,PARTIDOS!V$8),0)</f>
        <v>0</v>
      </c>
      <c r="AM2" s="4">
        <v>0</v>
      </c>
      <c r="AN2" s="19">
        <f>+IF('Datos delta'!W2&gt;0,REASIGN('Datos delta'!W2,'Datos Protegidos'!$K2,PARTIDOS!X$8),0)</f>
        <v>0</v>
      </c>
      <c r="AO2" s="4">
        <v>0</v>
      </c>
      <c r="AP2" s="19">
        <f>+IF('Datos delta'!Y2&gt;0,REASIGN('Datos delta'!Y2,'Datos Protegidos'!$K2,PARTIDOS!Z$8),0)</f>
        <v>0</v>
      </c>
      <c r="AQ2" s="4">
        <v>0</v>
      </c>
      <c r="AR2" s="19">
        <f>+IF('Datos delta'!AA2&gt;0,REASIGN('Datos delta'!AA2,'Datos Protegidos'!$K2,PARTIDOS!AB$8),0)</f>
        <v>0</v>
      </c>
      <c r="AS2" s="4">
        <v>0</v>
      </c>
      <c r="AT2" s="19">
        <f>+IF('Datos delta'!AC2&gt;0,REASIGN('Datos delta'!AC2,'Datos Protegidos'!$K2,PARTIDOS!AD$8),0)</f>
        <v>0</v>
      </c>
      <c r="AU2" s="4">
        <v>0</v>
      </c>
      <c r="AV2" s="19">
        <f>+IF('Datos delta'!AE2&gt;0,REASIGN('Datos delta'!AE2,'Datos Protegidos'!$K2,PARTIDOS!AF$8),0)</f>
        <v>0</v>
      </c>
      <c r="AW2" s="4">
        <v>0</v>
      </c>
      <c r="AX2" s="19">
        <f>+IF('Datos delta'!AG2&gt;0,REASIGN('Datos delta'!AG2,'Datos Protegidos'!$K2,PARTIDOS!AH$8),0)</f>
        <v>0</v>
      </c>
      <c r="AY2" s="4">
        <v>0</v>
      </c>
      <c r="AZ2" s="19">
        <f>+IF('Datos delta'!AI2&gt;0,REASIGN('Datos delta'!AI2,'Datos Protegidos'!$K2,PARTIDOS!AJ$8),0)</f>
        <v>0</v>
      </c>
      <c r="BA2" s="4">
        <v>0</v>
      </c>
      <c r="BB2" s="19">
        <f>+IF('Datos delta'!AK2&gt;0,REASIGN('Datos delta'!AK2,'Datos Protegidos'!$K2,PARTIDOS!AL$8),0)</f>
        <v>0</v>
      </c>
      <c r="BC2" s="4">
        <v>0</v>
      </c>
      <c r="BD2" s="19">
        <f>+IF('Datos delta'!AM2&gt;0,REASIGN('Datos delta'!AM2,'Datos Protegidos'!$K2,PARTIDOS!AN$8),0)</f>
        <v>2569</v>
      </c>
      <c r="BE2" s="4">
        <v>0</v>
      </c>
      <c r="BF2" s="19">
        <f>+IF('Datos delta'!AO2&gt;0,REASIGN('Datos delta'!AO2,'Datos Protegidos'!$K2,PARTIDOS!AP$8),0)</f>
        <v>0</v>
      </c>
      <c r="BG2" s="4">
        <v>0</v>
      </c>
      <c r="BH2" s="19">
        <f>+IF('Datos delta'!AQ2&gt;0,REASIGN('Datos delta'!AQ2,'Datos Protegidos'!$K2,PARTIDOS!AR$8),0)</f>
        <v>358</v>
      </c>
      <c r="BI2" s="4">
        <v>0</v>
      </c>
      <c r="BJ2" s="19">
        <f>+IF('Datos delta'!AS2&gt;0,REASIGN('Datos delta'!AS2,'Datos Protegidos'!$K2,PARTIDOS!AT$8),0)</f>
        <v>369</v>
      </c>
      <c r="BK2" s="4">
        <v>0</v>
      </c>
      <c r="BL2" s="19">
        <f>+IF('Datos delta'!AU2&gt;0,REASIGN('Datos delta'!AU2,'Datos Protegidos'!$K2,PARTIDOS!AV$8),0)</f>
        <v>0</v>
      </c>
      <c r="BM2" s="4">
        <v>0</v>
      </c>
      <c r="BN2" s="19">
        <f>+IF('Datos delta'!AW2&gt;0,REASIGN('Datos delta'!AW2,'Datos Protegidos'!$K2,PARTIDOS!AX$8),0)</f>
        <v>0</v>
      </c>
      <c r="BO2" s="4">
        <v>0</v>
      </c>
      <c r="BP2" s="19">
        <f>+IF('Datos delta'!AY2&gt;0,REASIGN('Datos delta'!AY2,'Datos Protegidos'!$K2,PARTIDOS!AZ$8),0)</f>
        <v>316</v>
      </c>
      <c r="BQ2" s="4">
        <v>0</v>
      </c>
      <c r="BR2" s="19">
        <f>+IF('Datos delta'!BA2&gt;0,REASIGN('Datos delta'!BA2,'Datos Protegidos'!$K2,PARTIDOS!BB$8),0)</f>
        <v>318</v>
      </c>
      <c r="BS2" s="4">
        <v>0</v>
      </c>
      <c r="BT2" s="19">
        <f>+IF('Datos delta'!BC2&gt;0,REASIGN('Datos delta'!BC2,'Datos Protegidos'!$K2,PARTIDOS!BD$8),0)</f>
        <v>0</v>
      </c>
      <c r="BU2" s="4">
        <v>0</v>
      </c>
      <c r="BV2" s="19">
        <f>+IF('Datos delta'!BE2&gt;0,REASIGN('Datos delta'!BE2,'Datos Protegidos'!$K2,PARTIDOS!BF$8),0)</f>
        <v>0</v>
      </c>
      <c r="BW2" s="4">
        <v>0</v>
      </c>
      <c r="BX2" s="19">
        <f>+IF('Datos delta'!BG2&gt;0,REASIGN('Datos delta'!BG2,'Datos Protegidos'!$K2,PARTIDOS!BH$8),0)</f>
        <v>0</v>
      </c>
      <c r="BY2" s="4">
        <v>0</v>
      </c>
      <c r="BZ2" s="19">
        <f>+IF('Datos delta'!BI2&gt;0,REASIGN('Datos delta'!BI2,'Datos Protegidos'!$K2,PARTIDOS!BJ$8),0)</f>
        <v>0</v>
      </c>
      <c r="CA2" s="4">
        <v>0</v>
      </c>
      <c r="CB2" s="19">
        <f>+IF('Datos delta'!BK2&gt;0,REASIGN('Datos delta'!BK2,'Datos Protegidos'!$K2,PARTIDOS!BL$8),0)</f>
        <v>0</v>
      </c>
      <c r="CC2" s="4">
        <v>0</v>
      </c>
      <c r="CD2" s="19">
        <f>+IF('Datos delta'!BM2&gt;0,REASIGN('Datos delta'!BM2,'Datos Protegidos'!$K2,PARTIDOS!BN$8),0)</f>
        <v>510</v>
      </c>
      <c r="CE2" s="4">
        <v>0</v>
      </c>
      <c r="CF2" s="19">
        <f>+IF('Datos delta'!BO2&gt;0,REASIGN('Datos delta'!BO2,'Datos Protegidos'!$K2,PARTIDOS!BP$8),0)</f>
        <v>0</v>
      </c>
      <c r="CG2" s="4">
        <v>0</v>
      </c>
      <c r="CH2" s="19">
        <f>+IF('Datos delta'!BQ2&gt;0,REASIGN('Datos delta'!BQ2,'Datos Protegidos'!$K2,PARTIDOS!BR$8),0)</f>
        <v>0</v>
      </c>
      <c r="CI2" s="4">
        <v>0</v>
      </c>
      <c r="CJ2" s="19">
        <f>+IF('Datos delta'!BS2&gt;0,REASIGN('Datos delta'!BS2,'Datos Protegidos'!$K2,PARTIDOS!BT$8),0)</f>
        <v>0</v>
      </c>
      <c r="CK2" s="4">
        <v>0</v>
      </c>
      <c r="CL2" s="19">
        <f>+IF('Datos delta'!BU2&gt;0,REASIGN('Datos delta'!BU2,'Datos Protegidos'!$K2,PARTIDOS!BV$8),0)</f>
        <v>0</v>
      </c>
      <c r="CM2" s="4">
        <v>0</v>
      </c>
      <c r="CN2" s="19">
        <f>+IF('Datos delta'!BW2&gt;0,REASIGN('Datos delta'!BW2,'Datos Protegidos'!$K2,PARTIDOS!BX$8),0)</f>
        <v>0</v>
      </c>
      <c r="CO2" s="4">
        <v>0</v>
      </c>
      <c r="CP2" s="19">
        <f>+IF('Datos delta'!BY2&gt;0,REASIGN('Datos delta'!BY2,'Datos Protegidos'!$K2,PARTIDOS!BZ$8),0)</f>
        <v>0</v>
      </c>
      <c r="CQ2" s="4">
        <v>0</v>
      </c>
      <c r="CR2" s="19">
        <f>+IF('Datos delta'!CA2&gt;0,REASIGN('Datos delta'!CA2,'Datos Protegidos'!$K2,PARTIDOS!CB$8),0)</f>
        <v>0</v>
      </c>
      <c r="CS2" s="4">
        <v>0</v>
      </c>
      <c r="CT2" s="19">
        <f>+IF('Datos delta'!CC2&gt;0,REASIGN('Datos delta'!CC2,'Datos Protegidos'!$K2,PARTIDOS!CD$8),0)</f>
        <v>0</v>
      </c>
      <c r="CU2" s="4">
        <v>0</v>
      </c>
      <c r="CV2" s="19">
        <f>+IF('Datos delta'!CE2&gt;0,REASIGN('Datos delta'!CE2,'Datos Protegidos'!$K2,PARTIDOS!CF$8),0)</f>
        <v>0</v>
      </c>
      <c r="CW2" s="4">
        <v>0</v>
      </c>
      <c r="CX2" s="19">
        <f>+IF('Datos delta'!CG2&gt;0,REASIGN('Datos delta'!CG2,'Datos Protegidos'!$K2,PARTIDOS!CH$8),0)</f>
        <v>0</v>
      </c>
      <c r="CY2" s="4">
        <v>0</v>
      </c>
      <c r="CZ2" s="19">
        <f>+IF('Datos delta'!CI2&gt;0,REASIGN('Datos delta'!CI2,'Datos Protegidos'!$K2,PARTIDOS!CJ$8),0)</f>
        <v>0</v>
      </c>
      <c r="DA2" s="4">
        <v>0</v>
      </c>
      <c r="DB2" s="19">
        <f>+IF('Datos delta'!CK2&gt;0,REASIGN('Datos delta'!CK2,'Datos Protegidos'!$K2,PARTIDOS!CL$8),0)</f>
        <v>0</v>
      </c>
      <c r="DC2" s="4">
        <v>0</v>
      </c>
      <c r="DD2" s="19">
        <f>+IF('Datos delta'!CM2&gt;0,REASIGN('Datos delta'!CM2,'Datos Protegidos'!$K2,PARTIDOS!CN$8),0)</f>
        <v>0</v>
      </c>
      <c r="DE2" s="4">
        <v>0</v>
      </c>
      <c r="DF2" s="19">
        <f>+IF('Datos delta'!CO2&gt;0,REASIGN('Datos delta'!CO2,'Datos Protegidos'!$K2,PARTIDOS!CP$8),0)</f>
        <v>0</v>
      </c>
      <c r="DG2" s="4">
        <v>0</v>
      </c>
      <c r="DH2" s="19">
        <f>+IF('Datos delta'!CQ2&gt;0,REASIGN('Datos delta'!CQ2,'Datos Protegidos'!$K2,PARTIDOS!CR$8),0)</f>
        <v>0</v>
      </c>
      <c r="DI2" s="4">
        <v>0</v>
      </c>
      <c r="DJ2" s="19">
        <f>+IF('Datos delta'!CS2&gt;0,REASIGN('Datos delta'!CS2,'Datos Protegidos'!$K2,PARTIDOS!CT$8),0)</f>
        <v>0</v>
      </c>
      <c r="DK2" s="4">
        <v>0</v>
      </c>
      <c r="DL2" s="19">
        <f>+IF('Datos delta'!CU2&gt;0,REASIGN('Datos delta'!CU2,'Datos Protegidos'!$K2,PARTIDOS!CV$8),0)</f>
        <v>0</v>
      </c>
      <c r="DM2" s="4">
        <v>0</v>
      </c>
      <c r="DN2" s="19">
        <f>+IF('Datos delta'!CW2&gt;0,REASIGN('Datos delta'!CW2,'Datos Protegidos'!$K2,PARTIDOS!CX$8),0)</f>
        <v>0</v>
      </c>
      <c r="DO2" s="4">
        <v>0</v>
      </c>
      <c r="DP2" s="19">
        <f>+IF('Datos delta'!CY2&gt;0,REASIGN('Datos delta'!CY2,'Datos Protegidos'!$K2,PARTIDOS!CZ$8),0)</f>
        <v>0</v>
      </c>
      <c r="DQ2" s="7">
        <v>0</v>
      </c>
      <c r="DR2" s="19">
        <f>+IF('Datos delta'!DA2&gt;0,REASIGN('Datos delta'!DA2,'Datos Protegidos'!$K2,PARTIDOS!DB$8),0)</f>
        <v>0</v>
      </c>
      <c r="DS2" s="7">
        <v>0</v>
      </c>
      <c r="DT2" s="19">
        <f>+IF('Datos delta'!DC2&gt;0,REASIGN('Datos delta'!DC2,'Datos Protegidos'!$K2,PARTIDOS!DD$8),0)</f>
        <v>0</v>
      </c>
      <c r="DU2" s="7">
        <v>0</v>
      </c>
      <c r="DV2" s="19">
        <f>+IF('Datos delta'!DE2&gt;0,REASIGN('Datos delta'!DE2,'Datos Protegidos'!$K2,PARTIDOS!DF$8),0)</f>
        <v>0</v>
      </c>
      <c r="DW2" s="7">
        <v>0</v>
      </c>
      <c r="DX2" s="19">
        <f>+IF('Datos delta'!DG2&gt;0,REASIGN('Datos delta'!DG2,'Datos Protegidos'!$K2,PARTIDOS!DH$8),0)</f>
        <v>0</v>
      </c>
      <c r="DY2" s="7">
        <v>0</v>
      </c>
      <c r="DZ2" s="19">
        <f>+IF('Datos delta'!DI2&gt;0,REASIGN('Datos delta'!DI2,'Datos Protegidos'!$K2,PARTIDOS!DJ$8),0)</f>
        <v>0</v>
      </c>
      <c r="EA2" s="7">
        <v>0</v>
      </c>
      <c r="EB2" s="19">
        <f>+IF('Datos delta'!DK2&gt;0,REASIGN('Datos delta'!DK2,'Datos Protegidos'!$K2,PARTIDOS!DL$8),0)</f>
        <v>0</v>
      </c>
      <c r="EC2" s="7">
        <v>0</v>
      </c>
      <c r="ED2" s="19">
        <f>+IF('Datos delta'!DM2&gt;0,REASIGN('Datos delta'!DM2,'Datos Protegidos'!$K2,PARTIDOS!DN$8),0)</f>
        <v>0</v>
      </c>
      <c r="EE2" s="7">
        <v>0</v>
      </c>
      <c r="EF2" s="19">
        <f>+IF('Datos delta'!DO2&gt;0,REASIGN('Datos delta'!DO2,'Datos Protegidos'!$K2,PARTIDOS!DP$8),0)</f>
        <v>0</v>
      </c>
      <c r="EG2" s="7">
        <v>0</v>
      </c>
      <c r="EH2" s="19">
        <f>+IF('Datos delta'!DQ2&gt;0,REASIGN('Datos delta'!DQ2,'Datos Protegidos'!$K2,PARTIDOS!DR$8),0)</f>
        <v>0</v>
      </c>
      <c r="EI2" s="7">
        <v>0</v>
      </c>
      <c r="EJ2" s="19">
        <f>+IF('Datos delta'!DS2&gt;0,REASIGN('Datos delta'!DS2,'Datos Protegidos'!$K2,PARTIDOS!DT$8),0)</f>
        <v>0</v>
      </c>
      <c r="EK2" s="7">
        <v>0</v>
      </c>
      <c r="EL2" s="19">
        <f>+IF('Datos delta'!DU2&gt;0,REASIGN('Datos delta'!DU2,'Datos Protegidos'!$K2,PARTIDOS!DV$8),0)</f>
        <v>0</v>
      </c>
      <c r="EM2" s="7">
        <v>0</v>
      </c>
      <c r="EN2" s="19">
        <f>+IF('Datos delta'!DW2&gt;0,REASIGN('Datos delta'!DW2,'Datos Protegidos'!$K2,PARTIDOS!DX$8),0)</f>
        <v>0</v>
      </c>
      <c r="EO2" s="7">
        <v>0</v>
      </c>
      <c r="EP2" s="19">
        <f>+IF('Datos delta'!DY2&gt;0,REASIGN('Datos delta'!DY2,'Datos Protegidos'!$K2,PARTIDOS!DZ$8),0)</f>
        <v>0</v>
      </c>
      <c r="EQ2" s="7">
        <v>0</v>
      </c>
      <c r="ER2" s="19">
        <f>+IF('Datos delta'!EA2&gt;0,REASIGN('Datos delta'!EA2,'Datos Protegidos'!$K2,PARTIDOS!EB$8),0)</f>
        <v>0</v>
      </c>
      <c r="ES2" s="7">
        <v>0</v>
      </c>
      <c r="ET2" s="19">
        <f>+IF('Datos delta'!EC2&gt;0,REASIGN('Datos delta'!EC2,'Datos Protegidos'!$K2,PARTIDOS!ED$8),0)</f>
        <v>0</v>
      </c>
      <c r="EU2" s="7">
        <v>0</v>
      </c>
    </row>
    <row r="3" spans="1:151" s="2" customFormat="1" x14ac:dyDescent="0.25">
      <c r="A3" s="4" t="s">
        <v>17</v>
      </c>
      <c r="B3" s="5">
        <v>11</v>
      </c>
      <c r="C3" s="4" t="s">
        <v>19</v>
      </c>
      <c r="D3" s="6">
        <v>1238714</v>
      </c>
      <c r="E3" s="3">
        <v>1520</v>
      </c>
      <c r="F3" s="3">
        <v>973238</v>
      </c>
      <c r="G3" s="3">
        <v>29057</v>
      </c>
      <c r="H3" s="3">
        <v>1002295</v>
      </c>
      <c r="I3" s="3"/>
      <c r="J3" s="19"/>
      <c r="K3" s="3"/>
      <c r="L3" s="3">
        <f t="shared" ref="L3:L53" si="1">+M3+P3</f>
        <v>638193</v>
      </c>
      <c r="M3" s="3">
        <f t="shared" ref="M3:M53" si="2">+N3+O3</f>
        <v>630077</v>
      </c>
      <c r="N3" s="6">
        <f t="shared" si="0"/>
        <v>620856</v>
      </c>
      <c r="O3" s="3">
        <v>9221</v>
      </c>
      <c r="P3" s="3">
        <v>8116</v>
      </c>
      <c r="Q3" s="6">
        <f>+S3+U3+W3+Y3+AA3+AC3+AE3+AG3+AI3+AK3+AM3+AO3+AQ3+AS3+AU3+AW3+AY3+BA3+BC3+BE3+BG3+BI3+BK3+BM3+BO3+BQ3+BS3+BU3+BW3+BY3+CA3+CC3+CE3+CG3+CI3+CK3+CM3+CO3+CQ3+CS3+CU3+CW3+CY3+DA3+DC3+DE3+DG3+DI3+DK3+DM3+DO3+DQ3+DS3+DU3+DW3+DY3+EA3+EC3+EE3+EG3+EI3+EK3+EM3+EO3+EQ3+ES3+EU3</f>
        <v>9</v>
      </c>
      <c r="R3" s="19">
        <f>+IF('Datos delta'!A3&gt;0,REASIGN('Datos delta'!A3,'Datos Protegidos'!$K3,PARTIDOS!B$8),0)</f>
        <v>203233</v>
      </c>
      <c r="S3" s="4">
        <v>3</v>
      </c>
      <c r="T3" s="19">
        <f>+IF('Datos delta'!C3&gt;0,REASIGN('Datos delta'!C3,'Datos Protegidos'!$K3,PARTIDOS!D$8),0)</f>
        <v>157702</v>
      </c>
      <c r="U3" s="4">
        <v>2</v>
      </c>
      <c r="V3" s="19">
        <f>+IF('Datos delta'!E3&gt;0,REASIGN('Datos delta'!E3,'Datos Protegidos'!$K3,PARTIDOS!F$8),0)</f>
        <v>133829</v>
      </c>
      <c r="W3" s="4">
        <v>2</v>
      </c>
      <c r="X3" s="19">
        <f>+IF('Datos delta'!G3&gt;0,REASIGN('Datos delta'!G3,'Datos Protegidos'!$K3,PARTIDOS!H$8),0)</f>
        <v>98218</v>
      </c>
      <c r="Y3" s="4">
        <v>1</v>
      </c>
      <c r="Z3" s="19">
        <f>+IF('Datos delta'!I3&gt;0,REASIGN('Datos delta'!I3,'Datos Protegidos'!$K3,PARTIDOS!J$8),0)</f>
        <v>0</v>
      </c>
      <c r="AA3" s="4">
        <v>0</v>
      </c>
      <c r="AB3" s="19">
        <f>+IF('Datos delta'!K3&gt;0,REASIGN('Datos delta'!K3,'Datos Protegidos'!$K3,PARTIDOS!L$8),0)</f>
        <v>0</v>
      </c>
      <c r="AC3" s="4">
        <v>1</v>
      </c>
      <c r="AD3" s="19">
        <f>+IF('Datos delta'!M3&gt;0,REASIGN('Datos delta'!M3,'Datos Protegidos'!$K3,PARTIDOS!N$8),0)</f>
        <v>0</v>
      </c>
      <c r="AE3" s="4">
        <v>0</v>
      </c>
      <c r="AF3" s="19">
        <f>+IF('Datos delta'!O3&gt;0,REASIGN('Datos delta'!O3,'Datos Protegidos'!$K3,PARTIDOS!P$8),0)</f>
        <v>0</v>
      </c>
      <c r="AG3" s="4">
        <v>0</v>
      </c>
      <c r="AH3" s="19">
        <f>+IF('Datos delta'!Q3&gt;0,REASIGN('Datos delta'!Q3,'Datos Protegidos'!$K3,PARTIDOS!R$8),0)</f>
        <v>0</v>
      </c>
      <c r="AI3" s="4">
        <v>0</v>
      </c>
      <c r="AJ3" s="19">
        <f>+IF('Datos delta'!S3&gt;0,REASIGN('Datos delta'!S3,'Datos Protegidos'!$K3,PARTIDOS!T$8),0)</f>
        <v>0</v>
      </c>
      <c r="AK3" s="4">
        <v>0</v>
      </c>
      <c r="AL3" s="19">
        <f>+IF('Datos delta'!U3&gt;0,REASIGN('Datos delta'!U3,'Datos Protegidos'!$K3,PARTIDOS!V$8),0)</f>
        <v>11881</v>
      </c>
      <c r="AM3" s="4">
        <v>0</v>
      </c>
      <c r="AN3" s="19">
        <f>+IF('Datos delta'!W3&gt;0,REASIGN('Datos delta'!W3,'Datos Protegidos'!$K3,PARTIDOS!X$8),0)</f>
        <v>0</v>
      </c>
      <c r="AO3" s="4">
        <v>0</v>
      </c>
      <c r="AP3" s="19">
        <f>+IF('Datos delta'!Y3&gt;0,REASIGN('Datos delta'!Y3,'Datos Protegidos'!$K3,PARTIDOS!Z$8),0)</f>
        <v>0</v>
      </c>
      <c r="AQ3" s="4">
        <v>0</v>
      </c>
      <c r="AR3" s="19">
        <f>+IF('Datos delta'!AA3&gt;0,REASIGN('Datos delta'!AA3,'Datos Protegidos'!$K3,PARTIDOS!AB$8),0)</f>
        <v>0</v>
      </c>
      <c r="AS3" s="4">
        <v>0</v>
      </c>
      <c r="AT3" s="19">
        <f>+IF('Datos delta'!AC3&gt;0,REASIGN('Datos delta'!AC3,'Datos Protegidos'!$K3,PARTIDOS!AD$8),0)</f>
        <v>0</v>
      </c>
      <c r="AU3" s="4">
        <v>0</v>
      </c>
      <c r="AV3" s="19">
        <f>+IF('Datos delta'!AE3&gt;0,REASIGN('Datos delta'!AE3,'Datos Protegidos'!$K3,PARTIDOS!AF$8),0)</f>
        <v>0</v>
      </c>
      <c r="AW3" s="4">
        <v>0</v>
      </c>
      <c r="AX3" s="19">
        <f>+IF('Datos delta'!AG3&gt;0,REASIGN('Datos delta'!AG3,'Datos Protegidos'!$K3,PARTIDOS!AH$8),0)</f>
        <v>0</v>
      </c>
      <c r="AY3" s="4">
        <v>0</v>
      </c>
      <c r="AZ3" s="19">
        <f>+IF('Datos delta'!AI3&gt;0,REASIGN('Datos delta'!AI3,'Datos Protegidos'!$K3,PARTIDOS!AJ$8),0)</f>
        <v>0</v>
      </c>
      <c r="BA3" s="4">
        <v>0</v>
      </c>
      <c r="BB3" s="19">
        <f>+IF('Datos delta'!AK3&gt;0,REASIGN('Datos delta'!AK3,'Datos Protegidos'!$K3,PARTIDOS!AL$8),0)</f>
        <v>0</v>
      </c>
      <c r="BC3" s="4">
        <v>0</v>
      </c>
      <c r="BD3" s="19">
        <f>+IF('Datos delta'!AM3&gt;0,REASIGN('Datos delta'!AM3,'Datos Protegidos'!$K3,PARTIDOS!AN$8),0)</f>
        <v>8394</v>
      </c>
      <c r="BE3" s="4">
        <v>0</v>
      </c>
      <c r="BF3" s="19">
        <f>+IF('Datos delta'!AO3&gt;0,REASIGN('Datos delta'!AO3,'Datos Protegidos'!$K3,PARTIDOS!AP$8),0)</f>
        <v>0</v>
      </c>
      <c r="BG3" s="4">
        <v>0</v>
      </c>
      <c r="BH3" s="19">
        <f>+IF('Datos delta'!AQ3&gt;0,REASIGN('Datos delta'!AQ3,'Datos Protegidos'!$K3,PARTIDOS!AR$8),0)</f>
        <v>910</v>
      </c>
      <c r="BI3" s="4">
        <v>0</v>
      </c>
      <c r="BJ3" s="19">
        <f>+IF('Datos delta'!AS3&gt;0,REASIGN('Datos delta'!AS3,'Datos Protegidos'!$K3,PARTIDOS!AT$8),0)</f>
        <v>703</v>
      </c>
      <c r="BK3" s="4">
        <v>0</v>
      </c>
      <c r="BL3" s="19">
        <f>+IF('Datos delta'!AU3&gt;0,REASIGN('Datos delta'!AU3,'Datos Protegidos'!$K3,PARTIDOS!AV$8),0)</f>
        <v>0</v>
      </c>
      <c r="BM3" s="4">
        <v>0</v>
      </c>
      <c r="BN3" s="19">
        <f>+IF('Datos delta'!AW3&gt;0,REASIGN('Datos delta'!AW3,'Datos Protegidos'!$K3,PARTIDOS!AX$8),0)</f>
        <v>0</v>
      </c>
      <c r="BO3" s="4">
        <v>0</v>
      </c>
      <c r="BP3" s="19">
        <f>+IF('Datos delta'!AY3&gt;0,REASIGN('Datos delta'!AY3,'Datos Protegidos'!$K3,PARTIDOS!AZ$8),0)</f>
        <v>3491</v>
      </c>
      <c r="BQ3" s="4">
        <v>0</v>
      </c>
      <c r="BR3" s="19">
        <f>+IF('Datos delta'!BA3&gt;0,REASIGN('Datos delta'!BA3,'Datos Protegidos'!$K3,PARTIDOS!BB$8),0)</f>
        <v>670</v>
      </c>
      <c r="BS3" s="4">
        <v>0</v>
      </c>
      <c r="BT3" s="19">
        <f>+IF('Datos delta'!BC3&gt;0,REASIGN('Datos delta'!BC3,'Datos Protegidos'!$K3,PARTIDOS!BD$8),0)</f>
        <v>0</v>
      </c>
      <c r="BU3" s="4">
        <v>0</v>
      </c>
      <c r="BV3" s="19">
        <f>+IF('Datos delta'!BE3&gt;0,REASIGN('Datos delta'!BE3,'Datos Protegidos'!$K3,PARTIDOS!BF$8),0)</f>
        <v>0</v>
      </c>
      <c r="BW3" s="4">
        <v>0</v>
      </c>
      <c r="BX3" s="19">
        <f>+IF('Datos delta'!BG3&gt;0,REASIGN('Datos delta'!BG3,'Datos Protegidos'!$K3,PARTIDOS!BH$8),0)</f>
        <v>0</v>
      </c>
      <c r="BY3" s="4">
        <v>0</v>
      </c>
      <c r="BZ3" s="19">
        <f>+IF('Datos delta'!BI3&gt;0,REASIGN('Datos delta'!BI3,'Datos Protegidos'!$K3,PARTIDOS!BJ$8),0)</f>
        <v>1825</v>
      </c>
      <c r="CA3" s="4">
        <v>0</v>
      </c>
      <c r="CB3" s="19">
        <f>+IF('Datos delta'!BK3&gt;0,REASIGN('Datos delta'!BK3,'Datos Protegidos'!$K3,PARTIDOS!BL$8),0)</f>
        <v>0</v>
      </c>
      <c r="CC3" s="4">
        <v>0</v>
      </c>
      <c r="CD3" s="19">
        <f>+IF('Datos delta'!BM3&gt;0,REASIGN('Datos delta'!BM3,'Datos Protegidos'!$K3,PARTIDOS!BN$8),0)</f>
        <v>0</v>
      </c>
      <c r="CE3" s="4">
        <v>0</v>
      </c>
      <c r="CF3" s="19">
        <f>+IF('Datos delta'!BO3&gt;0,REASIGN('Datos delta'!BO3,'Datos Protegidos'!$K3,PARTIDOS!BP$8),0)</f>
        <v>0</v>
      </c>
      <c r="CG3" s="4">
        <v>0</v>
      </c>
      <c r="CH3" s="19">
        <f>+IF('Datos delta'!BQ3&gt;0,REASIGN('Datos delta'!BQ3,'Datos Protegidos'!$K3,PARTIDOS!BR$8),0)</f>
        <v>0</v>
      </c>
      <c r="CI3" s="4">
        <v>0</v>
      </c>
      <c r="CJ3" s="19">
        <f>+IF('Datos delta'!BS3&gt;0,REASIGN('Datos delta'!BS3,'Datos Protegidos'!$K3,PARTIDOS!BT$8),0)</f>
        <v>0</v>
      </c>
      <c r="CK3" s="4">
        <v>0</v>
      </c>
      <c r="CL3" s="19">
        <f>+IF('Datos delta'!BU3&gt;0,REASIGN('Datos delta'!BU3,'Datos Protegidos'!$K3,PARTIDOS!BV$8),0)</f>
        <v>0</v>
      </c>
      <c r="CM3" s="4">
        <v>0</v>
      </c>
      <c r="CN3" s="19">
        <f>+IF('Datos delta'!BW3&gt;0,REASIGN('Datos delta'!BW3,'Datos Protegidos'!$K3,PARTIDOS!BX$8),0)</f>
        <v>0</v>
      </c>
      <c r="CO3" s="4">
        <v>0</v>
      </c>
      <c r="CP3" s="19">
        <f>+IF('Datos delta'!BY3&gt;0,REASIGN('Datos delta'!BY3,'Datos Protegidos'!$K3,PARTIDOS!BZ$8),0)</f>
        <v>0</v>
      </c>
      <c r="CQ3" s="4">
        <v>0</v>
      </c>
      <c r="CR3" s="19">
        <f>+IF('Datos delta'!CA3&gt;0,REASIGN('Datos delta'!CA3,'Datos Protegidos'!$K3,PARTIDOS!CB$8),0)</f>
        <v>0</v>
      </c>
      <c r="CS3" s="4">
        <v>0</v>
      </c>
      <c r="CT3" s="19">
        <f>+IF('Datos delta'!CC3&gt;0,REASIGN('Datos delta'!CC3,'Datos Protegidos'!$K3,PARTIDOS!CD$8),0)</f>
        <v>0</v>
      </c>
      <c r="CU3" s="4">
        <v>0</v>
      </c>
      <c r="CV3" s="19">
        <f>+IF('Datos delta'!CE3&gt;0,REASIGN('Datos delta'!CE3,'Datos Protegidos'!$K3,PARTIDOS!CF$8),0)</f>
        <v>0</v>
      </c>
      <c r="CW3" s="4">
        <v>0</v>
      </c>
      <c r="CX3" s="19">
        <f>+IF('Datos delta'!CG3&gt;0,REASIGN('Datos delta'!CG3,'Datos Protegidos'!$K3,PARTIDOS!CH$8),0)</f>
        <v>0</v>
      </c>
      <c r="CY3" s="4">
        <v>0</v>
      </c>
      <c r="CZ3" s="19">
        <f>+IF('Datos delta'!CI3&gt;0,REASIGN('Datos delta'!CI3,'Datos Protegidos'!$K3,PARTIDOS!CJ$8),0)</f>
        <v>0</v>
      </c>
      <c r="DA3" s="4">
        <v>0</v>
      </c>
      <c r="DB3" s="19">
        <f>+IF('Datos delta'!CK3&gt;0,REASIGN('Datos delta'!CK3,'Datos Protegidos'!$K3,PARTIDOS!CL$8),0)</f>
        <v>0</v>
      </c>
      <c r="DC3" s="4">
        <v>0</v>
      </c>
      <c r="DD3" s="19">
        <f>+IF('Datos delta'!CM3&gt;0,REASIGN('Datos delta'!CM3,'Datos Protegidos'!$K3,PARTIDOS!CN$8),0)</f>
        <v>0</v>
      </c>
      <c r="DE3" s="4">
        <v>0</v>
      </c>
      <c r="DF3" s="19">
        <f>+IF('Datos delta'!CO3&gt;0,REASIGN('Datos delta'!CO3,'Datos Protegidos'!$K3,PARTIDOS!CP$8),0)</f>
        <v>0</v>
      </c>
      <c r="DG3" s="4">
        <v>0</v>
      </c>
      <c r="DH3" s="19">
        <f>+IF('Datos delta'!CQ3&gt;0,REASIGN('Datos delta'!CQ3,'Datos Protegidos'!$K3,PARTIDOS!CR$8),0)</f>
        <v>0</v>
      </c>
      <c r="DI3" s="4">
        <v>0</v>
      </c>
      <c r="DJ3" s="19">
        <f>+IF('Datos delta'!CS3&gt;0,REASIGN('Datos delta'!CS3,'Datos Protegidos'!$K3,PARTIDOS!CT$8),0)</f>
        <v>0</v>
      </c>
      <c r="DK3" s="4">
        <v>0</v>
      </c>
      <c r="DL3" s="19">
        <f>+IF('Datos delta'!CU3&gt;0,REASIGN('Datos delta'!CU3,'Datos Protegidos'!$K3,PARTIDOS!CV$8),0)</f>
        <v>0</v>
      </c>
      <c r="DM3" s="4">
        <v>0</v>
      </c>
      <c r="DN3" s="19">
        <f>+IF('Datos delta'!CW3&gt;0,REASIGN('Datos delta'!CW3,'Datos Protegidos'!$K3,PARTIDOS!CX$8),0)</f>
        <v>0</v>
      </c>
      <c r="DO3" s="4">
        <v>0</v>
      </c>
      <c r="DP3" s="19">
        <f>+IF('Datos delta'!CY3&gt;0,REASIGN('Datos delta'!CY3,'Datos Protegidos'!$K3,PARTIDOS!CZ$8),0)</f>
        <v>0</v>
      </c>
      <c r="DQ3" s="7">
        <v>0</v>
      </c>
      <c r="DR3" s="19">
        <f>+IF('Datos delta'!DA3&gt;0,REASIGN('Datos delta'!DA3,'Datos Protegidos'!$K3,PARTIDOS!DB$8),0)</f>
        <v>0</v>
      </c>
      <c r="DS3" s="7">
        <v>0</v>
      </c>
      <c r="DT3" s="19">
        <f>+IF('Datos delta'!DC3&gt;0,REASIGN('Datos delta'!DC3,'Datos Protegidos'!$K3,PARTIDOS!DD$8),0)</f>
        <v>0</v>
      </c>
      <c r="DU3" s="7">
        <v>0</v>
      </c>
      <c r="DV3" s="19">
        <f>+IF('Datos delta'!DE3&gt;0,REASIGN('Datos delta'!DE3,'Datos Protegidos'!$K3,PARTIDOS!DF$8),0)</f>
        <v>0</v>
      </c>
      <c r="DW3" s="7">
        <v>0</v>
      </c>
      <c r="DX3" s="19">
        <f>+IF('Datos delta'!DG3&gt;0,REASIGN('Datos delta'!DG3,'Datos Protegidos'!$K3,PARTIDOS!DH$8),0)</f>
        <v>0</v>
      </c>
      <c r="DY3" s="7">
        <v>0</v>
      </c>
      <c r="DZ3" s="19">
        <f>+IF('Datos delta'!DI3&gt;0,REASIGN('Datos delta'!DI3,'Datos Protegidos'!$K3,PARTIDOS!DJ$8),0)</f>
        <v>0</v>
      </c>
      <c r="EA3" s="7">
        <v>0</v>
      </c>
      <c r="EB3" s="19">
        <f>+IF('Datos delta'!DK3&gt;0,REASIGN('Datos delta'!DK3,'Datos Protegidos'!$K3,PARTIDOS!DL$8),0)</f>
        <v>0</v>
      </c>
      <c r="EC3" s="7">
        <v>0</v>
      </c>
      <c r="ED3" s="19">
        <f>+IF('Datos delta'!DM3&gt;0,REASIGN('Datos delta'!DM3,'Datos Protegidos'!$K3,PARTIDOS!DN$8),0)</f>
        <v>0</v>
      </c>
      <c r="EE3" s="7">
        <v>0</v>
      </c>
      <c r="EF3" s="19">
        <f>+IF('Datos delta'!DO3&gt;0,REASIGN('Datos delta'!DO3,'Datos Protegidos'!$K3,PARTIDOS!DP$8),0)</f>
        <v>0</v>
      </c>
      <c r="EG3" s="7">
        <v>0</v>
      </c>
      <c r="EH3" s="19">
        <f>+IF('Datos delta'!DQ3&gt;0,REASIGN('Datos delta'!DQ3,'Datos Protegidos'!$K3,PARTIDOS!DR$8),0)</f>
        <v>0</v>
      </c>
      <c r="EI3" s="7">
        <v>0</v>
      </c>
      <c r="EJ3" s="19">
        <f>+IF('Datos delta'!DS3&gt;0,REASIGN('Datos delta'!DS3,'Datos Protegidos'!$K3,PARTIDOS!DT$8),0)</f>
        <v>0</v>
      </c>
      <c r="EK3" s="7">
        <v>0</v>
      </c>
      <c r="EL3" s="19">
        <f>+IF('Datos delta'!DU3&gt;0,REASIGN('Datos delta'!DU3,'Datos Protegidos'!$K3,PARTIDOS!DV$8),0)</f>
        <v>0</v>
      </c>
      <c r="EM3" s="7">
        <v>0</v>
      </c>
      <c r="EN3" s="19">
        <f>+IF('Datos delta'!DW3&gt;0,REASIGN('Datos delta'!DW3,'Datos Protegidos'!$K3,PARTIDOS!DX$8),0)</f>
        <v>0</v>
      </c>
      <c r="EO3" s="7">
        <v>0</v>
      </c>
      <c r="EP3" s="19">
        <f>+IF('Datos delta'!DY3&gt;0,REASIGN('Datos delta'!DY3,'Datos Protegidos'!$K3,PARTIDOS!DZ$8),0)</f>
        <v>0</v>
      </c>
      <c r="EQ3" s="7">
        <v>0</v>
      </c>
      <c r="ER3" s="19">
        <f>+IF('Datos delta'!EA3&gt;0,REASIGN('Datos delta'!EA3,'Datos Protegidos'!$K3,PARTIDOS!EB$8),0)</f>
        <v>0</v>
      </c>
      <c r="ES3" s="7">
        <v>0</v>
      </c>
      <c r="ET3" s="19">
        <f>+IF('Datos delta'!EC3&gt;0,REASIGN('Datos delta'!EC3,'Datos Protegidos'!$K3,PARTIDOS!ED$8),0)</f>
        <v>0</v>
      </c>
      <c r="EU3" s="7">
        <v>0</v>
      </c>
    </row>
    <row r="4" spans="1:151" x14ac:dyDescent="0.25">
      <c r="A4" s="7" t="s">
        <v>17</v>
      </c>
      <c r="B4" s="8">
        <v>14</v>
      </c>
      <c r="C4" s="7" t="s">
        <v>20</v>
      </c>
      <c r="D4" s="9">
        <v>785240</v>
      </c>
      <c r="E4">
        <v>935</v>
      </c>
      <c r="F4" s="1">
        <v>630033</v>
      </c>
      <c r="G4" s="1">
        <v>18308</v>
      </c>
      <c r="H4" s="1">
        <v>648341</v>
      </c>
      <c r="I4" s="1"/>
      <c r="J4" s="1"/>
      <c r="K4" s="1"/>
      <c r="L4" s="3">
        <f t="shared" si="1"/>
        <v>462436</v>
      </c>
      <c r="M4" s="3">
        <f t="shared" si="2"/>
        <v>455037</v>
      </c>
      <c r="N4" s="6">
        <f t="shared" si="0"/>
        <v>449632</v>
      </c>
      <c r="O4" s="1">
        <v>5405</v>
      </c>
      <c r="P4" s="1">
        <v>7399</v>
      </c>
      <c r="Q4" s="6">
        <f t="shared" ref="Q4:Q53" si="3">+S4+U4+W4+Y4+AA4+AC4+AE4+AG4+AI4+AK4+AM4+AO4+AQ4+AS4+AU4+AW4+AY4+BA4+BC4+BE4+BG4+BI4+BK4+BM4+BO4+BQ4+BS4+BU4+BW4+BY4+CA4+CC4+CE4+CG4+CI4+CK4+CM4+CO4+CQ4+CS4+CU4+CW4+CY4+DA4+DC4+DE4+DG4+DI4+DK4+DM4+DO4+DQ4+DS4+DU4+DW4+DY4+EA4+EC4+EE4+EG4+EI4+EK4+EM4+EO4+EQ4+ES4+EU4</f>
        <v>6</v>
      </c>
      <c r="R4" s="19">
        <f>+IF('Datos delta'!A4&gt;0,REASIGN('Datos delta'!A4,'Datos Protegidos'!$K4,PARTIDOS!B$8),0)</f>
        <v>157721</v>
      </c>
      <c r="S4" s="7">
        <v>2</v>
      </c>
      <c r="T4" s="19">
        <f>+IF('Datos delta'!C4&gt;0,REASIGN('Datos delta'!C4,'Datos Protegidos'!$K4,PARTIDOS!D$8),0)</f>
        <v>130981</v>
      </c>
      <c r="U4" s="7">
        <v>2</v>
      </c>
      <c r="V4" s="19">
        <f>+IF('Datos delta'!E4&gt;0,REASIGN('Datos delta'!E4,'Datos Protegidos'!$K4,PARTIDOS!F$8),0)</f>
        <v>84184</v>
      </c>
      <c r="W4" s="7">
        <v>1</v>
      </c>
      <c r="X4" s="19">
        <f>+IF('Datos delta'!G4&gt;0,REASIGN('Datos delta'!G4,'Datos Protegidos'!$K4,PARTIDOS!H$8),0)</f>
        <v>68007</v>
      </c>
      <c r="Y4" s="7">
        <v>1</v>
      </c>
      <c r="Z4" s="19">
        <f>+IF('Datos delta'!I4&gt;0,REASIGN('Datos delta'!I4,'Datos Protegidos'!$K4,PARTIDOS!J$8),0)</f>
        <v>0</v>
      </c>
      <c r="AA4" s="7">
        <v>0</v>
      </c>
      <c r="AB4" s="19">
        <f>+IF('Datos delta'!K4&gt;0,REASIGN('Datos delta'!K4,'Datos Protegidos'!$K4,PARTIDOS!L$8),0)</f>
        <v>0</v>
      </c>
      <c r="AC4" s="7">
        <v>0</v>
      </c>
      <c r="AD4" s="19">
        <f>+IF('Datos delta'!M4&gt;0,REASIGN('Datos delta'!M4,'Datos Protegidos'!$K4,PARTIDOS!N$8),0)</f>
        <v>0</v>
      </c>
      <c r="AE4" s="7">
        <v>0</v>
      </c>
      <c r="AF4" s="19">
        <f>+IF('Datos delta'!O4&gt;0,REASIGN('Datos delta'!O4,'Datos Protegidos'!$K4,PARTIDOS!P$8),0)</f>
        <v>0</v>
      </c>
      <c r="AG4" s="7">
        <v>0</v>
      </c>
      <c r="AH4" s="19">
        <f>+IF('Datos delta'!Q4&gt;0,REASIGN('Datos delta'!Q4,'Datos Protegidos'!$K4,PARTIDOS!R$8),0)</f>
        <v>0</v>
      </c>
      <c r="AI4" s="7">
        <v>0</v>
      </c>
      <c r="AJ4" s="19">
        <f>+IF('Datos delta'!S4&gt;0,REASIGN('Datos delta'!S4,'Datos Protegidos'!$K4,PARTIDOS!T$8),0)</f>
        <v>0</v>
      </c>
      <c r="AK4" s="7">
        <v>0</v>
      </c>
      <c r="AL4" s="19">
        <f>+IF('Datos delta'!U4&gt;0,REASIGN('Datos delta'!U4,'Datos Protegidos'!$K4,PARTIDOS!V$8),0)</f>
        <v>0</v>
      </c>
      <c r="AM4" s="7">
        <v>0</v>
      </c>
      <c r="AN4" s="19">
        <f>+IF('Datos delta'!W4&gt;0,REASIGN('Datos delta'!W4,'Datos Protegidos'!$K4,PARTIDOS!X$8),0)</f>
        <v>0</v>
      </c>
      <c r="AO4" s="7">
        <v>0</v>
      </c>
      <c r="AP4" s="19">
        <f>+IF('Datos delta'!Y4&gt;0,REASIGN('Datos delta'!Y4,'Datos Protegidos'!$K4,PARTIDOS!Z$8),0)</f>
        <v>0</v>
      </c>
      <c r="AQ4" s="7">
        <v>0</v>
      </c>
      <c r="AR4" s="19">
        <f>+IF('Datos delta'!AA4&gt;0,REASIGN('Datos delta'!AA4,'Datos Protegidos'!$K4,PARTIDOS!AB$8),0)</f>
        <v>0</v>
      </c>
      <c r="AS4" s="7">
        <v>0</v>
      </c>
      <c r="AT4" s="19">
        <f>+IF('Datos delta'!AC4&gt;0,REASIGN('Datos delta'!AC4,'Datos Protegidos'!$K4,PARTIDOS!AD$8),0)</f>
        <v>0</v>
      </c>
      <c r="AU4" s="7">
        <v>0</v>
      </c>
      <c r="AV4" s="19">
        <f>+IF('Datos delta'!AE4&gt;0,REASIGN('Datos delta'!AE4,'Datos Protegidos'!$K4,PARTIDOS!AF$8),0)</f>
        <v>0</v>
      </c>
      <c r="AW4" s="7">
        <v>0</v>
      </c>
      <c r="AX4" s="19">
        <f>+IF('Datos delta'!AG4&gt;0,REASIGN('Datos delta'!AG4,'Datos Protegidos'!$K4,PARTIDOS!AH$8),0)</f>
        <v>0</v>
      </c>
      <c r="AY4" s="7">
        <v>0</v>
      </c>
      <c r="AZ4" s="19">
        <f>+IF('Datos delta'!AI4&gt;0,REASIGN('Datos delta'!AI4,'Datos Protegidos'!$K4,PARTIDOS!AJ$8),0)</f>
        <v>0</v>
      </c>
      <c r="BA4" s="7">
        <v>0</v>
      </c>
      <c r="BB4" s="19">
        <f>+IF('Datos delta'!AK4&gt;0,REASIGN('Datos delta'!AK4,'Datos Protegidos'!$K4,PARTIDOS!AL$8),0)</f>
        <v>0</v>
      </c>
      <c r="BC4" s="7">
        <v>0</v>
      </c>
      <c r="BD4" s="19">
        <f>+IF('Datos delta'!AM4&gt;0,REASIGN('Datos delta'!AM4,'Datos Protegidos'!$K4,PARTIDOS!AN$8),0)</f>
        <v>3926</v>
      </c>
      <c r="BE4" s="7">
        <v>0</v>
      </c>
      <c r="BF4" s="19">
        <f>+IF('Datos delta'!AO4&gt;0,REASIGN('Datos delta'!AO4,'Datos Protegidos'!$K4,PARTIDOS!AP$8),0)</f>
        <v>0</v>
      </c>
      <c r="BG4" s="7">
        <v>0</v>
      </c>
      <c r="BH4" s="19">
        <f>+IF('Datos delta'!AQ4&gt;0,REASIGN('Datos delta'!AQ4,'Datos Protegidos'!$K4,PARTIDOS!AR$8),0)</f>
        <v>546</v>
      </c>
      <c r="BI4" s="7">
        <v>0</v>
      </c>
      <c r="BJ4" s="19">
        <f>+IF('Datos delta'!AS4&gt;0,REASIGN('Datos delta'!AS4,'Datos Protegidos'!$K4,PARTIDOS!AT$8),0)</f>
        <v>475</v>
      </c>
      <c r="BK4" s="7">
        <v>0</v>
      </c>
      <c r="BL4" s="19">
        <f>+IF('Datos delta'!AU4&gt;0,REASIGN('Datos delta'!AU4,'Datos Protegidos'!$K4,PARTIDOS!AV$8),0)</f>
        <v>0</v>
      </c>
      <c r="BM4" s="7">
        <v>0</v>
      </c>
      <c r="BN4" s="19">
        <f>+IF('Datos delta'!AW4&gt;0,REASIGN('Datos delta'!AW4,'Datos Protegidos'!$K4,PARTIDOS!AX$8),0)</f>
        <v>0</v>
      </c>
      <c r="BO4" s="7">
        <v>0</v>
      </c>
      <c r="BP4" s="19">
        <f>+IF('Datos delta'!AY4&gt;0,REASIGN('Datos delta'!AY4,'Datos Protegidos'!$K4,PARTIDOS!AZ$8),0)</f>
        <v>1013</v>
      </c>
      <c r="BQ4" s="7">
        <v>0</v>
      </c>
      <c r="BR4" s="19">
        <f>+IF('Datos delta'!BA4&gt;0,REASIGN('Datos delta'!BA4,'Datos Protegidos'!$K4,PARTIDOS!BB$8),0)</f>
        <v>571</v>
      </c>
      <c r="BS4" s="7">
        <v>0</v>
      </c>
      <c r="BT4" s="19">
        <f>+IF('Datos delta'!BC4&gt;0,REASIGN('Datos delta'!BC4,'Datos Protegidos'!$K4,PARTIDOS!BD$8),0)</f>
        <v>337</v>
      </c>
      <c r="BU4" s="7">
        <v>0</v>
      </c>
      <c r="BV4" s="19">
        <f>+IF('Datos delta'!BE4&gt;0,REASIGN('Datos delta'!BE4,'Datos Protegidos'!$K4,PARTIDOS!BF$8),0)</f>
        <v>0</v>
      </c>
      <c r="BW4" s="7">
        <v>0</v>
      </c>
      <c r="BX4" s="19">
        <f>+IF('Datos delta'!BG4&gt;0,REASIGN('Datos delta'!BG4,'Datos Protegidos'!$K4,PARTIDOS!BH$8),0)</f>
        <v>0</v>
      </c>
      <c r="BY4" s="7">
        <v>0</v>
      </c>
      <c r="BZ4" s="19">
        <f>+IF('Datos delta'!BI4&gt;0,REASIGN('Datos delta'!BI4,'Datos Protegidos'!$K4,PARTIDOS!BJ$8),0)</f>
        <v>1115</v>
      </c>
      <c r="CA4" s="7">
        <v>0</v>
      </c>
      <c r="CB4" s="19">
        <f>+IF('Datos delta'!BK4&gt;0,REASIGN('Datos delta'!BK4,'Datos Protegidos'!$K4,PARTIDOS!BL$8),0)</f>
        <v>0</v>
      </c>
      <c r="CC4" s="7">
        <v>0</v>
      </c>
      <c r="CD4" s="19">
        <f>+IF('Datos delta'!BM4&gt;0,REASIGN('Datos delta'!BM4,'Datos Protegidos'!$K4,PARTIDOS!BN$8),0)</f>
        <v>756</v>
      </c>
      <c r="CE4" s="7">
        <v>0</v>
      </c>
      <c r="CF4" s="19">
        <f>+IF('Datos delta'!BO4&gt;0,REASIGN('Datos delta'!BO4,'Datos Protegidos'!$K4,PARTIDOS!BP$8),0)</f>
        <v>0</v>
      </c>
      <c r="CG4" s="7">
        <v>0</v>
      </c>
      <c r="CH4" s="19">
        <f>+IF('Datos delta'!BQ4&gt;0,REASIGN('Datos delta'!BQ4,'Datos Protegidos'!$K4,PARTIDOS!BR$8),0)</f>
        <v>0</v>
      </c>
      <c r="CI4" s="7">
        <v>0</v>
      </c>
      <c r="CJ4" s="19">
        <f>+IF('Datos delta'!BS4&gt;0,REASIGN('Datos delta'!BS4,'Datos Protegidos'!$K4,PARTIDOS!BT$8),0)</f>
        <v>0</v>
      </c>
      <c r="CK4" s="7">
        <v>0</v>
      </c>
      <c r="CL4" s="19">
        <f>+IF('Datos delta'!BU4&gt;0,REASIGN('Datos delta'!BU4,'Datos Protegidos'!$K4,PARTIDOS!BV$8),0)</f>
        <v>0</v>
      </c>
      <c r="CM4" s="7">
        <v>0</v>
      </c>
      <c r="CN4" s="19">
        <f>+IF('Datos delta'!BW4&gt;0,REASIGN('Datos delta'!BW4,'Datos Protegidos'!$K4,PARTIDOS!BX$8),0)</f>
        <v>0</v>
      </c>
      <c r="CO4" s="7">
        <v>0</v>
      </c>
      <c r="CP4" s="19">
        <f>+IF('Datos delta'!BY4&gt;0,REASIGN('Datos delta'!BY4,'Datos Protegidos'!$K4,PARTIDOS!BZ$8),0)</f>
        <v>0</v>
      </c>
      <c r="CQ4" s="7">
        <v>0</v>
      </c>
      <c r="CR4" s="19">
        <f>+IF('Datos delta'!CA4&gt;0,REASIGN('Datos delta'!CA4,'Datos Protegidos'!$K4,PARTIDOS!CB$8),0)</f>
        <v>0</v>
      </c>
      <c r="CS4" s="7">
        <v>0</v>
      </c>
      <c r="CT4" s="19">
        <f>+IF('Datos delta'!CC4&gt;0,REASIGN('Datos delta'!CC4,'Datos Protegidos'!$K4,PARTIDOS!CD$8),0)</f>
        <v>0</v>
      </c>
      <c r="CU4" s="7">
        <v>0</v>
      </c>
      <c r="CV4" s="19">
        <f>+IF('Datos delta'!CE4&gt;0,REASIGN('Datos delta'!CE4,'Datos Protegidos'!$K4,PARTIDOS!CF$8),0)</f>
        <v>0</v>
      </c>
      <c r="CW4" s="7">
        <v>0</v>
      </c>
      <c r="CX4" s="19">
        <f>+IF('Datos delta'!CG4&gt;0,REASIGN('Datos delta'!CG4,'Datos Protegidos'!$K4,PARTIDOS!CH$8),0)</f>
        <v>0</v>
      </c>
      <c r="CY4" s="7">
        <v>0</v>
      </c>
      <c r="CZ4" s="19">
        <f>+IF('Datos delta'!CI4&gt;0,REASIGN('Datos delta'!CI4,'Datos Protegidos'!$K4,PARTIDOS!CJ$8),0)</f>
        <v>0</v>
      </c>
      <c r="DA4" s="7">
        <v>0</v>
      </c>
      <c r="DB4" s="19">
        <f>+IF('Datos delta'!CK4&gt;0,REASIGN('Datos delta'!CK4,'Datos Protegidos'!$K4,PARTIDOS!CL$8),0)</f>
        <v>0</v>
      </c>
      <c r="DC4" s="7">
        <v>0</v>
      </c>
      <c r="DD4" s="19">
        <f>+IF('Datos delta'!CM4&gt;0,REASIGN('Datos delta'!CM4,'Datos Protegidos'!$K4,PARTIDOS!CN$8),0)</f>
        <v>0</v>
      </c>
      <c r="DE4" s="7">
        <v>0</v>
      </c>
      <c r="DF4" s="19">
        <f>+IF('Datos delta'!CO4&gt;0,REASIGN('Datos delta'!CO4,'Datos Protegidos'!$K4,PARTIDOS!CP$8),0)</f>
        <v>0</v>
      </c>
      <c r="DG4" s="7">
        <v>0</v>
      </c>
      <c r="DH4" s="19">
        <f>+IF('Datos delta'!CQ4&gt;0,REASIGN('Datos delta'!CQ4,'Datos Protegidos'!$K4,PARTIDOS!CR$8),0)</f>
        <v>0</v>
      </c>
      <c r="DI4" s="7">
        <v>0</v>
      </c>
      <c r="DJ4" s="19">
        <f>+IF('Datos delta'!CS4&gt;0,REASIGN('Datos delta'!CS4,'Datos Protegidos'!$K4,PARTIDOS!CT$8),0)</f>
        <v>0</v>
      </c>
      <c r="DK4" s="7">
        <v>0</v>
      </c>
      <c r="DL4" s="19">
        <f>+IF('Datos delta'!CU4&gt;0,REASIGN('Datos delta'!CU4,'Datos Protegidos'!$K4,PARTIDOS!CV$8),0)</f>
        <v>0</v>
      </c>
      <c r="DM4" s="7">
        <v>0</v>
      </c>
      <c r="DN4" s="19">
        <f>+IF('Datos delta'!CW4&gt;0,REASIGN('Datos delta'!CW4,'Datos Protegidos'!$K4,PARTIDOS!CX$8),0)</f>
        <v>0</v>
      </c>
      <c r="DO4" s="7">
        <v>0</v>
      </c>
      <c r="DP4" s="19">
        <f>+IF('Datos delta'!CY4&gt;0,REASIGN('Datos delta'!CY4,'Datos Protegidos'!$K4,PARTIDOS!CZ$8),0)</f>
        <v>0</v>
      </c>
      <c r="DQ4" s="7">
        <v>0</v>
      </c>
      <c r="DR4" s="19">
        <f>+IF('Datos delta'!DA4&gt;0,REASIGN('Datos delta'!DA4,'Datos Protegidos'!$K4,PARTIDOS!DB$8),0)</f>
        <v>0</v>
      </c>
      <c r="DS4" s="7">
        <v>0</v>
      </c>
      <c r="DT4" s="19">
        <f>+IF('Datos delta'!DC4&gt;0,REASIGN('Datos delta'!DC4,'Datos Protegidos'!$K4,PARTIDOS!DD$8),0)</f>
        <v>0</v>
      </c>
      <c r="DU4" s="7">
        <v>0</v>
      </c>
      <c r="DV4" s="19">
        <f>+IF('Datos delta'!DE4&gt;0,REASIGN('Datos delta'!DE4,'Datos Protegidos'!$K4,PARTIDOS!DF$8),0)</f>
        <v>0</v>
      </c>
      <c r="DW4" s="7">
        <v>0</v>
      </c>
      <c r="DX4" s="19">
        <f>+IF('Datos delta'!DG4&gt;0,REASIGN('Datos delta'!DG4,'Datos Protegidos'!$K4,PARTIDOS!DH$8),0)</f>
        <v>0</v>
      </c>
      <c r="DY4" s="7">
        <v>0</v>
      </c>
      <c r="DZ4" s="19">
        <f>+IF('Datos delta'!DI4&gt;0,REASIGN('Datos delta'!DI4,'Datos Protegidos'!$K4,PARTIDOS!DJ$8),0)</f>
        <v>0</v>
      </c>
      <c r="EA4" s="7">
        <v>0</v>
      </c>
      <c r="EB4" s="19">
        <f>+IF('Datos delta'!DK4&gt;0,REASIGN('Datos delta'!DK4,'Datos Protegidos'!$K4,PARTIDOS!DL$8),0)</f>
        <v>0</v>
      </c>
      <c r="EC4" s="7">
        <v>0</v>
      </c>
      <c r="ED4" s="19">
        <f>+IF('Datos delta'!DM4&gt;0,REASIGN('Datos delta'!DM4,'Datos Protegidos'!$K4,PARTIDOS!DN$8),0)</f>
        <v>0</v>
      </c>
      <c r="EE4" s="7">
        <v>0</v>
      </c>
      <c r="EF4" s="19">
        <f>+IF('Datos delta'!DO4&gt;0,REASIGN('Datos delta'!DO4,'Datos Protegidos'!$K4,PARTIDOS!DP$8),0)</f>
        <v>0</v>
      </c>
      <c r="EG4" s="7">
        <v>0</v>
      </c>
      <c r="EH4" s="19">
        <f>+IF('Datos delta'!DQ4&gt;0,REASIGN('Datos delta'!DQ4,'Datos Protegidos'!$K4,PARTIDOS!DR$8),0)</f>
        <v>0</v>
      </c>
      <c r="EI4" s="7">
        <v>0</v>
      </c>
      <c r="EJ4" s="19">
        <f>+IF('Datos delta'!DS4&gt;0,REASIGN('Datos delta'!DS4,'Datos Protegidos'!$K4,PARTIDOS!DT$8),0)</f>
        <v>0</v>
      </c>
      <c r="EK4" s="7">
        <v>0</v>
      </c>
      <c r="EL4" s="19">
        <f>+IF('Datos delta'!DU4&gt;0,REASIGN('Datos delta'!DU4,'Datos Protegidos'!$K4,PARTIDOS!DV$8),0)</f>
        <v>0</v>
      </c>
      <c r="EM4" s="7">
        <v>0</v>
      </c>
      <c r="EN4" s="19">
        <f>+IF('Datos delta'!DW4&gt;0,REASIGN('Datos delta'!DW4,'Datos Protegidos'!$K4,PARTIDOS!DX$8),0)</f>
        <v>0</v>
      </c>
      <c r="EO4" s="7">
        <v>0</v>
      </c>
      <c r="EP4" s="19">
        <f>+IF('Datos delta'!DY4&gt;0,REASIGN('Datos delta'!DY4,'Datos Protegidos'!$K4,PARTIDOS!DZ$8),0)</f>
        <v>0</v>
      </c>
      <c r="EQ4" s="7">
        <v>0</v>
      </c>
      <c r="ER4" s="19">
        <f>+IF('Datos delta'!EA4&gt;0,REASIGN('Datos delta'!EA4,'Datos Protegidos'!$K4,PARTIDOS!EB$8),0)</f>
        <v>0</v>
      </c>
      <c r="ES4" s="7">
        <v>0</v>
      </c>
      <c r="ET4" s="19">
        <f>+IF('Datos delta'!EC4&gt;0,REASIGN('Datos delta'!EC4,'Datos Protegidos'!$K4,PARTIDOS!ED$8),0)</f>
        <v>0</v>
      </c>
      <c r="EU4" s="7">
        <v>0</v>
      </c>
    </row>
    <row r="5" spans="1:151" x14ac:dyDescent="0.25">
      <c r="A5" s="7" t="s">
        <v>17</v>
      </c>
      <c r="B5" s="8">
        <v>18</v>
      </c>
      <c r="C5" s="7" t="s">
        <v>21</v>
      </c>
      <c r="D5" s="9">
        <v>912075</v>
      </c>
      <c r="E5" s="1">
        <v>1100</v>
      </c>
      <c r="F5" s="1">
        <v>704847</v>
      </c>
      <c r="G5" s="1">
        <v>50160</v>
      </c>
      <c r="H5" s="1">
        <v>755007</v>
      </c>
      <c r="I5" s="1"/>
      <c r="J5" s="1"/>
      <c r="K5" s="1"/>
      <c r="L5" s="3">
        <f t="shared" si="1"/>
        <v>502635</v>
      </c>
      <c r="M5" s="3">
        <f t="shared" si="2"/>
        <v>494512</v>
      </c>
      <c r="N5" s="6">
        <f t="shared" si="0"/>
        <v>489984</v>
      </c>
      <c r="O5" s="1">
        <v>4528</v>
      </c>
      <c r="P5" s="1">
        <v>8123</v>
      </c>
      <c r="Q5" s="6">
        <f t="shared" si="3"/>
        <v>7</v>
      </c>
      <c r="R5" s="19">
        <f>+IF('Datos delta'!A5&gt;0,REASIGN('Datos delta'!A5,'Datos Protegidos'!$K5,PARTIDOS!B$8),0)</f>
        <v>171976</v>
      </c>
      <c r="S5" s="7">
        <v>3</v>
      </c>
      <c r="T5" s="19">
        <f>+IF('Datos delta'!C5&gt;0,REASIGN('Datos delta'!C5,'Datos Protegidos'!$K5,PARTIDOS!D$8),0)</f>
        <v>137512</v>
      </c>
      <c r="U5" s="7">
        <v>2</v>
      </c>
      <c r="V5" s="19">
        <f>+IF('Datos delta'!E5&gt;0,REASIGN('Datos delta'!E5,'Datos Protegidos'!$K5,PARTIDOS!F$8),0)</f>
        <v>101926</v>
      </c>
      <c r="W5" s="7">
        <v>1</v>
      </c>
      <c r="X5" s="19">
        <f>+IF('Datos delta'!G5&gt;0,REASIGN('Datos delta'!G5,'Datos Protegidos'!$K5,PARTIDOS!H$8),0)</f>
        <v>62297</v>
      </c>
      <c r="Y5" s="7">
        <v>1</v>
      </c>
      <c r="Z5" s="19">
        <f>+IF('Datos delta'!I5&gt;0,REASIGN('Datos delta'!I5,'Datos Protegidos'!$K5,PARTIDOS!J$8),0)</f>
        <v>0</v>
      </c>
      <c r="AA5" s="7">
        <v>0</v>
      </c>
      <c r="AB5" s="19">
        <f>+IF('Datos delta'!K5&gt;0,REASIGN('Datos delta'!K5,'Datos Protegidos'!$K5,PARTIDOS!L$8),0)</f>
        <v>0</v>
      </c>
      <c r="AC5" s="7">
        <v>0</v>
      </c>
      <c r="AD5" s="19">
        <f>+IF('Datos delta'!M5&gt;0,REASIGN('Datos delta'!M5,'Datos Protegidos'!$K5,PARTIDOS!N$8),0)</f>
        <v>0</v>
      </c>
      <c r="AE5" s="7">
        <v>0</v>
      </c>
      <c r="AF5" s="19">
        <f>+IF('Datos delta'!O5&gt;0,REASIGN('Datos delta'!O5,'Datos Protegidos'!$K5,PARTIDOS!P$8),0)</f>
        <v>0</v>
      </c>
      <c r="AG5" s="7">
        <v>0</v>
      </c>
      <c r="AH5" s="19">
        <f>+IF('Datos delta'!Q5&gt;0,REASIGN('Datos delta'!Q5,'Datos Protegidos'!$K5,PARTIDOS!R$8),0)</f>
        <v>0</v>
      </c>
      <c r="AI5" s="7">
        <v>0</v>
      </c>
      <c r="AJ5" s="19">
        <f>+IF('Datos delta'!S5&gt;0,REASIGN('Datos delta'!S5,'Datos Protegidos'!$K5,PARTIDOS!T$8),0)</f>
        <v>0</v>
      </c>
      <c r="AK5" s="7">
        <v>0</v>
      </c>
      <c r="AL5" s="19">
        <f>+IF('Datos delta'!U5&gt;0,REASIGN('Datos delta'!U5,'Datos Protegidos'!$K5,PARTIDOS!V$8),0)</f>
        <v>9060</v>
      </c>
      <c r="AM5" s="7">
        <v>0</v>
      </c>
      <c r="AN5" s="19">
        <f>+IF('Datos delta'!W5&gt;0,REASIGN('Datos delta'!W5,'Datos Protegidos'!$K5,PARTIDOS!X$8),0)</f>
        <v>0</v>
      </c>
      <c r="AO5" s="7">
        <v>0</v>
      </c>
      <c r="AP5" s="19">
        <f>+IF('Datos delta'!Y5&gt;0,REASIGN('Datos delta'!Y5,'Datos Protegidos'!$K5,PARTIDOS!Z$8),0)</f>
        <v>0</v>
      </c>
      <c r="AQ5" s="7">
        <v>0</v>
      </c>
      <c r="AR5" s="19">
        <f>+IF('Datos delta'!AA5&gt;0,REASIGN('Datos delta'!AA5,'Datos Protegidos'!$K5,PARTIDOS!AB$8),0)</f>
        <v>0</v>
      </c>
      <c r="AS5" s="7">
        <v>0</v>
      </c>
      <c r="AT5" s="19">
        <f>+IF('Datos delta'!AC5&gt;0,REASIGN('Datos delta'!AC5,'Datos Protegidos'!$K5,PARTIDOS!AD$8),0)</f>
        <v>0</v>
      </c>
      <c r="AU5" s="7">
        <v>0</v>
      </c>
      <c r="AV5" s="19">
        <f>+IF('Datos delta'!AE5&gt;0,REASIGN('Datos delta'!AE5,'Datos Protegidos'!$K5,PARTIDOS!AF$8),0)</f>
        <v>0</v>
      </c>
      <c r="AW5" s="7">
        <v>0</v>
      </c>
      <c r="AX5" s="19">
        <f>+IF('Datos delta'!AG5&gt;0,REASIGN('Datos delta'!AG5,'Datos Protegidos'!$K5,PARTIDOS!AH$8),0)</f>
        <v>0</v>
      </c>
      <c r="AY5" s="7">
        <v>0</v>
      </c>
      <c r="AZ5" s="19">
        <f>+IF('Datos delta'!AI5&gt;0,REASIGN('Datos delta'!AI5,'Datos Protegidos'!$K5,PARTIDOS!AJ$8),0)</f>
        <v>0</v>
      </c>
      <c r="BA5" s="7">
        <v>0</v>
      </c>
      <c r="BB5" s="19">
        <f>+IF('Datos delta'!AK5&gt;0,REASIGN('Datos delta'!AK5,'Datos Protegidos'!$K5,PARTIDOS!AL$8),0)</f>
        <v>0</v>
      </c>
      <c r="BC5" s="7">
        <v>0</v>
      </c>
      <c r="BD5" s="19">
        <f>+IF('Datos delta'!AM5&gt;0,REASIGN('Datos delta'!AM5,'Datos Protegidos'!$K5,PARTIDOS!AN$8),0)</f>
        <v>4074</v>
      </c>
      <c r="BE5" s="7">
        <v>0</v>
      </c>
      <c r="BF5" s="19">
        <f>+IF('Datos delta'!AO5&gt;0,REASIGN('Datos delta'!AO5,'Datos Protegidos'!$K5,PARTIDOS!AP$8),0)</f>
        <v>0</v>
      </c>
      <c r="BG5" s="7">
        <v>0</v>
      </c>
      <c r="BH5" s="19">
        <f>+IF('Datos delta'!AQ5&gt;0,REASIGN('Datos delta'!AQ5,'Datos Protegidos'!$K5,PARTIDOS!AR$8),0)</f>
        <v>542</v>
      </c>
      <c r="BI5" s="7">
        <v>0</v>
      </c>
      <c r="BJ5" s="19">
        <f>+IF('Datos delta'!AS5&gt;0,REASIGN('Datos delta'!AS5,'Datos Protegidos'!$K5,PARTIDOS!AT$8),0)</f>
        <v>620</v>
      </c>
      <c r="BK5" s="7">
        <v>0</v>
      </c>
      <c r="BL5" s="19">
        <f>+IF('Datos delta'!AU5&gt;0,REASIGN('Datos delta'!AU5,'Datos Protegidos'!$K5,PARTIDOS!AV$8),0)</f>
        <v>0</v>
      </c>
      <c r="BM5" s="7">
        <v>0</v>
      </c>
      <c r="BN5" s="19">
        <f>+IF('Datos delta'!AW5&gt;0,REASIGN('Datos delta'!AW5,'Datos Protegidos'!$K5,PARTIDOS!AX$8),0)</f>
        <v>0</v>
      </c>
      <c r="BO5" s="7">
        <v>0</v>
      </c>
      <c r="BP5" s="19">
        <f>+IF('Datos delta'!AY5&gt;0,REASIGN('Datos delta'!AY5,'Datos Protegidos'!$K5,PARTIDOS!AZ$8),0)</f>
        <v>615</v>
      </c>
      <c r="BQ5" s="7">
        <v>0</v>
      </c>
      <c r="BR5" s="19">
        <f>+IF('Datos delta'!BA5&gt;0,REASIGN('Datos delta'!BA5,'Datos Protegidos'!$K5,PARTIDOS!BB$8),0)</f>
        <v>389</v>
      </c>
      <c r="BS5" s="7">
        <v>0</v>
      </c>
      <c r="BT5" s="19">
        <f>+IF('Datos delta'!BC5&gt;0,REASIGN('Datos delta'!BC5,'Datos Protegidos'!$K5,PARTIDOS!BD$8),0)</f>
        <v>338</v>
      </c>
      <c r="BU5" s="7">
        <v>0</v>
      </c>
      <c r="BV5" s="19">
        <f>+IF('Datos delta'!BE5&gt;0,REASIGN('Datos delta'!BE5,'Datos Protegidos'!$K5,PARTIDOS!BF$8),0)</f>
        <v>0</v>
      </c>
      <c r="BW5" s="7">
        <v>0</v>
      </c>
      <c r="BX5" s="19">
        <f>+IF('Datos delta'!BG5&gt;0,REASIGN('Datos delta'!BG5,'Datos Protegidos'!$K5,PARTIDOS!BH$8),0)</f>
        <v>0</v>
      </c>
      <c r="BY5" s="7">
        <v>0</v>
      </c>
      <c r="BZ5" s="19">
        <f>+IF('Datos delta'!BI5&gt;0,REASIGN('Datos delta'!BI5,'Datos Protegidos'!$K5,PARTIDOS!BJ$8),0)</f>
        <v>0</v>
      </c>
      <c r="CA5" s="7">
        <v>0</v>
      </c>
      <c r="CB5" s="19">
        <f>+IF('Datos delta'!BK5&gt;0,REASIGN('Datos delta'!BK5,'Datos Protegidos'!$K5,PARTIDOS!BL$8),0)</f>
        <v>0</v>
      </c>
      <c r="CC5" s="7">
        <v>0</v>
      </c>
      <c r="CD5" s="19">
        <f>+IF('Datos delta'!BM5&gt;0,REASIGN('Datos delta'!BM5,'Datos Protegidos'!$K5,PARTIDOS!BN$8),0)</f>
        <v>0</v>
      </c>
      <c r="CE5" s="7">
        <v>0</v>
      </c>
      <c r="CF5" s="19">
        <f>+IF('Datos delta'!BO5&gt;0,REASIGN('Datos delta'!BO5,'Datos Protegidos'!$K5,PARTIDOS!BP$8),0)</f>
        <v>0</v>
      </c>
      <c r="CG5" s="7">
        <v>0</v>
      </c>
      <c r="CH5" s="19">
        <f>+IF('Datos delta'!BQ5&gt;0,REASIGN('Datos delta'!BQ5,'Datos Protegidos'!$K5,PARTIDOS!BR$8),0)</f>
        <v>0</v>
      </c>
      <c r="CI5" s="7">
        <v>0</v>
      </c>
      <c r="CJ5" s="19">
        <f>+IF('Datos delta'!BS5&gt;0,REASIGN('Datos delta'!BS5,'Datos Protegidos'!$K5,PARTIDOS!BT$8),0)</f>
        <v>0</v>
      </c>
      <c r="CK5" s="7">
        <v>0</v>
      </c>
      <c r="CL5" s="19">
        <f>+IF('Datos delta'!BU5&gt;0,REASIGN('Datos delta'!BU5,'Datos Protegidos'!$K5,PARTIDOS!BV$8),0)</f>
        <v>0</v>
      </c>
      <c r="CM5" s="7">
        <v>0</v>
      </c>
      <c r="CN5" s="19">
        <f>+IF('Datos delta'!BW5&gt;0,REASIGN('Datos delta'!BW5,'Datos Protegidos'!$K5,PARTIDOS!BX$8),0)</f>
        <v>0</v>
      </c>
      <c r="CO5" s="7">
        <v>0</v>
      </c>
      <c r="CP5" s="19">
        <f>+IF('Datos delta'!BY5&gt;0,REASIGN('Datos delta'!BY5,'Datos Protegidos'!$K5,PARTIDOS!BZ$8),0)</f>
        <v>0</v>
      </c>
      <c r="CQ5" s="7">
        <v>0</v>
      </c>
      <c r="CR5" s="19">
        <f>+IF('Datos delta'!CA5&gt;0,REASIGN('Datos delta'!CA5,'Datos Protegidos'!$K5,PARTIDOS!CB$8),0)</f>
        <v>0</v>
      </c>
      <c r="CS5" s="7">
        <v>0</v>
      </c>
      <c r="CT5" s="19">
        <f>+IF('Datos delta'!CC5&gt;0,REASIGN('Datos delta'!CC5,'Datos Protegidos'!$K5,PARTIDOS!CD$8),0)</f>
        <v>0</v>
      </c>
      <c r="CU5" s="7">
        <v>0</v>
      </c>
      <c r="CV5" s="19">
        <f>+IF('Datos delta'!CE5&gt;0,REASIGN('Datos delta'!CE5,'Datos Protegidos'!$K5,PARTIDOS!CF$8),0)</f>
        <v>0</v>
      </c>
      <c r="CW5" s="7">
        <v>0</v>
      </c>
      <c r="CX5" s="19">
        <f>+IF('Datos delta'!CG5&gt;0,REASIGN('Datos delta'!CG5,'Datos Protegidos'!$K5,PARTIDOS!CH$8),0)</f>
        <v>0</v>
      </c>
      <c r="CY5" s="7">
        <v>0</v>
      </c>
      <c r="CZ5" s="19">
        <f>+IF('Datos delta'!CI5&gt;0,REASIGN('Datos delta'!CI5,'Datos Protegidos'!$K5,PARTIDOS!CJ$8),0)</f>
        <v>0</v>
      </c>
      <c r="DA5" s="7">
        <v>0</v>
      </c>
      <c r="DB5" s="19">
        <f>+IF('Datos delta'!CK5&gt;0,REASIGN('Datos delta'!CK5,'Datos Protegidos'!$K5,PARTIDOS!CL$8),0)</f>
        <v>0</v>
      </c>
      <c r="DC5" s="7">
        <v>0</v>
      </c>
      <c r="DD5" s="19">
        <f>+IF('Datos delta'!CM5&gt;0,REASIGN('Datos delta'!CM5,'Datos Protegidos'!$K5,PARTIDOS!CN$8),0)</f>
        <v>0</v>
      </c>
      <c r="DE5" s="7">
        <v>0</v>
      </c>
      <c r="DF5" s="19">
        <f>+IF('Datos delta'!CO5&gt;0,REASIGN('Datos delta'!CO5,'Datos Protegidos'!$K5,PARTIDOS!CP$8),0)</f>
        <v>0</v>
      </c>
      <c r="DG5" s="7">
        <v>0</v>
      </c>
      <c r="DH5" s="19">
        <f>+IF('Datos delta'!CQ5&gt;0,REASIGN('Datos delta'!CQ5,'Datos Protegidos'!$K5,PARTIDOS!CR$8),0)</f>
        <v>0</v>
      </c>
      <c r="DI5" s="7">
        <v>0</v>
      </c>
      <c r="DJ5" s="19">
        <f>+IF('Datos delta'!CS5&gt;0,REASIGN('Datos delta'!CS5,'Datos Protegidos'!$K5,PARTIDOS!CT$8),0)</f>
        <v>0</v>
      </c>
      <c r="DK5" s="7">
        <v>0</v>
      </c>
      <c r="DL5" s="19">
        <f>+IF('Datos delta'!CU5&gt;0,REASIGN('Datos delta'!CU5,'Datos Protegidos'!$K5,PARTIDOS!CV$8),0)</f>
        <v>0</v>
      </c>
      <c r="DM5" s="7">
        <v>0</v>
      </c>
      <c r="DN5" s="19">
        <f>+IF('Datos delta'!CW5&gt;0,REASIGN('Datos delta'!CW5,'Datos Protegidos'!$K5,PARTIDOS!CX$8),0)</f>
        <v>0</v>
      </c>
      <c r="DO5" s="7">
        <v>0</v>
      </c>
      <c r="DP5" s="19">
        <f>+IF('Datos delta'!CY5&gt;0,REASIGN('Datos delta'!CY5,'Datos Protegidos'!$K5,PARTIDOS!CZ$8),0)</f>
        <v>0</v>
      </c>
      <c r="DQ5" s="7">
        <v>0</v>
      </c>
      <c r="DR5" s="19">
        <f>+IF('Datos delta'!DA5&gt;0,REASIGN('Datos delta'!DA5,'Datos Protegidos'!$K5,PARTIDOS!DB$8),0)</f>
        <v>0</v>
      </c>
      <c r="DS5" s="7">
        <v>0</v>
      </c>
      <c r="DT5" s="19">
        <f>+IF('Datos delta'!DC5&gt;0,REASIGN('Datos delta'!DC5,'Datos Protegidos'!$K5,PARTIDOS!DD$8),0)</f>
        <v>0</v>
      </c>
      <c r="DU5" s="7">
        <v>0</v>
      </c>
      <c r="DV5" s="19">
        <f>+IF('Datos delta'!DE5&gt;0,REASIGN('Datos delta'!DE5,'Datos Protegidos'!$K5,PARTIDOS!DF$8),0)</f>
        <v>0</v>
      </c>
      <c r="DW5" s="7">
        <v>0</v>
      </c>
      <c r="DX5" s="19">
        <f>+IF('Datos delta'!DG5&gt;0,REASIGN('Datos delta'!DG5,'Datos Protegidos'!$K5,PARTIDOS!DH$8),0)</f>
        <v>0</v>
      </c>
      <c r="DY5" s="7">
        <v>0</v>
      </c>
      <c r="DZ5" s="19">
        <f>+IF('Datos delta'!DI5&gt;0,REASIGN('Datos delta'!DI5,'Datos Protegidos'!$K5,PARTIDOS!DJ$8),0)</f>
        <v>0</v>
      </c>
      <c r="EA5" s="7">
        <v>0</v>
      </c>
      <c r="EB5" s="19">
        <f>+IF('Datos delta'!DK5&gt;0,REASIGN('Datos delta'!DK5,'Datos Protegidos'!$K5,PARTIDOS!DL$8),0)</f>
        <v>0</v>
      </c>
      <c r="EC5" s="7">
        <v>0</v>
      </c>
      <c r="ED5" s="19">
        <f>+IF('Datos delta'!DM5&gt;0,REASIGN('Datos delta'!DM5,'Datos Protegidos'!$K5,PARTIDOS!DN$8),0)</f>
        <v>517</v>
      </c>
      <c r="EE5" s="7">
        <v>0</v>
      </c>
      <c r="EF5" s="19">
        <f>+IF('Datos delta'!DO5&gt;0,REASIGN('Datos delta'!DO5,'Datos Protegidos'!$K5,PARTIDOS!DP$8),0)</f>
        <v>0</v>
      </c>
      <c r="EG5" s="7">
        <v>0</v>
      </c>
      <c r="EH5" s="19">
        <f>+IF('Datos delta'!DQ5&gt;0,REASIGN('Datos delta'!DQ5,'Datos Protegidos'!$K5,PARTIDOS!DR$8),0)</f>
        <v>0</v>
      </c>
      <c r="EI5" s="7">
        <v>0</v>
      </c>
      <c r="EJ5" s="19">
        <f>+IF('Datos delta'!DS5&gt;0,REASIGN('Datos delta'!DS5,'Datos Protegidos'!$K5,PARTIDOS!DT$8),0)</f>
        <v>0</v>
      </c>
      <c r="EK5" s="7">
        <v>0</v>
      </c>
      <c r="EL5" s="19">
        <f>+IF('Datos delta'!DU5&gt;0,REASIGN('Datos delta'!DU5,'Datos Protegidos'!$K5,PARTIDOS!DV$8),0)</f>
        <v>0</v>
      </c>
      <c r="EM5" s="7">
        <v>0</v>
      </c>
      <c r="EN5" s="19">
        <f>+IF('Datos delta'!DW5&gt;0,REASIGN('Datos delta'!DW5,'Datos Protegidos'!$K5,PARTIDOS!DX$8),0)</f>
        <v>0</v>
      </c>
      <c r="EO5" s="7">
        <v>0</v>
      </c>
      <c r="EP5" s="19">
        <f>+IF('Datos delta'!DY5&gt;0,REASIGN('Datos delta'!DY5,'Datos Protegidos'!$K5,PARTIDOS!DZ$8),0)</f>
        <v>118</v>
      </c>
      <c r="EQ5" s="7">
        <v>0</v>
      </c>
      <c r="ER5" s="19">
        <f>+IF('Datos delta'!EA5&gt;0,REASIGN('Datos delta'!EA5,'Datos Protegidos'!$K5,PARTIDOS!EB$8),0)</f>
        <v>0</v>
      </c>
      <c r="ES5" s="7">
        <v>0</v>
      </c>
      <c r="ET5" s="19">
        <f>+IF('Datos delta'!EC5&gt;0,REASIGN('Datos delta'!EC5,'Datos Protegidos'!$K5,PARTIDOS!ED$8),0)</f>
        <v>0</v>
      </c>
      <c r="EU5" s="7">
        <v>0</v>
      </c>
    </row>
    <row r="6" spans="1:151" x14ac:dyDescent="0.25">
      <c r="A6" s="7" t="s">
        <v>17</v>
      </c>
      <c r="B6" s="8">
        <v>21</v>
      </c>
      <c r="C6" s="7" t="s">
        <v>22</v>
      </c>
      <c r="D6" s="9">
        <v>519932</v>
      </c>
      <c r="E6">
        <v>650</v>
      </c>
      <c r="F6" s="1">
        <v>391497</v>
      </c>
      <c r="G6" s="1">
        <v>7522</v>
      </c>
      <c r="H6" s="1">
        <v>399019</v>
      </c>
      <c r="I6"/>
      <c r="J6" s="1"/>
      <c r="K6"/>
      <c r="L6" s="3">
        <f t="shared" si="1"/>
        <v>261641</v>
      </c>
      <c r="M6" s="3">
        <f t="shared" si="2"/>
        <v>256993</v>
      </c>
      <c r="N6" s="6">
        <f t="shared" si="0"/>
        <v>253648</v>
      </c>
      <c r="O6" s="1">
        <v>3345</v>
      </c>
      <c r="P6" s="1">
        <v>4648</v>
      </c>
      <c r="Q6" s="6">
        <f t="shared" si="3"/>
        <v>5</v>
      </c>
      <c r="R6" s="19">
        <f>+IF('Datos delta'!A6&gt;0,REASIGN('Datos delta'!A6,'Datos Protegidos'!$K6,PARTIDOS!B$8),0)</f>
        <v>98076</v>
      </c>
      <c r="S6" s="7">
        <v>3</v>
      </c>
      <c r="T6" s="19">
        <f>+IF('Datos delta'!C6&gt;0,REASIGN('Datos delta'!C6,'Datos Protegidos'!$K6,PARTIDOS!D$8),0)</f>
        <v>65146</v>
      </c>
      <c r="U6" s="7">
        <v>1</v>
      </c>
      <c r="V6" s="19">
        <f>+IF('Datos delta'!E6&gt;0,REASIGN('Datos delta'!E6,'Datos Protegidos'!$K6,PARTIDOS!F$8),0)</f>
        <v>53534</v>
      </c>
      <c r="W6" s="7">
        <v>1</v>
      </c>
      <c r="X6" s="19">
        <f>+IF('Datos delta'!G6&gt;0,REASIGN('Datos delta'!G6,'Datos Protegidos'!$K6,PARTIDOS!H$8),0)</f>
        <v>31908</v>
      </c>
      <c r="Y6" s="7">
        <v>0</v>
      </c>
      <c r="Z6" s="19">
        <f>+IF('Datos delta'!I6&gt;0,REASIGN('Datos delta'!I6,'Datos Protegidos'!$K6,PARTIDOS!J$8),0)</f>
        <v>0</v>
      </c>
      <c r="AA6" s="7">
        <v>0</v>
      </c>
      <c r="AB6" s="19">
        <f>+IF('Datos delta'!K6&gt;0,REASIGN('Datos delta'!K6,'Datos Protegidos'!$K6,PARTIDOS!L$8),0)</f>
        <v>0</v>
      </c>
      <c r="AC6" s="7">
        <v>0</v>
      </c>
      <c r="AD6" s="19">
        <f>+IF('Datos delta'!M6&gt;0,REASIGN('Datos delta'!M6,'Datos Protegidos'!$K6,PARTIDOS!N$8),0)</f>
        <v>0</v>
      </c>
      <c r="AE6" s="7">
        <v>0</v>
      </c>
      <c r="AF6" s="19">
        <f>+IF('Datos delta'!O6&gt;0,REASIGN('Datos delta'!O6,'Datos Protegidos'!$K6,PARTIDOS!P$8),0)</f>
        <v>0</v>
      </c>
      <c r="AG6" s="7">
        <v>0</v>
      </c>
      <c r="AH6" s="19">
        <f>+IF('Datos delta'!Q6&gt;0,REASIGN('Datos delta'!Q6,'Datos Protegidos'!$K6,PARTIDOS!R$8),0)</f>
        <v>0</v>
      </c>
      <c r="AI6" s="7">
        <v>0</v>
      </c>
      <c r="AJ6" s="19">
        <f>+IF('Datos delta'!S6&gt;0,REASIGN('Datos delta'!S6,'Datos Protegidos'!$K6,PARTIDOS!T$8),0)</f>
        <v>0</v>
      </c>
      <c r="AK6" s="7">
        <v>0</v>
      </c>
      <c r="AL6" s="19">
        <f>+IF('Datos delta'!U6&gt;0,REASIGN('Datos delta'!U6,'Datos Protegidos'!$K6,PARTIDOS!V$8),0)</f>
        <v>0</v>
      </c>
      <c r="AM6" s="7">
        <v>0</v>
      </c>
      <c r="AN6" s="19">
        <f>+IF('Datos delta'!W6&gt;0,REASIGN('Datos delta'!W6,'Datos Protegidos'!$K6,PARTIDOS!X$8),0)</f>
        <v>0</v>
      </c>
      <c r="AO6" s="7">
        <v>0</v>
      </c>
      <c r="AP6" s="19">
        <f>+IF('Datos delta'!Y6&gt;0,REASIGN('Datos delta'!Y6,'Datos Protegidos'!$K6,PARTIDOS!Z$8),0)</f>
        <v>0</v>
      </c>
      <c r="AQ6" s="7">
        <v>0</v>
      </c>
      <c r="AR6" s="19">
        <f>+IF('Datos delta'!AA6&gt;0,REASIGN('Datos delta'!AA6,'Datos Protegidos'!$K6,PARTIDOS!AB$8),0)</f>
        <v>0</v>
      </c>
      <c r="AS6" s="7">
        <v>0</v>
      </c>
      <c r="AT6" s="19">
        <f>+IF('Datos delta'!AC6&gt;0,REASIGN('Datos delta'!AC6,'Datos Protegidos'!$K6,PARTIDOS!AD$8),0)</f>
        <v>0</v>
      </c>
      <c r="AU6" s="7">
        <v>0</v>
      </c>
      <c r="AV6" s="19">
        <f>+IF('Datos delta'!AE6&gt;0,REASIGN('Datos delta'!AE6,'Datos Protegidos'!$K6,PARTIDOS!AF$8),0)</f>
        <v>0</v>
      </c>
      <c r="AW6" s="7">
        <v>0</v>
      </c>
      <c r="AX6" s="19">
        <f>+IF('Datos delta'!AG6&gt;0,REASIGN('Datos delta'!AG6,'Datos Protegidos'!$K6,PARTIDOS!AH$8),0)</f>
        <v>0</v>
      </c>
      <c r="AY6" s="7">
        <v>0</v>
      </c>
      <c r="AZ6" s="19">
        <f>+IF('Datos delta'!AI6&gt;0,REASIGN('Datos delta'!AI6,'Datos Protegidos'!$K6,PARTIDOS!AJ$8),0)</f>
        <v>0</v>
      </c>
      <c r="BA6" s="7">
        <v>0</v>
      </c>
      <c r="BB6" s="19">
        <f>+IF('Datos delta'!AK6&gt;0,REASIGN('Datos delta'!AK6,'Datos Protegidos'!$K6,PARTIDOS!AL$8),0)</f>
        <v>0</v>
      </c>
      <c r="BC6" s="7">
        <v>0</v>
      </c>
      <c r="BD6" s="19">
        <f>+IF('Datos delta'!AM6&gt;0,REASIGN('Datos delta'!AM6,'Datos Protegidos'!$K6,PARTIDOS!AN$8),0)</f>
        <v>2522</v>
      </c>
      <c r="BE6" s="7">
        <v>0</v>
      </c>
      <c r="BF6" s="19">
        <f>+IF('Datos delta'!AO6&gt;0,REASIGN('Datos delta'!AO6,'Datos Protegidos'!$K6,PARTIDOS!AP$8),0)</f>
        <v>0</v>
      </c>
      <c r="BG6" s="7">
        <v>0</v>
      </c>
      <c r="BH6" s="19">
        <f>+IF('Datos delta'!AQ6&gt;0,REASIGN('Datos delta'!AQ6,'Datos Protegidos'!$K6,PARTIDOS!AR$8),0)</f>
        <v>492</v>
      </c>
      <c r="BI6" s="7">
        <v>0</v>
      </c>
      <c r="BJ6" s="19">
        <f>+IF('Datos delta'!AS6&gt;0,REASIGN('Datos delta'!AS6,'Datos Protegidos'!$K6,PARTIDOS!AT$8),0)</f>
        <v>349</v>
      </c>
      <c r="BK6" s="7">
        <v>0</v>
      </c>
      <c r="BL6" s="19">
        <f>+IF('Datos delta'!AU6&gt;0,REASIGN('Datos delta'!AU6,'Datos Protegidos'!$K6,PARTIDOS!AV$8),0)</f>
        <v>0</v>
      </c>
      <c r="BM6" s="7">
        <v>0</v>
      </c>
      <c r="BN6" s="19">
        <f>+IF('Datos delta'!AW6&gt;0,REASIGN('Datos delta'!AW6,'Datos Protegidos'!$K6,PARTIDOS!AX$8),0)</f>
        <v>0</v>
      </c>
      <c r="BO6" s="7">
        <v>0</v>
      </c>
      <c r="BP6" s="19">
        <f>+IF('Datos delta'!AY6&gt;0,REASIGN('Datos delta'!AY6,'Datos Protegidos'!$K6,PARTIDOS!AZ$8),0)</f>
        <v>851</v>
      </c>
      <c r="BQ6" s="7">
        <v>0</v>
      </c>
      <c r="BR6" s="19">
        <f>+IF('Datos delta'!BA6&gt;0,REASIGN('Datos delta'!BA6,'Datos Protegidos'!$K6,PARTIDOS!BB$8),0)</f>
        <v>166</v>
      </c>
      <c r="BS6" s="7">
        <v>0</v>
      </c>
      <c r="BT6" s="19">
        <f>+IF('Datos delta'!BC6&gt;0,REASIGN('Datos delta'!BC6,'Datos Protegidos'!$K6,PARTIDOS!BD$8),0)</f>
        <v>117</v>
      </c>
      <c r="BU6" s="7">
        <v>0</v>
      </c>
      <c r="BV6" s="19">
        <f>+IF('Datos delta'!BE6&gt;0,REASIGN('Datos delta'!BE6,'Datos Protegidos'!$K6,PARTIDOS!BF$8),0)</f>
        <v>0</v>
      </c>
      <c r="BW6" s="7">
        <v>0</v>
      </c>
      <c r="BX6" s="19">
        <f>+IF('Datos delta'!BG6&gt;0,REASIGN('Datos delta'!BG6,'Datos Protegidos'!$K6,PARTIDOS!BH$8),0)</f>
        <v>0</v>
      </c>
      <c r="BY6" s="7">
        <v>0</v>
      </c>
      <c r="BZ6" s="19">
        <f>+IF('Datos delta'!BI6&gt;0,REASIGN('Datos delta'!BI6,'Datos Protegidos'!$K6,PARTIDOS!BJ$8),0)</f>
        <v>487</v>
      </c>
      <c r="CA6" s="7">
        <v>0</v>
      </c>
      <c r="CB6" s="19">
        <f>+IF('Datos delta'!BK6&gt;0,REASIGN('Datos delta'!BK6,'Datos Protegidos'!$K6,PARTIDOS!BL$8),0)</f>
        <v>0</v>
      </c>
      <c r="CC6" s="7">
        <v>0</v>
      </c>
      <c r="CD6" s="19">
        <f>+IF('Datos delta'!BM6&gt;0,REASIGN('Datos delta'!BM6,'Datos Protegidos'!$K6,PARTIDOS!BN$8),0)</f>
        <v>0</v>
      </c>
      <c r="CE6" s="7">
        <v>0</v>
      </c>
      <c r="CF6" s="19">
        <f>+IF('Datos delta'!BO6&gt;0,REASIGN('Datos delta'!BO6,'Datos Protegidos'!$K6,PARTIDOS!BP$8),0)</f>
        <v>0</v>
      </c>
      <c r="CG6" s="7">
        <v>0</v>
      </c>
      <c r="CH6" s="19">
        <f>+IF('Datos delta'!BQ6&gt;0,REASIGN('Datos delta'!BQ6,'Datos Protegidos'!$K6,PARTIDOS!BR$8),0)</f>
        <v>0</v>
      </c>
      <c r="CI6" s="7">
        <v>0</v>
      </c>
      <c r="CJ6" s="19">
        <f>+IF('Datos delta'!BS6&gt;0,REASIGN('Datos delta'!BS6,'Datos Protegidos'!$K6,PARTIDOS!BT$8),0)</f>
        <v>0</v>
      </c>
      <c r="CK6" s="7">
        <v>0</v>
      </c>
      <c r="CL6" s="19">
        <f>+IF('Datos delta'!BU6&gt;0,REASIGN('Datos delta'!BU6,'Datos Protegidos'!$K6,PARTIDOS!BV$8),0)</f>
        <v>0</v>
      </c>
      <c r="CM6" s="7">
        <v>0</v>
      </c>
      <c r="CN6" s="19">
        <f>+IF('Datos delta'!BW6&gt;0,REASIGN('Datos delta'!BW6,'Datos Protegidos'!$K6,PARTIDOS!BX$8),0)</f>
        <v>0</v>
      </c>
      <c r="CO6" s="7">
        <v>0</v>
      </c>
      <c r="CP6" s="19">
        <f>+IF('Datos delta'!BY6&gt;0,REASIGN('Datos delta'!BY6,'Datos Protegidos'!$K6,PARTIDOS!BZ$8),0)</f>
        <v>0</v>
      </c>
      <c r="CQ6" s="7">
        <v>0</v>
      </c>
      <c r="CR6" s="19">
        <f>+IF('Datos delta'!CA6&gt;0,REASIGN('Datos delta'!CA6,'Datos Protegidos'!$K6,PARTIDOS!CB$8),0)</f>
        <v>0</v>
      </c>
      <c r="CS6" s="7">
        <v>0</v>
      </c>
      <c r="CT6" s="19">
        <f>+IF('Datos delta'!CC6&gt;0,REASIGN('Datos delta'!CC6,'Datos Protegidos'!$K6,PARTIDOS!CD$8),0)</f>
        <v>0</v>
      </c>
      <c r="CU6" s="7">
        <v>0</v>
      </c>
      <c r="CV6" s="19">
        <f>+IF('Datos delta'!CE6&gt;0,REASIGN('Datos delta'!CE6,'Datos Protegidos'!$K6,PARTIDOS!CF$8),0)</f>
        <v>0</v>
      </c>
      <c r="CW6" s="7">
        <v>0</v>
      </c>
      <c r="CX6" s="19">
        <f>+IF('Datos delta'!CG6&gt;0,REASIGN('Datos delta'!CG6,'Datos Protegidos'!$K6,PARTIDOS!CH$8),0)</f>
        <v>0</v>
      </c>
      <c r="CY6" s="7">
        <v>0</v>
      </c>
      <c r="CZ6" s="19">
        <f>+IF('Datos delta'!CI6&gt;0,REASIGN('Datos delta'!CI6,'Datos Protegidos'!$K6,PARTIDOS!CJ$8),0)</f>
        <v>0</v>
      </c>
      <c r="DA6" s="7">
        <v>0</v>
      </c>
      <c r="DB6" s="19">
        <f>+IF('Datos delta'!CK6&gt;0,REASIGN('Datos delta'!CK6,'Datos Protegidos'!$K6,PARTIDOS!CL$8),0)</f>
        <v>0</v>
      </c>
      <c r="DC6" s="7">
        <v>0</v>
      </c>
      <c r="DD6" s="19">
        <f>+IF('Datos delta'!CM6&gt;0,REASIGN('Datos delta'!CM6,'Datos Protegidos'!$K6,PARTIDOS!CN$8),0)</f>
        <v>0</v>
      </c>
      <c r="DE6" s="7">
        <v>0</v>
      </c>
      <c r="DF6" s="19">
        <f>+IF('Datos delta'!CO6&gt;0,REASIGN('Datos delta'!CO6,'Datos Protegidos'!$K6,PARTIDOS!CP$8),0)</f>
        <v>0</v>
      </c>
      <c r="DG6" s="7">
        <v>0</v>
      </c>
      <c r="DH6" s="19">
        <f>+IF('Datos delta'!CQ6&gt;0,REASIGN('Datos delta'!CQ6,'Datos Protegidos'!$K6,PARTIDOS!CR$8),0)</f>
        <v>0</v>
      </c>
      <c r="DI6" s="7">
        <v>0</v>
      </c>
      <c r="DJ6" s="19">
        <f>+IF('Datos delta'!CS6&gt;0,REASIGN('Datos delta'!CS6,'Datos Protegidos'!$K6,PARTIDOS!CT$8),0)</f>
        <v>0</v>
      </c>
      <c r="DK6" s="7">
        <v>0</v>
      </c>
      <c r="DL6" s="19">
        <f>+IF('Datos delta'!CU6&gt;0,REASIGN('Datos delta'!CU6,'Datos Protegidos'!$K6,PARTIDOS!CV$8),0)</f>
        <v>0</v>
      </c>
      <c r="DM6" s="7">
        <v>0</v>
      </c>
      <c r="DN6" s="19">
        <f>+IF('Datos delta'!CW6&gt;0,REASIGN('Datos delta'!CW6,'Datos Protegidos'!$K6,PARTIDOS!CX$8),0)</f>
        <v>0</v>
      </c>
      <c r="DO6" s="7">
        <v>0</v>
      </c>
      <c r="DP6" s="19">
        <f>+IF('Datos delta'!CY6&gt;0,REASIGN('Datos delta'!CY6,'Datos Protegidos'!$K6,PARTIDOS!CZ$8),0)</f>
        <v>0</v>
      </c>
      <c r="DQ6" s="7">
        <v>0</v>
      </c>
      <c r="DR6" s="19">
        <f>+IF('Datos delta'!DA6&gt;0,REASIGN('Datos delta'!DA6,'Datos Protegidos'!$K6,PARTIDOS!DB$8),0)</f>
        <v>0</v>
      </c>
      <c r="DS6" s="7">
        <v>0</v>
      </c>
      <c r="DT6" s="19">
        <f>+IF('Datos delta'!DC6&gt;0,REASIGN('Datos delta'!DC6,'Datos Protegidos'!$K6,PARTIDOS!DD$8),0)</f>
        <v>0</v>
      </c>
      <c r="DU6" s="7">
        <v>0</v>
      </c>
      <c r="DV6" s="19">
        <f>+IF('Datos delta'!DE6&gt;0,REASIGN('Datos delta'!DE6,'Datos Protegidos'!$K6,PARTIDOS!DF$8),0)</f>
        <v>0</v>
      </c>
      <c r="DW6" s="7">
        <v>0</v>
      </c>
      <c r="DX6" s="19">
        <f>+IF('Datos delta'!DG6&gt;0,REASIGN('Datos delta'!DG6,'Datos Protegidos'!$K6,PARTIDOS!DH$8),0)</f>
        <v>0</v>
      </c>
      <c r="DY6" s="7">
        <v>0</v>
      </c>
      <c r="DZ6" s="19">
        <f>+IF('Datos delta'!DI6&gt;0,REASIGN('Datos delta'!DI6,'Datos Protegidos'!$K6,PARTIDOS!DJ$8),0)</f>
        <v>0</v>
      </c>
      <c r="EA6" s="7">
        <v>0</v>
      </c>
      <c r="EB6" s="19">
        <f>+IF('Datos delta'!DK6&gt;0,REASIGN('Datos delta'!DK6,'Datos Protegidos'!$K6,PARTIDOS!DL$8),0)</f>
        <v>0</v>
      </c>
      <c r="EC6" s="7">
        <v>0</v>
      </c>
      <c r="ED6" s="19">
        <f>+IF('Datos delta'!DM6&gt;0,REASIGN('Datos delta'!DM6,'Datos Protegidos'!$K6,PARTIDOS!DN$8),0)</f>
        <v>0</v>
      </c>
      <c r="EE6" s="7">
        <v>0</v>
      </c>
      <c r="EF6" s="19">
        <f>+IF('Datos delta'!DO6&gt;0,REASIGN('Datos delta'!DO6,'Datos Protegidos'!$K6,PARTIDOS!DP$8),0)</f>
        <v>0</v>
      </c>
      <c r="EG6" s="7">
        <v>0</v>
      </c>
      <c r="EH6" s="19">
        <f>+IF('Datos delta'!DQ6&gt;0,REASIGN('Datos delta'!DQ6,'Datos Protegidos'!$K6,PARTIDOS!DR$8),0)</f>
        <v>0</v>
      </c>
      <c r="EI6" s="7">
        <v>0</v>
      </c>
      <c r="EJ6" s="19">
        <f>+IF('Datos delta'!DS6&gt;0,REASIGN('Datos delta'!DS6,'Datos Protegidos'!$K6,PARTIDOS!DT$8),0)</f>
        <v>0</v>
      </c>
      <c r="EK6" s="7">
        <v>0</v>
      </c>
      <c r="EL6" s="19">
        <f>+IF('Datos delta'!DU6&gt;0,REASIGN('Datos delta'!DU6,'Datos Protegidos'!$K6,PARTIDOS!DV$8),0)</f>
        <v>0</v>
      </c>
      <c r="EM6" s="7">
        <v>0</v>
      </c>
      <c r="EN6" s="19">
        <f>+IF('Datos delta'!DW6&gt;0,REASIGN('Datos delta'!DW6,'Datos Protegidos'!$K6,PARTIDOS!DX$8),0)</f>
        <v>0</v>
      </c>
      <c r="EO6" s="7">
        <v>0</v>
      </c>
      <c r="EP6" s="19">
        <f>+IF('Datos delta'!DY6&gt;0,REASIGN('Datos delta'!DY6,'Datos Protegidos'!$K6,PARTIDOS!DZ$8),0)</f>
        <v>0</v>
      </c>
      <c r="EQ6" s="7">
        <v>0</v>
      </c>
      <c r="ER6" s="19">
        <f>+IF('Datos delta'!EA6&gt;0,REASIGN('Datos delta'!EA6,'Datos Protegidos'!$K6,PARTIDOS!EB$8),0)</f>
        <v>0</v>
      </c>
      <c r="ES6" s="7">
        <v>0</v>
      </c>
      <c r="ET6" s="19">
        <f>+IF('Datos delta'!EC6&gt;0,REASIGN('Datos delta'!EC6,'Datos Protegidos'!$K6,PARTIDOS!ED$8),0)</f>
        <v>0</v>
      </c>
      <c r="EU6" s="7">
        <v>0</v>
      </c>
    </row>
    <row r="7" spans="1:151" x14ac:dyDescent="0.25">
      <c r="A7" s="7" t="s">
        <v>17</v>
      </c>
      <c r="B7" s="8">
        <v>23</v>
      </c>
      <c r="C7" s="7" t="s">
        <v>23</v>
      </c>
      <c r="D7" s="9">
        <v>638099</v>
      </c>
      <c r="E7">
        <v>892</v>
      </c>
      <c r="F7" s="1">
        <v>513915</v>
      </c>
      <c r="G7" s="1">
        <v>12744</v>
      </c>
      <c r="H7" s="1">
        <v>526659</v>
      </c>
      <c r="I7" s="1"/>
      <c r="J7" s="1"/>
      <c r="K7"/>
      <c r="L7" s="3">
        <f t="shared" si="1"/>
        <v>380520</v>
      </c>
      <c r="M7" s="3">
        <f t="shared" si="2"/>
        <v>374583</v>
      </c>
      <c r="N7" s="6">
        <f t="shared" si="0"/>
        <v>371222</v>
      </c>
      <c r="O7" s="1">
        <v>3361</v>
      </c>
      <c r="P7" s="1">
        <v>5937</v>
      </c>
      <c r="Q7" s="6">
        <f t="shared" si="3"/>
        <v>5</v>
      </c>
      <c r="R7" s="19">
        <f>+IF('Datos delta'!A7&gt;0,REASIGN('Datos delta'!A7,'Datos Protegidos'!$K7,PARTIDOS!B$8),0)</f>
        <v>151304</v>
      </c>
      <c r="S7" s="7">
        <v>3</v>
      </c>
      <c r="T7" s="19">
        <f>+IF('Datos delta'!C7&gt;0,REASIGN('Datos delta'!C7,'Datos Protegidos'!$K7,PARTIDOS!D$8),0)</f>
        <v>103548</v>
      </c>
      <c r="U7" s="7">
        <v>1</v>
      </c>
      <c r="V7" s="19">
        <f>+IF('Datos delta'!E7&gt;0,REASIGN('Datos delta'!E7,'Datos Protegidos'!$K7,PARTIDOS!F$8),0)</f>
        <v>73389</v>
      </c>
      <c r="W7" s="7">
        <v>1</v>
      </c>
      <c r="X7" s="19">
        <f>+IF('Datos delta'!G7&gt;0,REASIGN('Datos delta'!G7,'Datos Protegidos'!$K7,PARTIDOS!H$8),0)</f>
        <v>37760</v>
      </c>
      <c r="Y7" s="7">
        <v>0</v>
      </c>
      <c r="Z7" s="19">
        <f>+IF('Datos delta'!I7&gt;0,REASIGN('Datos delta'!I7,'Datos Protegidos'!$K7,PARTIDOS!J$8),0)</f>
        <v>0</v>
      </c>
      <c r="AA7" s="7">
        <v>0</v>
      </c>
      <c r="AB7" s="19">
        <f>+IF('Datos delta'!K7&gt;0,REASIGN('Datos delta'!K7,'Datos Protegidos'!$K7,PARTIDOS!L$8),0)</f>
        <v>0</v>
      </c>
      <c r="AC7" s="7">
        <v>0</v>
      </c>
      <c r="AD7" s="19">
        <f>+IF('Datos delta'!M7&gt;0,REASIGN('Datos delta'!M7,'Datos Protegidos'!$K7,PARTIDOS!N$8),0)</f>
        <v>0</v>
      </c>
      <c r="AE7" s="7">
        <v>0</v>
      </c>
      <c r="AF7" s="19">
        <f>+IF('Datos delta'!O7&gt;0,REASIGN('Datos delta'!O7,'Datos Protegidos'!$K7,PARTIDOS!P$8),0)</f>
        <v>0</v>
      </c>
      <c r="AG7" s="7">
        <v>0</v>
      </c>
      <c r="AH7" s="19">
        <f>+IF('Datos delta'!Q7&gt;0,REASIGN('Datos delta'!Q7,'Datos Protegidos'!$K7,PARTIDOS!R$8),0)</f>
        <v>0</v>
      </c>
      <c r="AI7" s="7">
        <v>0</v>
      </c>
      <c r="AJ7" s="19">
        <f>+IF('Datos delta'!S7&gt;0,REASIGN('Datos delta'!S7,'Datos Protegidos'!$K7,PARTIDOS!T$8),0)</f>
        <v>0</v>
      </c>
      <c r="AK7" s="7">
        <v>0</v>
      </c>
      <c r="AL7" s="19">
        <f>+IF('Datos delta'!U7&gt;0,REASIGN('Datos delta'!U7,'Datos Protegidos'!$K7,PARTIDOS!V$8),0)</f>
        <v>0</v>
      </c>
      <c r="AM7" s="7">
        <v>0</v>
      </c>
      <c r="AN7" s="19">
        <f>+IF('Datos delta'!W7&gt;0,REASIGN('Datos delta'!W7,'Datos Protegidos'!$K7,PARTIDOS!X$8),0)</f>
        <v>0</v>
      </c>
      <c r="AO7" s="7">
        <v>0</v>
      </c>
      <c r="AP7" s="19">
        <f>+IF('Datos delta'!Y7&gt;0,REASIGN('Datos delta'!Y7,'Datos Protegidos'!$K7,PARTIDOS!Z$8),0)</f>
        <v>0</v>
      </c>
      <c r="AQ7" s="7">
        <v>0</v>
      </c>
      <c r="AR7" s="19">
        <f>+IF('Datos delta'!AA7&gt;0,REASIGN('Datos delta'!AA7,'Datos Protegidos'!$K7,PARTIDOS!AB$8),0)</f>
        <v>0</v>
      </c>
      <c r="AS7" s="7">
        <v>0</v>
      </c>
      <c r="AT7" s="19">
        <f>+IF('Datos delta'!AC7&gt;0,REASIGN('Datos delta'!AC7,'Datos Protegidos'!$K7,PARTIDOS!AD$8),0)</f>
        <v>0</v>
      </c>
      <c r="AU7" s="7">
        <v>0</v>
      </c>
      <c r="AV7" s="19">
        <f>+IF('Datos delta'!AE7&gt;0,REASIGN('Datos delta'!AE7,'Datos Protegidos'!$K7,PARTIDOS!AF$8),0)</f>
        <v>0</v>
      </c>
      <c r="AW7" s="7">
        <v>0</v>
      </c>
      <c r="AX7" s="19">
        <f>+IF('Datos delta'!AG7&gt;0,REASIGN('Datos delta'!AG7,'Datos Protegidos'!$K7,PARTIDOS!AH$8),0)</f>
        <v>0</v>
      </c>
      <c r="AY7" s="7">
        <v>0</v>
      </c>
      <c r="AZ7" s="19">
        <f>+IF('Datos delta'!AI7&gt;0,REASIGN('Datos delta'!AI7,'Datos Protegidos'!$K7,PARTIDOS!AJ$8),0)</f>
        <v>0</v>
      </c>
      <c r="BA7" s="7">
        <v>0</v>
      </c>
      <c r="BB7" s="19">
        <f>+IF('Datos delta'!AK7&gt;0,REASIGN('Datos delta'!AK7,'Datos Protegidos'!$K7,PARTIDOS!AL$8),0)</f>
        <v>0</v>
      </c>
      <c r="BC7" s="7">
        <v>0</v>
      </c>
      <c r="BD7" s="19">
        <f>+IF('Datos delta'!AM7&gt;0,REASIGN('Datos delta'!AM7,'Datos Protegidos'!$K7,PARTIDOS!AN$8),0)</f>
        <v>2752</v>
      </c>
      <c r="BE7" s="7">
        <v>0</v>
      </c>
      <c r="BF7" s="19">
        <f>+IF('Datos delta'!AO7&gt;0,REASIGN('Datos delta'!AO7,'Datos Protegidos'!$K7,PARTIDOS!AP$8),0)</f>
        <v>0</v>
      </c>
      <c r="BG7" s="7">
        <v>0</v>
      </c>
      <c r="BH7" s="19">
        <f>+IF('Datos delta'!AQ7&gt;0,REASIGN('Datos delta'!AQ7,'Datos Protegidos'!$K7,PARTIDOS!AR$8),0)</f>
        <v>461</v>
      </c>
      <c r="BI7" s="7">
        <v>0</v>
      </c>
      <c r="BJ7" s="19">
        <f>+IF('Datos delta'!AS7&gt;0,REASIGN('Datos delta'!AS7,'Datos Protegidos'!$K7,PARTIDOS!AT$8),0)</f>
        <v>416</v>
      </c>
      <c r="BK7" s="7">
        <v>0</v>
      </c>
      <c r="BL7" s="19">
        <f>+IF('Datos delta'!AU7&gt;0,REASIGN('Datos delta'!AU7,'Datos Protegidos'!$K7,PARTIDOS!AV$8),0)</f>
        <v>0</v>
      </c>
      <c r="BM7" s="7">
        <v>0</v>
      </c>
      <c r="BN7" s="19">
        <f>+IF('Datos delta'!AW7&gt;0,REASIGN('Datos delta'!AW7,'Datos Protegidos'!$K7,PARTIDOS!AX$8),0)</f>
        <v>0</v>
      </c>
      <c r="BO7" s="7">
        <v>0</v>
      </c>
      <c r="BP7" s="19">
        <f>+IF('Datos delta'!AY7&gt;0,REASIGN('Datos delta'!AY7,'Datos Protegidos'!$K7,PARTIDOS!AZ$8),0)</f>
        <v>851</v>
      </c>
      <c r="BQ7" s="7">
        <v>0</v>
      </c>
      <c r="BR7" s="19">
        <f>+IF('Datos delta'!BA7&gt;0,REASIGN('Datos delta'!BA7,'Datos Protegidos'!$K7,PARTIDOS!BB$8),0)</f>
        <v>0</v>
      </c>
      <c r="BS7" s="7">
        <v>0</v>
      </c>
      <c r="BT7" s="19">
        <f>+IF('Datos delta'!BC7&gt;0,REASIGN('Datos delta'!BC7,'Datos Protegidos'!$K7,PARTIDOS!BD$8),0)</f>
        <v>494</v>
      </c>
      <c r="BU7" s="7">
        <v>0</v>
      </c>
      <c r="BV7" s="19">
        <f>+IF('Datos delta'!BE7&gt;0,REASIGN('Datos delta'!BE7,'Datos Protegidos'!$K7,PARTIDOS!BF$8),0)</f>
        <v>0</v>
      </c>
      <c r="BW7" s="7">
        <v>0</v>
      </c>
      <c r="BX7" s="19">
        <f>+IF('Datos delta'!BG7&gt;0,REASIGN('Datos delta'!BG7,'Datos Protegidos'!$K7,PARTIDOS!BH$8),0)</f>
        <v>0</v>
      </c>
      <c r="BY7" s="7">
        <v>0</v>
      </c>
      <c r="BZ7" s="19">
        <f>+IF('Datos delta'!BI7&gt;0,REASIGN('Datos delta'!BI7,'Datos Protegidos'!$K7,PARTIDOS!BJ$8),0)</f>
        <v>0</v>
      </c>
      <c r="CA7" s="7">
        <v>0</v>
      </c>
      <c r="CB7" s="19">
        <f>+IF('Datos delta'!BK7&gt;0,REASIGN('Datos delta'!BK7,'Datos Protegidos'!$K7,PARTIDOS!BL$8),0)</f>
        <v>0</v>
      </c>
      <c r="CC7" s="7">
        <v>0</v>
      </c>
      <c r="CD7" s="19">
        <f>+IF('Datos delta'!BM7&gt;0,REASIGN('Datos delta'!BM7,'Datos Protegidos'!$K7,PARTIDOS!BN$8),0)</f>
        <v>0</v>
      </c>
      <c r="CE7" s="7">
        <v>0</v>
      </c>
      <c r="CF7" s="19">
        <f>+IF('Datos delta'!BO7&gt;0,REASIGN('Datos delta'!BO7,'Datos Protegidos'!$K7,PARTIDOS!BP$8),0)</f>
        <v>0</v>
      </c>
      <c r="CG7" s="7">
        <v>0</v>
      </c>
      <c r="CH7" s="19">
        <f>+IF('Datos delta'!BQ7&gt;0,REASIGN('Datos delta'!BQ7,'Datos Protegidos'!$K7,PARTIDOS!BR$8),0)</f>
        <v>0</v>
      </c>
      <c r="CI7" s="7">
        <v>0</v>
      </c>
      <c r="CJ7" s="19">
        <f>+IF('Datos delta'!BS7&gt;0,REASIGN('Datos delta'!BS7,'Datos Protegidos'!$K7,PARTIDOS!BT$8),0)</f>
        <v>0</v>
      </c>
      <c r="CK7" s="7">
        <v>0</v>
      </c>
      <c r="CL7" s="19">
        <f>+IF('Datos delta'!BU7&gt;0,REASIGN('Datos delta'!BU7,'Datos Protegidos'!$K7,PARTIDOS!BV$8),0)</f>
        <v>0</v>
      </c>
      <c r="CM7" s="7">
        <v>0</v>
      </c>
      <c r="CN7" s="19">
        <f>+IF('Datos delta'!BW7&gt;0,REASIGN('Datos delta'!BW7,'Datos Protegidos'!$K7,PARTIDOS!BX$8),0)</f>
        <v>0</v>
      </c>
      <c r="CO7" s="7">
        <v>0</v>
      </c>
      <c r="CP7" s="19">
        <f>+IF('Datos delta'!BY7&gt;0,REASIGN('Datos delta'!BY7,'Datos Protegidos'!$K7,PARTIDOS!BZ$8),0)</f>
        <v>0</v>
      </c>
      <c r="CQ7" s="7">
        <v>0</v>
      </c>
      <c r="CR7" s="19">
        <f>+IF('Datos delta'!CA7&gt;0,REASIGN('Datos delta'!CA7,'Datos Protegidos'!$K7,PARTIDOS!CB$8),0)</f>
        <v>0</v>
      </c>
      <c r="CS7" s="7">
        <v>0</v>
      </c>
      <c r="CT7" s="19">
        <f>+IF('Datos delta'!CC7&gt;0,REASIGN('Datos delta'!CC7,'Datos Protegidos'!$K7,PARTIDOS!CD$8),0)</f>
        <v>0</v>
      </c>
      <c r="CU7" s="7">
        <v>0</v>
      </c>
      <c r="CV7" s="19">
        <f>+IF('Datos delta'!CE7&gt;0,REASIGN('Datos delta'!CE7,'Datos Protegidos'!$K7,PARTIDOS!CF$8),0)</f>
        <v>0</v>
      </c>
      <c r="CW7" s="7">
        <v>0</v>
      </c>
      <c r="CX7" s="19">
        <f>+IF('Datos delta'!CG7&gt;0,REASIGN('Datos delta'!CG7,'Datos Protegidos'!$K7,PARTIDOS!CH$8),0)</f>
        <v>0</v>
      </c>
      <c r="CY7" s="7">
        <v>0</v>
      </c>
      <c r="CZ7" s="19">
        <f>+IF('Datos delta'!CI7&gt;0,REASIGN('Datos delta'!CI7,'Datos Protegidos'!$K7,PARTIDOS!CJ$8),0)</f>
        <v>0</v>
      </c>
      <c r="DA7" s="7">
        <v>0</v>
      </c>
      <c r="DB7" s="19">
        <f>+IF('Datos delta'!CK7&gt;0,REASIGN('Datos delta'!CK7,'Datos Protegidos'!$K7,PARTIDOS!CL$8),0)</f>
        <v>0</v>
      </c>
      <c r="DC7" s="7">
        <v>0</v>
      </c>
      <c r="DD7" s="19">
        <f>+IF('Datos delta'!CM7&gt;0,REASIGN('Datos delta'!CM7,'Datos Protegidos'!$K7,PARTIDOS!CN$8),0)</f>
        <v>0</v>
      </c>
      <c r="DE7" s="7">
        <v>0</v>
      </c>
      <c r="DF7" s="19">
        <f>+IF('Datos delta'!CO7&gt;0,REASIGN('Datos delta'!CO7,'Datos Protegidos'!$K7,PARTIDOS!CP$8),0)</f>
        <v>0</v>
      </c>
      <c r="DG7" s="7">
        <v>0</v>
      </c>
      <c r="DH7" s="19">
        <f>+IF('Datos delta'!CQ7&gt;0,REASIGN('Datos delta'!CQ7,'Datos Protegidos'!$K7,PARTIDOS!CR$8),0)</f>
        <v>0</v>
      </c>
      <c r="DI7" s="7">
        <v>0</v>
      </c>
      <c r="DJ7" s="19">
        <f>+IF('Datos delta'!CS7&gt;0,REASIGN('Datos delta'!CS7,'Datos Protegidos'!$K7,PARTIDOS!CT$8),0)</f>
        <v>0</v>
      </c>
      <c r="DK7" s="7">
        <v>0</v>
      </c>
      <c r="DL7" s="19">
        <f>+IF('Datos delta'!CU7&gt;0,REASIGN('Datos delta'!CU7,'Datos Protegidos'!$K7,PARTIDOS!CV$8),0)</f>
        <v>0</v>
      </c>
      <c r="DM7" s="7">
        <v>0</v>
      </c>
      <c r="DN7" s="19">
        <f>+IF('Datos delta'!CW7&gt;0,REASIGN('Datos delta'!CW7,'Datos Protegidos'!$K7,PARTIDOS!CX$8),0)</f>
        <v>0</v>
      </c>
      <c r="DO7" s="7">
        <v>0</v>
      </c>
      <c r="DP7" s="19">
        <f>+IF('Datos delta'!CY7&gt;0,REASIGN('Datos delta'!CY7,'Datos Protegidos'!$K7,PARTIDOS!CZ$8),0)</f>
        <v>0</v>
      </c>
      <c r="DQ7" s="7">
        <v>0</v>
      </c>
      <c r="DR7" s="19">
        <f>+IF('Datos delta'!DA7&gt;0,REASIGN('Datos delta'!DA7,'Datos Protegidos'!$K7,PARTIDOS!DB$8),0)</f>
        <v>0</v>
      </c>
      <c r="DS7" s="7">
        <v>0</v>
      </c>
      <c r="DT7" s="19">
        <f>+IF('Datos delta'!DC7&gt;0,REASIGN('Datos delta'!DC7,'Datos Protegidos'!$K7,PARTIDOS!DD$8),0)</f>
        <v>0</v>
      </c>
      <c r="DU7" s="7">
        <v>0</v>
      </c>
      <c r="DV7" s="19">
        <f>+IF('Datos delta'!DE7&gt;0,REASIGN('Datos delta'!DE7,'Datos Protegidos'!$K7,PARTIDOS!DF$8),0)</f>
        <v>0</v>
      </c>
      <c r="DW7" s="7">
        <v>0</v>
      </c>
      <c r="DX7" s="19">
        <f>+IF('Datos delta'!DG7&gt;0,REASIGN('Datos delta'!DG7,'Datos Protegidos'!$K7,PARTIDOS!DH$8),0)</f>
        <v>0</v>
      </c>
      <c r="DY7" s="7">
        <v>0</v>
      </c>
      <c r="DZ7" s="19">
        <f>+IF('Datos delta'!DI7&gt;0,REASIGN('Datos delta'!DI7,'Datos Protegidos'!$K7,PARTIDOS!DJ$8),0)</f>
        <v>0</v>
      </c>
      <c r="EA7" s="7">
        <v>0</v>
      </c>
      <c r="EB7" s="19">
        <f>+IF('Datos delta'!DK7&gt;0,REASIGN('Datos delta'!DK7,'Datos Protegidos'!$K7,PARTIDOS!DL$8),0)</f>
        <v>0</v>
      </c>
      <c r="EC7" s="7">
        <v>0</v>
      </c>
      <c r="ED7" s="19">
        <f>+IF('Datos delta'!DM7&gt;0,REASIGN('Datos delta'!DM7,'Datos Protegidos'!$K7,PARTIDOS!DN$8),0)</f>
        <v>0</v>
      </c>
      <c r="EE7" s="7">
        <v>0</v>
      </c>
      <c r="EF7" s="19">
        <f>+IF('Datos delta'!DO7&gt;0,REASIGN('Datos delta'!DO7,'Datos Protegidos'!$K7,PARTIDOS!DP$8),0)</f>
        <v>0</v>
      </c>
      <c r="EG7" s="7">
        <v>0</v>
      </c>
      <c r="EH7" s="19">
        <f>+IF('Datos delta'!DQ7&gt;0,REASIGN('Datos delta'!DQ7,'Datos Protegidos'!$K7,PARTIDOS!DR$8),0)</f>
        <v>0</v>
      </c>
      <c r="EI7" s="7">
        <v>0</v>
      </c>
      <c r="EJ7" s="19">
        <f>+IF('Datos delta'!DS7&gt;0,REASIGN('Datos delta'!DS7,'Datos Protegidos'!$K7,PARTIDOS!DT$8),0)</f>
        <v>247</v>
      </c>
      <c r="EK7" s="7">
        <v>0</v>
      </c>
      <c r="EL7" s="19">
        <f>+IF('Datos delta'!DU7&gt;0,REASIGN('Datos delta'!DU7,'Datos Protegidos'!$K7,PARTIDOS!DV$8),0)</f>
        <v>0</v>
      </c>
      <c r="EM7" s="7">
        <v>0</v>
      </c>
      <c r="EN7" s="19">
        <f>+IF('Datos delta'!DW7&gt;0,REASIGN('Datos delta'!DW7,'Datos Protegidos'!$K7,PARTIDOS!DX$8),0)</f>
        <v>0</v>
      </c>
      <c r="EO7" s="7">
        <v>0</v>
      </c>
      <c r="EP7" s="19">
        <f>+IF('Datos delta'!DY7&gt;0,REASIGN('Datos delta'!DY7,'Datos Protegidos'!$K7,PARTIDOS!DZ$8),0)</f>
        <v>0</v>
      </c>
      <c r="EQ7" s="7">
        <v>0</v>
      </c>
      <c r="ER7" s="19">
        <f>+IF('Datos delta'!EA7&gt;0,REASIGN('Datos delta'!EA7,'Datos Protegidos'!$K7,PARTIDOS!EB$8),0)</f>
        <v>0</v>
      </c>
      <c r="ES7" s="7">
        <v>0</v>
      </c>
      <c r="ET7" s="19">
        <f>+IF('Datos delta'!EC7&gt;0,REASIGN('Datos delta'!EC7,'Datos Protegidos'!$K7,PARTIDOS!ED$8),0)</f>
        <v>0</v>
      </c>
      <c r="EU7" s="7">
        <v>0</v>
      </c>
    </row>
    <row r="8" spans="1:151" x14ac:dyDescent="0.25">
      <c r="A8" s="7" t="s">
        <v>17</v>
      </c>
      <c r="B8" s="8">
        <v>29</v>
      </c>
      <c r="C8" s="7" t="s">
        <v>24</v>
      </c>
      <c r="D8" s="9">
        <v>1641121</v>
      </c>
      <c r="E8" s="1">
        <v>1662</v>
      </c>
      <c r="F8" s="1">
        <v>1143262</v>
      </c>
      <c r="G8" s="1">
        <v>54426</v>
      </c>
      <c r="H8" s="1">
        <v>1197688</v>
      </c>
      <c r="I8" s="1"/>
      <c r="J8" s="1"/>
      <c r="K8" s="1"/>
      <c r="L8" s="3">
        <f t="shared" si="1"/>
        <v>783597</v>
      </c>
      <c r="M8" s="3">
        <f t="shared" si="2"/>
        <v>773499</v>
      </c>
      <c r="N8" s="6">
        <f t="shared" si="0"/>
        <v>765141</v>
      </c>
      <c r="O8" s="1">
        <v>8358</v>
      </c>
      <c r="P8" s="1">
        <v>10098</v>
      </c>
      <c r="Q8" s="6">
        <f t="shared" si="3"/>
        <v>11</v>
      </c>
      <c r="R8" s="19">
        <f>+IF('Datos delta'!A8&gt;0,REASIGN('Datos delta'!A8,'Datos Protegidos'!$K8,PARTIDOS!B$8),0)</f>
        <v>244871</v>
      </c>
      <c r="S8" s="7">
        <v>4</v>
      </c>
      <c r="T8" s="19">
        <f>+IF('Datos delta'!C8&gt;0,REASIGN('Datos delta'!C8,'Datos Protegidos'!$K8,PARTIDOS!D$8),0)</f>
        <v>220036</v>
      </c>
      <c r="U8" s="7">
        <v>3</v>
      </c>
      <c r="V8" s="19">
        <f>+IF('Datos delta'!E8&gt;0,REASIGN('Datos delta'!E8,'Datos Protegidos'!$K8,PARTIDOS!F$8),0)</f>
        <v>165525</v>
      </c>
      <c r="W8" s="7">
        <v>2</v>
      </c>
      <c r="X8" s="19">
        <f>+IF('Datos delta'!G8&gt;0,REASIGN('Datos delta'!G8,'Datos Protegidos'!$K8,PARTIDOS!H$8),0)</f>
        <v>102691</v>
      </c>
      <c r="Y8" s="7">
        <v>1</v>
      </c>
      <c r="Z8" s="19">
        <f>+IF('Datos delta'!I8&gt;0,REASIGN('Datos delta'!I8,'Datos Protegidos'!$K8,PARTIDOS!J$8),0)</f>
        <v>0</v>
      </c>
      <c r="AA8" s="7">
        <v>0</v>
      </c>
      <c r="AB8" s="19">
        <f>+IF('Datos delta'!K8&gt;0,REASIGN('Datos delta'!K8,'Datos Protegidos'!$K8,PARTIDOS!L$8),0)</f>
        <v>0</v>
      </c>
      <c r="AC8" s="7">
        <v>1</v>
      </c>
      <c r="AD8" s="19">
        <f>+IF('Datos delta'!M8&gt;0,REASIGN('Datos delta'!M8,'Datos Protegidos'!$K8,PARTIDOS!N$8),0)</f>
        <v>0</v>
      </c>
      <c r="AE8" s="7">
        <v>0</v>
      </c>
      <c r="AF8" s="19">
        <f>+IF('Datos delta'!O8&gt;0,REASIGN('Datos delta'!O8,'Datos Protegidos'!$K8,PARTIDOS!P$8),0)</f>
        <v>0</v>
      </c>
      <c r="AG8" s="7">
        <v>0</v>
      </c>
      <c r="AH8" s="19">
        <f>+IF('Datos delta'!Q8&gt;0,REASIGN('Datos delta'!Q8,'Datos Protegidos'!$K8,PARTIDOS!R$8),0)</f>
        <v>0</v>
      </c>
      <c r="AI8" s="7">
        <v>0</v>
      </c>
      <c r="AJ8" s="19">
        <f>+IF('Datos delta'!S8&gt;0,REASIGN('Datos delta'!S8,'Datos Protegidos'!$K8,PARTIDOS!T$8),0)</f>
        <v>0</v>
      </c>
      <c r="AK8" s="7">
        <v>0</v>
      </c>
      <c r="AL8" s="19">
        <f>+IF('Datos delta'!U8&gt;0,REASIGN('Datos delta'!U8,'Datos Protegidos'!$K8,PARTIDOS!V$8),0)</f>
        <v>14817</v>
      </c>
      <c r="AM8" s="7">
        <v>0</v>
      </c>
      <c r="AN8" s="19">
        <f>+IF('Datos delta'!W8&gt;0,REASIGN('Datos delta'!W8,'Datos Protegidos'!$K8,PARTIDOS!X$8),0)</f>
        <v>0</v>
      </c>
      <c r="AO8" s="7">
        <v>0</v>
      </c>
      <c r="AP8" s="19">
        <f>+IF('Datos delta'!Y8&gt;0,REASIGN('Datos delta'!Y8,'Datos Protegidos'!$K8,PARTIDOS!Z$8),0)</f>
        <v>0</v>
      </c>
      <c r="AQ8" s="7">
        <v>0</v>
      </c>
      <c r="AR8" s="19">
        <f>+IF('Datos delta'!AA8&gt;0,REASIGN('Datos delta'!AA8,'Datos Protegidos'!$K8,PARTIDOS!AB$8),0)</f>
        <v>0</v>
      </c>
      <c r="AS8" s="7">
        <v>0</v>
      </c>
      <c r="AT8" s="19">
        <f>+IF('Datos delta'!AC8&gt;0,REASIGN('Datos delta'!AC8,'Datos Protegidos'!$K8,PARTIDOS!AD$8),0)</f>
        <v>0</v>
      </c>
      <c r="AU8" s="7">
        <v>0</v>
      </c>
      <c r="AV8" s="19">
        <f>+IF('Datos delta'!AE8&gt;0,REASIGN('Datos delta'!AE8,'Datos Protegidos'!$K8,PARTIDOS!AF$8),0)</f>
        <v>0</v>
      </c>
      <c r="AW8" s="7">
        <v>0</v>
      </c>
      <c r="AX8" s="19">
        <f>+IF('Datos delta'!AG8&gt;0,REASIGN('Datos delta'!AG8,'Datos Protegidos'!$K8,PARTIDOS!AH$8),0)</f>
        <v>0</v>
      </c>
      <c r="AY8" s="7">
        <v>0</v>
      </c>
      <c r="AZ8" s="19">
        <f>+IF('Datos delta'!AI8&gt;0,REASIGN('Datos delta'!AI8,'Datos Protegidos'!$K8,PARTIDOS!AJ$8),0)</f>
        <v>0</v>
      </c>
      <c r="BA8" s="7">
        <v>0</v>
      </c>
      <c r="BB8" s="19">
        <f>+IF('Datos delta'!AK8&gt;0,REASIGN('Datos delta'!AK8,'Datos Protegidos'!$K8,PARTIDOS!AL$8),0)</f>
        <v>0</v>
      </c>
      <c r="BC8" s="7">
        <v>0</v>
      </c>
      <c r="BD8" s="19">
        <f>+IF('Datos delta'!AM8&gt;0,REASIGN('Datos delta'!AM8,'Datos Protegidos'!$K8,PARTIDOS!AN$8),0)</f>
        <v>11033</v>
      </c>
      <c r="BE8" s="7">
        <v>0</v>
      </c>
      <c r="BF8" s="19">
        <f>+IF('Datos delta'!AO8&gt;0,REASIGN('Datos delta'!AO8,'Datos Protegidos'!$K8,PARTIDOS!AP$8),0)</f>
        <v>0</v>
      </c>
      <c r="BG8" s="7">
        <v>0</v>
      </c>
      <c r="BH8" s="19">
        <f>+IF('Datos delta'!AQ8&gt;0,REASIGN('Datos delta'!AQ8,'Datos Protegidos'!$K8,PARTIDOS!AR$8),0)</f>
        <v>1254</v>
      </c>
      <c r="BI8" s="7">
        <v>0</v>
      </c>
      <c r="BJ8" s="19">
        <f>+IF('Datos delta'!AS8&gt;0,REASIGN('Datos delta'!AS8,'Datos Protegidos'!$K8,PARTIDOS!AT$8),0)</f>
        <v>899</v>
      </c>
      <c r="BK8" s="7">
        <v>0</v>
      </c>
      <c r="BL8" s="19">
        <f>+IF('Datos delta'!AU8&gt;0,REASIGN('Datos delta'!AU8,'Datos Protegidos'!$K8,PARTIDOS!AV$8),0)</f>
        <v>0</v>
      </c>
      <c r="BM8" s="7">
        <v>0</v>
      </c>
      <c r="BN8" s="19">
        <f>+IF('Datos delta'!AW8&gt;0,REASIGN('Datos delta'!AW8,'Datos Protegidos'!$K8,PARTIDOS!AX$8),0)</f>
        <v>0</v>
      </c>
      <c r="BO8" s="7">
        <v>0</v>
      </c>
      <c r="BP8" s="19">
        <f>+IF('Datos delta'!AY8&gt;0,REASIGN('Datos delta'!AY8,'Datos Protegidos'!$K8,PARTIDOS!AZ$8),0)</f>
        <v>1677</v>
      </c>
      <c r="BQ8" s="7">
        <v>0</v>
      </c>
      <c r="BR8" s="19">
        <f>+IF('Datos delta'!BA8&gt;0,REASIGN('Datos delta'!BA8,'Datos Protegidos'!$K8,PARTIDOS!BB$8),0)</f>
        <v>610</v>
      </c>
      <c r="BS8" s="7">
        <v>0</v>
      </c>
      <c r="BT8" s="19">
        <f>+IF('Datos delta'!BC8&gt;0,REASIGN('Datos delta'!BC8,'Datos Protegidos'!$K8,PARTIDOS!BD$8),0)</f>
        <v>400</v>
      </c>
      <c r="BU8" s="7">
        <v>0</v>
      </c>
      <c r="BV8" s="19">
        <f>+IF('Datos delta'!BE8&gt;0,REASIGN('Datos delta'!BE8,'Datos Protegidos'!$K8,PARTIDOS!BF$8),0)</f>
        <v>0</v>
      </c>
      <c r="BW8" s="7">
        <v>0</v>
      </c>
      <c r="BX8" s="19">
        <f>+IF('Datos delta'!BG8&gt;0,REASIGN('Datos delta'!BG8,'Datos Protegidos'!$K8,PARTIDOS!BH$8),0)</f>
        <v>0</v>
      </c>
      <c r="BY8" s="7">
        <v>0</v>
      </c>
      <c r="BZ8" s="19">
        <f>+IF('Datos delta'!BI8&gt;0,REASIGN('Datos delta'!BI8,'Datos Protegidos'!$K8,PARTIDOS!BJ$8),0)</f>
        <v>1328</v>
      </c>
      <c r="CA8" s="7">
        <v>0</v>
      </c>
      <c r="CB8" s="19">
        <f>+IF('Datos delta'!BK8&gt;0,REASIGN('Datos delta'!BK8,'Datos Protegidos'!$K8,PARTIDOS!BL$8),0)</f>
        <v>0</v>
      </c>
      <c r="CC8" s="7">
        <v>0</v>
      </c>
      <c r="CD8" s="19">
        <f>+IF('Datos delta'!BM8&gt;0,REASIGN('Datos delta'!BM8,'Datos Protegidos'!$K8,PARTIDOS!BN$8),0)</f>
        <v>0</v>
      </c>
      <c r="CE8" s="7">
        <v>0</v>
      </c>
      <c r="CF8" s="19">
        <f>+IF('Datos delta'!BO8&gt;0,REASIGN('Datos delta'!BO8,'Datos Protegidos'!$K8,PARTIDOS!BP$8),0)</f>
        <v>0</v>
      </c>
      <c r="CG8" s="7">
        <v>0</v>
      </c>
      <c r="CH8" s="19">
        <f>+IF('Datos delta'!BQ8&gt;0,REASIGN('Datos delta'!BQ8,'Datos Protegidos'!$K8,PARTIDOS!BR$8),0)</f>
        <v>0</v>
      </c>
      <c r="CI8" s="7">
        <v>0</v>
      </c>
      <c r="CJ8" s="19">
        <f>+IF('Datos delta'!BS8&gt;0,REASIGN('Datos delta'!BS8,'Datos Protegidos'!$K8,PARTIDOS!BT$8),0)</f>
        <v>0</v>
      </c>
      <c r="CK8" s="7">
        <v>0</v>
      </c>
      <c r="CL8" s="19">
        <f>+IF('Datos delta'!BU8&gt;0,REASIGN('Datos delta'!BU8,'Datos Protegidos'!$K8,PARTIDOS!BV$8),0)</f>
        <v>0</v>
      </c>
      <c r="CM8" s="7">
        <v>0</v>
      </c>
      <c r="CN8" s="19">
        <f>+IF('Datos delta'!BW8&gt;0,REASIGN('Datos delta'!BW8,'Datos Protegidos'!$K8,PARTIDOS!BX$8),0)</f>
        <v>0</v>
      </c>
      <c r="CO8" s="7">
        <v>0</v>
      </c>
      <c r="CP8" s="19">
        <f>+IF('Datos delta'!BY8&gt;0,REASIGN('Datos delta'!BY8,'Datos Protegidos'!$K8,PARTIDOS!BZ$8),0)</f>
        <v>0</v>
      </c>
      <c r="CQ8" s="7">
        <v>0</v>
      </c>
      <c r="CR8" s="19">
        <f>+IF('Datos delta'!CA8&gt;0,REASIGN('Datos delta'!CA8,'Datos Protegidos'!$K8,PARTIDOS!CB$8),0)</f>
        <v>0</v>
      </c>
      <c r="CS8" s="7">
        <v>0</v>
      </c>
      <c r="CT8" s="19">
        <f>+IF('Datos delta'!CC8&gt;0,REASIGN('Datos delta'!CC8,'Datos Protegidos'!$K8,PARTIDOS!CD$8),0)</f>
        <v>0</v>
      </c>
      <c r="CU8" s="7">
        <v>0</v>
      </c>
      <c r="CV8" s="19">
        <f>+IF('Datos delta'!CE8&gt;0,REASIGN('Datos delta'!CE8,'Datos Protegidos'!$K8,PARTIDOS!CF$8),0)</f>
        <v>0</v>
      </c>
      <c r="CW8" s="7">
        <v>0</v>
      </c>
      <c r="CX8" s="19">
        <f>+IF('Datos delta'!CG8&gt;0,REASIGN('Datos delta'!CG8,'Datos Protegidos'!$K8,PARTIDOS!CH$8),0)</f>
        <v>0</v>
      </c>
      <c r="CY8" s="7">
        <v>0</v>
      </c>
      <c r="CZ8" s="19">
        <f>+IF('Datos delta'!CI8&gt;0,REASIGN('Datos delta'!CI8,'Datos Protegidos'!$K8,PARTIDOS!CJ$8),0)</f>
        <v>0</v>
      </c>
      <c r="DA8" s="7">
        <v>0</v>
      </c>
      <c r="DB8" s="19">
        <f>+IF('Datos delta'!CK8&gt;0,REASIGN('Datos delta'!CK8,'Datos Protegidos'!$K8,PARTIDOS!CL$8),0)</f>
        <v>0</v>
      </c>
      <c r="DC8" s="7">
        <v>0</v>
      </c>
      <c r="DD8" s="19">
        <f>+IF('Datos delta'!CM8&gt;0,REASIGN('Datos delta'!CM8,'Datos Protegidos'!$K8,PARTIDOS!CN$8),0)</f>
        <v>0</v>
      </c>
      <c r="DE8" s="7">
        <v>0</v>
      </c>
      <c r="DF8" s="19">
        <f>+IF('Datos delta'!CO8&gt;0,REASIGN('Datos delta'!CO8,'Datos Protegidos'!$K8,PARTIDOS!CP$8),0)</f>
        <v>0</v>
      </c>
      <c r="DG8" s="7">
        <v>0</v>
      </c>
      <c r="DH8" s="19">
        <f>+IF('Datos delta'!CQ8&gt;0,REASIGN('Datos delta'!CQ8,'Datos Protegidos'!$K8,PARTIDOS!CR$8),0)</f>
        <v>0</v>
      </c>
      <c r="DI8" s="7">
        <v>0</v>
      </c>
      <c r="DJ8" s="19">
        <f>+IF('Datos delta'!CS8&gt;0,REASIGN('Datos delta'!CS8,'Datos Protegidos'!$K8,PARTIDOS!CT$8),0)</f>
        <v>0</v>
      </c>
      <c r="DK8" s="7">
        <v>0</v>
      </c>
      <c r="DL8" s="19">
        <f>+IF('Datos delta'!CU8&gt;0,REASIGN('Datos delta'!CU8,'Datos Protegidos'!$K8,PARTIDOS!CV$8),0)</f>
        <v>0</v>
      </c>
      <c r="DM8" s="7">
        <v>0</v>
      </c>
      <c r="DN8" s="19">
        <f>+IF('Datos delta'!CW8&gt;0,REASIGN('Datos delta'!CW8,'Datos Protegidos'!$K8,PARTIDOS!CX$8),0)</f>
        <v>0</v>
      </c>
      <c r="DO8" s="7">
        <v>0</v>
      </c>
      <c r="DP8" s="19">
        <f>+IF('Datos delta'!CY8&gt;0,REASIGN('Datos delta'!CY8,'Datos Protegidos'!$K8,PARTIDOS!CZ$8),0)</f>
        <v>0</v>
      </c>
      <c r="DQ8" s="7">
        <v>0</v>
      </c>
      <c r="DR8" s="19">
        <f>+IF('Datos delta'!DA8&gt;0,REASIGN('Datos delta'!DA8,'Datos Protegidos'!$K8,PARTIDOS!DB$8),0)</f>
        <v>0</v>
      </c>
      <c r="DS8" s="7">
        <v>0</v>
      </c>
      <c r="DT8" s="19">
        <f>+IF('Datos delta'!DC8&gt;0,REASIGN('Datos delta'!DC8,'Datos Protegidos'!$K8,PARTIDOS!DD$8),0)</f>
        <v>0</v>
      </c>
      <c r="DU8" s="7">
        <v>0</v>
      </c>
      <c r="DV8" s="19">
        <f>+IF('Datos delta'!DE8&gt;0,REASIGN('Datos delta'!DE8,'Datos Protegidos'!$K8,PARTIDOS!DF$8),0)</f>
        <v>0</v>
      </c>
      <c r="DW8" s="7">
        <v>0</v>
      </c>
      <c r="DX8" s="19">
        <f>+IF('Datos delta'!DG8&gt;0,REASIGN('Datos delta'!DG8,'Datos Protegidos'!$K8,PARTIDOS!DH$8),0)</f>
        <v>0</v>
      </c>
      <c r="DY8" s="7">
        <v>0</v>
      </c>
      <c r="DZ8" s="19">
        <f>+IF('Datos delta'!DI8&gt;0,REASIGN('Datos delta'!DI8,'Datos Protegidos'!$K8,PARTIDOS!DJ$8),0)</f>
        <v>0</v>
      </c>
      <c r="EA8" s="7">
        <v>0</v>
      </c>
      <c r="EB8" s="19">
        <f>+IF('Datos delta'!DK8&gt;0,REASIGN('Datos delta'!DK8,'Datos Protegidos'!$K8,PARTIDOS!DL$8),0)</f>
        <v>0</v>
      </c>
      <c r="EC8" s="7">
        <v>0</v>
      </c>
      <c r="ED8" s="19">
        <f>+IF('Datos delta'!DM8&gt;0,REASIGN('Datos delta'!DM8,'Datos Protegidos'!$K8,PARTIDOS!DN$8),0)</f>
        <v>0</v>
      </c>
      <c r="EE8" s="7">
        <v>0</v>
      </c>
      <c r="EF8" s="19">
        <f>+IF('Datos delta'!DO8&gt;0,REASIGN('Datos delta'!DO8,'Datos Protegidos'!$K8,PARTIDOS!DP$8),0)</f>
        <v>0</v>
      </c>
      <c r="EG8" s="7">
        <v>0</v>
      </c>
      <c r="EH8" s="19">
        <f>+IF('Datos delta'!DQ8&gt;0,REASIGN('Datos delta'!DQ8,'Datos Protegidos'!$K8,PARTIDOS!DR$8),0)</f>
        <v>0</v>
      </c>
      <c r="EI8" s="7">
        <v>0</v>
      </c>
      <c r="EJ8" s="19">
        <f>+IF('Datos delta'!DS8&gt;0,REASIGN('Datos delta'!DS8,'Datos Protegidos'!$K8,PARTIDOS!DT$8),0)</f>
        <v>0</v>
      </c>
      <c r="EK8" s="7">
        <v>0</v>
      </c>
      <c r="EL8" s="19">
        <f>+IF('Datos delta'!DU8&gt;0,REASIGN('Datos delta'!DU8,'Datos Protegidos'!$K8,PARTIDOS!DV$8),0)</f>
        <v>0</v>
      </c>
      <c r="EM8" s="7">
        <v>0</v>
      </c>
      <c r="EN8" s="19">
        <f>+IF('Datos delta'!DW8&gt;0,REASIGN('Datos delta'!DW8,'Datos Protegidos'!$K8,PARTIDOS!DX$8),0)</f>
        <v>0</v>
      </c>
      <c r="EO8" s="7">
        <v>0</v>
      </c>
      <c r="EP8" s="19">
        <f>+IF('Datos delta'!DY8&gt;0,REASIGN('Datos delta'!DY8,'Datos Protegidos'!$K8,PARTIDOS!DZ$8),0)</f>
        <v>0</v>
      </c>
      <c r="EQ8" s="7">
        <v>0</v>
      </c>
      <c r="ER8" s="19">
        <f>+IF('Datos delta'!EA8&gt;0,REASIGN('Datos delta'!EA8,'Datos Protegidos'!$K8,PARTIDOS!EB$8),0)</f>
        <v>0</v>
      </c>
      <c r="ES8" s="7">
        <v>0</v>
      </c>
      <c r="ET8" s="19">
        <f>+IF('Datos delta'!EC8&gt;0,REASIGN('Datos delta'!EC8,'Datos Protegidos'!$K8,PARTIDOS!ED$8),0)</f>
        <v>0</v>
      </c>
      <c r="EU8" s="7">
        <v>0</v>
      </c>
    </row>
    <row r="9" spans="1:151" x14ac:dyDescent="0.25">
      <c r="A9" s="7" t="s">
        <v>17</v>
      </c>
      <c r="B9" s="8">
        <v>41</v>
      </c>
      <c r="C9" s="7" t="s">
        <v>25</v>
      </c>
      <c r="D9" s="9">
        <v>1939887</v>
      </c>
      <c r="E9" s="1">
        <v>2560</v>
      </c>
      <c r="F9" s="1">
        <v>1512436</v>
      </c>
      <c r="G9" s="1">
        <v>35308</v>
      </c>
      <c r="H9" s="1">
        <v>1547744</v>
      </c>
      <c r="I9" s="1"/>
      <c r="J9" s="1"/>
      <c r="K9" s="1"/>
      <c r="L9" s="3">
        <f t="shared" si="1"/>
        <v>1098277</v>
      </c>
      <c r="M9" s="3">
        <f t="shared" si="2"/>
        <v>1080548</v>
      </c>
      <c r="N9" s="6">
        <f t="shared" si="0"/>
        <v>1066755</v>
      </c>
      <c r="O9" s="1">
        <v>13793</v>
      </c>
      <c r="P9" s="1">
        <v>17729</v>
      </c>
      <c r="Q9" s="6">
        <f t="shared" si="3"/>
        <v>12</v>
      </c>
      <c r="R9" s="19">
        <f>+IF('Datos delta'!A9&gt;0,REASIGN('Datos delta'!A9,'Datos Protegidos'!$K9,PARTIDOS!B$8),0)</f>
        <v>407761</v>
      </c>
      <c r="S9" s="7">
        <v>5</v>
      </c>
      <c r="T9" s="19">
        <f>+IF('Datos delta'!C9&gt;0,REASIGN('Datos delta'!C9,'Datos Protegidos'!$K9,PARTIDOS!D$8),0)</f>
        <v>258789</v>
      </c>
      <c r="U9" s="7">
        <v>2</v>
      </c>
      <c r="V9" s="19">
        <f>+IF('Datos delta'!E9&gt;0,REASIGN('Datos delta'!E9,'Datos Protegidos'!$K9,PARTIDOS!F$8),0)</f>
        <v>192589</v>
      </c>
      <c r="W9" s="7">
        <v>2</v>
      </c>
      <c r="X9" s="19">
        <f>+IF('Datos delta'!G9&gt;0,REASIGN('Datos delta'!G9,'Datos Protegidos'!$K9,PARTIDOS!H$8),0)</f>
        <v>161106</v>
      </c>
      <c r="Y9" s="7">
        <v>2</v>
      </c>
      <c r="Z9" s="19">
        <f>+IF('Datos delta'!I9&gt;0,REASIGN('Datos delta'!I9,'Datos Protegidos'!$K9,PARTIDOS!J$8),0)</f>
        <v>0</v>
      </c>
      <c r="AA9" s="7">
        <v>0</v>
      </c>
      <c r="AB9" s="19">
        <f>+IF('Datos delta'!K9&gt;0,REASIGN('Datos delta'!K9,'Datos Protegidos'!$K9,PARTIDOS!L$8),0)</f>
        <v>0</v>
      </c>
      <c r="AC9" s="7">
        <v>1</v>
      </c>
      <c r="AD9" s="19">
        <f>+IF('Datos delta'!M9&gt;0,REASIGN('Datos delta'!M9,'Datos Protegidos'!$K9,PARTIDOS!N$8),0)</f>
        <v>0</v>
      </c>
      <c r="AE9" s="7">
        <v>0</v>
      </c>
      <c r="AF9" s="19">
        <f>+IF('Datos delta'!O9&gt;0,REASIGN('Datos delta'!O9,'Datos Protegidos'!$K9,PARTIDOS!P$8),0)</f>
        <v>0</v>
      </c>
      <c r="AG9" s="7">
        <v>0</v>
      </c>
      <c r="AH9" s="19">
        <f>+IF('Datos delta'!Q9&gt;0,REASIGN('Datos delta'!Q9,'Datos Protegidos'!$K9,PARTIDOS!R$8),0)</f>
        <v>0</v>
      </c>
      <c r="AI9" s="7">
        <v>0</v>
      </c>
      <c r="AJ9" s="19">
        <f>+IF('Datos delta'!S9&gt;0,REASIGN('Datos delta'!S9,'Datos Protegidos'!$K9,PARTIDOS!T$8),0)</f>
        <v>0</v>
      </c>
      <c r="AK9" s="7">
        <v>0</v>
      </c>
      <c r="AL9" s="19">
        <f>+IF('Datos delta'!U9&gt;0,REASIGN('Datos delta'!U9,'Datos Protegidos'!$K9,PARTIDOS!V$8),0)</f>
        <v>23507</v>
      </c>
      <c r="AM9" s="7">
        <v>0</v>
      </c>
      <c r="AN9" s="19">
        <f>+IF('Datos delta'!W9&gt;0,REASIGN('Datos delta'!W9,'Datos Protegidos'!$K9,PARTIDOS!X$8),0)</f>
        <v>0</v>
      </c>
      <c r="AO9" s="7">
        <v>0</v>
      </c>
      <c r="AP9" s="19">
        <f>+IF('Datos delta'!Y9&gt;0,REASIGN('Datos delta'!Y9,'Datos Protegidos'!$K9,PARTIDOS!Z$8),0)</f>
        <v>0</v>
      </c>
      <c r="AQ9" s="7">
        <v>0</v>
      </c>
      <c r="AR9" s="19">
        <f>+IF('Datos delta'!AA9&gt;0,REASIGN('Datos delta'!AA9,'Datos Protegidos'!$K9,PARTIDOS!AB$8),0)</f>
        <v>0</v>
      </c>
      <c r="AS9" s="7">
        <v>0</v>
      </c>
      <c r="AT9" s="19">
        <f>+IF('Datos delta'!AC9&gt;0,REASIGN('Datos delta'!AC9,'Datos Protegidos'!$K9,PARTIDOS!AD$8),0)</f>
        <v>0</v>
      </c>
      <c r="AU9" s="7">
        <v>0</v>
      </c>
      <c r="AV9" s="19">
        <f>+IF('Datos delta'!AE9&gt;0,REASIGN('Datos delta'!AE9,'Datos Protegidos'!$K9,PARTIDOS!AF$8),0)</f>
        <v>0</v>
      </c>
      <c r="AW9" s="7">
        <v>0</v>
      </c>
      <c r="AX9" s="19">
        <f>+IF('Datos delta'!AG9&gt;0,REASIGN('Datos delta'!AG9,'Datos Protegidos'!$K9,PARTIDOS!AH$8),0)</f>
        <v>0</v>
      </c>
      <c r="AY9" s="7">
        <v>0</v>
      </c>
      <c r="AZ9" s="19">
        <f>+IF('Datos delta'!AI9&gt;0,REASIGN('Datos delta'!AI9,'Datos Protegidos'!$K9,PARTIDOS!AJ$8),0)</f>
        <v>0</v>
      </c>
      <c r="BA9" s="7">
        <v>0</v>
      </c>
      <c r="BB9" s="19">
        <f>+IF('Datos delta'!AK9&gt;0,REASIGN('Datos delta'!AK9,'Datos Protegidos'!$K9,PARTIDOS!AL$8),0)</f>
        <v>0</v>
      </c>
      <c r="BC9" s="7">
        <v>0</v>
      </c>
      <c r="BD9" s="19">
        <f>+IF('Datos delta'!AM9&gt;0,REASIGN('Datos delta'!AM9,'Datos Protegidos'!$K9,PARTIDOS!AN$8),0)</f>
        <v>11974</v>
      </c>
      <c r="BE9" s="7">
        <v>0</v>
      </c>
      <c r="BF9" s="19">
        <f>+IF('Datos delta'!AO9&gt;0,REASIGN('Datos delta'!AO9,'Datos Protegidos'!$K9,PARTIDOS!AP$8),0)</f>
        <v>0</v>
      </c>
      <c r="BG9" s="7">
        <v>0</v>
      </c>
      <c r="BH9" s="19">
        <f>+IF('Datos delta'!AQ9&gt;0,REASIGN('Datos delta'!AQ9,'Datos Protegidos'!$K9,PARTIDOS!AR$8),0)</f>
        <v>1448</v>
      </c>
      <c r="BI9" s="7">
        <v>0</v>
      </c>
      <c r="BJ9" s="19">
        <f>+IF('Datos delta'!AS9&gt;0,REASIGN('Datos delta'!AS9,'Datos Protegidos'!$K9,PARTIDOS!AT$8),0)</f>
        <v>1394</v>
      </c>
      <c r="BK9" s="7">
        <v>0</v>
      </c>
      <c r="BL9" s="19">
        <f>+IF('Datos delta'!AU9&gt;0,REASIGN('Datos delta'!AU9,'Datos Protegidos'!$K9,PARTIDOS!AV$8),0)</f>
        <v>0</v>
      </c>
      <c r="BM9" s="7">
        <v>0</v>
      </c>
      <c r="BN9" s="19">
        <f>+IF('Datos delta'!AW9&gt;0,REASIGN('Datos delta'!AW9,'Datos Protegidos'!$K9,PARTIDOS!AX$8),0)</f>
        <v>0</v>
      </c>
      <c r="BO9" s="7">
        <v>0</v>
      </c>
      <c r="BP9" s="19">
        <f>+IF('Datos delta'!AY9&gt;0,REASIGN('Datos delta'!AY9,'Datos Protegidos'!$K9,PARTIDOS!AZ$8),0)</f>
        <v>5157</v>
      </c>
      <c r="BQ9" s="7">
        <v>0</v>
      </c>
      <c r="BR9" s="19">
        <f>+IF('Datos delta'!BA9&gt;0,REASIGN('Datos delta'!BA9,'Datos Protegidos'!$K9,PARTIDOS!BB$8),0)</f>
        <v>884</v>
      </c>
      <c r="BS9" s="7">
        <v>0</v>
      </c>
      <c r="BT9" s="19">
        <f>+IF('Datos delta'!BC9&gt;0,REASIGN('Datos delta'!BC9,'Datos Protegidos'!$K9,PARTIDOS!BD$8),0)</f>
        <v>577</v>
      </c>
      <c r="BU9" s="7">
        <v>0</v>
      </c>
      <c r="BV9" s="19">
        <f>+IF('Datos delta'!BE9&gt;0,REASIGN('Datos delta'!BE9,'Datos Protegidos'!$K9,PARTIDOS!BF$8),0)</f>
        <v>0</v>
      </c>
      <c r="BW9" s="7">
        <v>0</v>
      </c>
      <c r="BX9" s="19">
        <f>+IF('Datos delta'!BG9&gt;0,REASIGN('Datos delta'!BG9,'Datos Protegidos'!$K9,PARTIDOS!BH$8),0)</f>
        <v>0</v>
      </c>
      <c r="BY9" s="7">
        <v>0</v>
      </c>
      <c r="BZ9" s="19">
        <f>+IF('Datos delta'!BI9&gt;0,REASIGN('Datos delta'!BI9,'Datos Protegidos'!$K9,PARTIDOS!BJ$8),0)</f>
        <v>1569</v>
      </c>
      <c r="CA9" s="7">
        <v>0</v>
      </c>
      <c r="CB9" s="19">
        <f>+IF('Datos delta'!BK9&gt;0,REASIGN('Datos delta'!BK9,'Datos Protegidos'!$K9,PARTIDOS!BL$8),0)</f>
        <v>0</v>
      </c>
      <c r="CC9" s="7">
        <v>0</v>
      </c>
      <c r="CD9" s="19">
        <f>+IF('Datos delta'!BM9&gt;0,REASIGN('Datos delta'!BM9,'Datos Protegidos'!$K9,PARTIDOS!BN$8),0)</f>
        <v>0</v>
      </c>
      <c r="CE9" s="7">
        <v>0</v>
      </c>
      <c r="CF9" s="19">
        <f>+IF('Datos delta'!BO9&gt;0,REASIGN('Datos delta'!BO9,'Datos Protegidos'!$K9,PARTIDOS!BP$8),0)</f>
        <v>0</v>
      </c>
      <c r="CG9" s="7">
        <v>0</v>
      </c>
      <c r="CH9" s="19">
        <f>+IF('Datos delta'!BQ9&gt;0,REASIGN('Datos delta'!BQ9,'Datos Protegidos'!$K9,PARTIDOS!BR$8),0)</f>
        <v>0</v>
      </c>
      <c r="CI9" s="7">
        <v>0</v>
      </c>
      <c r="CJ9" s="19">
        <f>+IF('Datos delta'!BS9&gt;0,REASIGN('Datos delta'!BS9,'Datos Protegidos'!$K9,PARTIDOS!BT$8),0)</f>
        <v>0</v>
      </c>
      <c r="CK9" s="7">
        <v>0</v>
      </c>
      <c r="CL9" s="19">
        <f>+IF('Datos delta'!BU9&gt;0,REASIGN('Datos delta'!BU9,'Datos Protegidos'!$K9,PARTIDOS!BV$8),0)</f>
        <v>0</v>
      </c>
      <c r="CM9" s="7">
        <v>0</v>
      </c>
      <c r="CN9" s="19">
        <f>+IF('Datos delta'!BW9&gt;0,REASIGN('Datos delta'!BW9,'Datos Protegidos'!$K9,PARTIDOS!BX$8),0)</f>
        <v>0</v>
      </c>
      <c r="CO9" s="7">
        <v>0</v>
      </c>
      <c r="CP9" s="19">
        <f>+IF('Datos delta'!BY9&gt;0,REASIGN('Datos delta'!BY9,'Datos Protegidos'!$K9,PARTIDOS!BZ$8),0)</f>
        <v>0</v>
      </c>
      <c r="CQ9" s="7">
        <v>0</v>
      </c>
      <c r="CR9" s="19">
        <f>+IF('Datos delta'!CA9&gt;0,REASIGN('Datos delta'!CA9,'Datos Protegidos'!$K9,PARTIDOS!CB$8),0)</f>
        <v>0</v>
      </c>
      <c r="CS9" s="7">
        <v>0</v>
      </c>
      <c r="CT9" s="19">
        <f>+IF('Datos delta'!CC9&gt;0,REASIGN('Datos delta'!CC9,'Datos Protegidos'!$K9,PARTIDOS!CD$8),0)</f>
        <v>0</v>
      </c>
      <c r="CU9" s="7">
        <v>0</v>
      </c>
      <c r="CV9" s="19">
        <f>+IF('Datos delta'!CE9&gt;0,REASIGN('Datos delta'!CE9,'Datos Protegidos'!$K9,PARTIDOS!CF$8),0)</f>
        <v>0</v>
      </c>
      <c r="CW9" s="7">
        <v>0</v>
      </c>
      <c r="CX9" s="19">
        <f>+IF('Datos delta'!CG9&gt;0,REASIGN('Datos delta'!CG9,'Datos Protegidos'!$K9,PARTIDOS!CH$8),0)</f>
        <v>0</v>
      </c>
      <c r="CY9" s="7">
        <v>0</v>
      </c>
      <c r="CZ9" s="19">
        <f>+IF('Datos delta'!CI9&gt;0,REASIGN('Datos delta'!CI9,'Datos Protegidos'!$K9,PARTIDOS!CJ$8),0)</f>
        <v>0</v>
      </c>
      <c r="DA9" s="7">
        <v>0</v>
      </c>
      <c r="DB9" s="19">
        <f>+IF('Datos delta'!CK9&gt;0,REASIGN('Datos delta'!CK9,'Datos Protegidos'!$K9,PARTIDOS!CL$8),0)</f>
        <v>0</v>
      </c>
      <c r="DC9" s="7">
        <v>0</v>
      </c>
      <c r="DD9" s="19">
        <f>+IF('Datos delta'!CM9&gt;0,REASIGN('Datos delta'!CM9,'Datos Protegidos'!$K9,PARTIDOS!CN$8),0)</f>
        <v>0</v>
      </c>
      <c r="DE9" s="7">
        <v>0</v>
      </c>
      <c r="DF9" s="19">
        <f>+IF('Datos delta'!CO9&gt;0,REASIGN('Datos delta'!CO9,'Datos Protegidos'!$K9,PARTIDOS!CP$8),0)</f>
        <v>0</v>
      </c>
      <c r="DG9" s="7">
        <v>0</v>
      </c>
      <c r="DH9" s="19">
        <f>+IF('Datos delta'!CQ9&gt;0,REASIGN('Datos delta'!CQ9,'Datos Protegidos'!$K9,PARTIDOS!CR$8),0)</f>
        <v>0</v>
      </c>
      <c r="DI9" s="7">
        <v>0</v>
      </c>
      <c r="DJ9" s="19">
        <f>+IF('Datos delta'!CS9&gt;0,REASIGN('Datos delta'!CS9,'Datos Protegidos'!$K9,PARTIDOS!CT$8),0)</f>
        <v>0</v>
      </c>
      <c r="DK9" s="7">
        <v>0</v>
      </c>
      <c r="DL9" s="19">
        <f>+IF('Datos delta'!CU9&gt;0,REASIGN('Datos delta'!CU9,'Datos Protegidos'!$K9,PARTIDOS!CV$8),0)</f>
        <v>0</v>
      </c>
      <c r="DM9" s="7">
        <v>0</v>
      </c>
      <c r="DN9" s="19">
        <f>+IF('Datos delta'!CW9&gt;0,REASIGN('Datos delta'!CW9,'Datos Protegidos'!$K9,PARTIDOS!CX$8),0)</f>
        <v>0</v>
      </c>
      <c r="DO9" s="7">
        <v>0</v>
      </c>
      <c r="DP9" s="19">
        <f>+IF('Datos delta'!CY9&gt;0,REASIGN('Datos delta'!CY9,'Datos Protegidos'!$K9,PARTIDOS!CZ$8),0)</f>
        <v>0</v>
      </c>
      <c r="DQ9" s="7">
        <v>0</v>
      </c>
      <c r="DR9" s="19">
        <f>+IF('Datos delta'!DA9&gt;0,REASIGN('Datos delta'!DA9,'Datos Protegidos'!$K9,PARTIDOS!DB$8),0)</f>
        <v>0</v>
      </c>
      <c r="DS9" s="7">
        <v>0</v>
      </c>
      <c r="DT9" s="19">
        <f>+IF('Datos delta'!DC9&gt;0,REASIGN('Datos delta'!DC9,'Datos Protegidos'!$K9,PARTIDOS!DD$8),0)</f>
        <v>0</v>
      </c>
      <c r="DU9" s="7">
        <v>0</v>
      </c>
      <c r="DV9" s="19">
        <f>+IF('Datos delta'!DE9&gt;0,REASIGN('Datos delta'!DE9,'Datos Protegidos'!$K9,PARTIDOS!DF$8),0)</f>
        <v>0</v>
      </c>
      <c r="DW9" s="7">
        <v>0</v>
      </c>
      <c r="DX9" s="19">
        <f>+IF('Datos delta'!DG9&gt;0,REASIGN('Datos delta'!DG9,'Datos Protegidos'!$K9,PARTIDOS!DH$8),0)</f>
        <v>0</v>
      </c>
      <c r="DY9" s="7">
        <v>0</v>
      </c>
      <c r="DZ9" s="19">
        <f>+IF('Datos delta'!DI9&gt;0,REASIGN('Datos delta'!DI9,'Datos Protegidos'!$K9,PARTIDOS!DJ$8),0)</f>
        <v>0</v>
      </c>
      <c r="EA9" s="7">
        <v>0</v>
      </c>
      <c r="EB9" s="19">
        <f>+IF('Datos delta'!DK9&gt;0,REASIGN('Datos delta'!DK9,'Datos Protegidos'!$K9,PARTIDOS!DL$8),0)</f>
        <v>0</v>
      </c>
      <c r="EC9" s="7">
        <v>0</v>
      </c>
      <c r="ED9" s="19">
        <f>+IF('Datos delta'!DM9&gt;0,REASIGN('Datos delta'!DM9,'Datos Protegidos'!$K9,PARTIDOS!DN$8),0)</f>
        <v>0</v>
      </c>
      <c r="EE9" s="7">
        <v>0</v>
      </c>
      <c r="EF9" s="19">
        <f>+IF('Datos delta'!DO9&gt;0,REASIGN('Datos delta'!DO9,'Datos Protegidos'!$K9,PARTIDOS!DP$8),0)</f>
        <v>0</v>
      </c>
      <c r="EG9" s="7">
        <v>0</v>
      </c>
      <c r="EH9" s="19">
        <f>+IF('Datos delta'!DQ9&gt;0,REASIGN('Datos delta'!DQ9,'Datos Protegidos'!$K9,PARTIDOS!DR$8),0)</f>
        <v>0</v>
      </c>
      <c r="EI9" s="7">
        <v>0</v>
      </c>
      <c r="EJ9" s="19">
        <f>+IF('Datos delta'!DS9&gt;0,REASIGN('Datos delta'!DS9,'Datos Protegidos'!$K9,PARTIDOS!DT$8),0)</f>
        <v>0</v>
      </c>
      <c r="EK9" s="7">
        <v>0</v>
      </c>
      <c r="EL9" s="19">
        <f>+IF('Datos delta'!DU9&gt;0,REASIGN('Datos delta'!DU9,'Datos Protegidos'!$K9,PARTIDOS!DV$8),0)</f>
        <v>0</v>
      </c>
      <c r="EM9" s="7">
        <v>0</v>
      </c>
      <c r="EN9" s="19">
        <f>+IF('Datos delta'!DW9&gt;0,REASIGN('Datos delta'!DW9,'Datos Protegidos'!$K9,PARTIDOS!DX$8),0)</f>
        <v>0</v>
      </c>
      <c r="EO9" s="7">
        <v>0</v>
      </c>
      <c r="EP9" s="19">
        <f>+IF('Datos delta'!DY9&gt;0,REASIGN('Datos delta'!DY9,'Datos Protegidos'!$K9,PARTIDOS!DZ$8),0)</f>
        <v>0</v>
      </c>
      <c r="EQ9" s="7">
        <v>0</v>
      </c>
      <c r="ER9" s="19">
        <f>+IF('Datos delta'!EA9&gt;0,REASIGN('Datos delta'!EA9,'Datos Protegidos'!$K9,PARTIDOS!EB$8),0)</f>
        <v>0</v>
      </c>
      <c r="ES9" s="7">
        <v>0</v>
      </c>
      <c r="ET9" s="19">
        <f>+IF('Datos delta'!EC9&gt;0,REASIGN('Datos delta'!EC9,'Datos Protegidos'!$K9,PARTIDOS!ED$8),0)</f>
        <v>0</v>
      </c>
      <c r="EU9" s="7">
        <v>0</v>
      </c>
    </row>
    <row r="10" spans="1:151" x14ac:dyDescent="0.25">
      <c r="A10" s="7" t="s">
        <v>26</v>
      </c>
      <c r="B10" s="8">
        <v>22</v>
      </c>
      <c r="C10" s="7" t="s">
        <v>27</v>
      </c>
      <c r="D10" s="9">
        <v>219345</v>
      </c>
      <c r="E10">
        <v>399</v>
      </c>
      <c r="F10" s="1">
        <v>165099</v>
      </c>
      <c r="G10" s="1">
        <v>7623</v>
      </c>
      <c r="H10" s="1">
        <v>172722</v>
      </c>
      <c r="I10" s="1"/>
      <c r="J10" s="1"/>
      <c r="K10"/>
      <c r="L10" s="3">
        <f t="shared" si="1"/>
        <v>117401</v>
      </c>
      <c r="M10" s="3">
        <f t="shared" si="2"/>
        <v>116207</v>
      </c>
      <c r="N10" s="6">
        <f t="shared" si="0"/>
        <v>114844</v>
      </c>
      <c r="O10" s="1">
        <v>1363</v>
      </c>
      <c r="P10" s="1">
        <v>1194</v>
      </c>
      <c r="Q10" s="6">
        <f t="shared" si="3"/>
        <v>3</v>
      </c>
      <c r="R10" s="19">
        <f>+IF('Datos delta'!A10&gt;0,REASIGN('Datos delta'!A10,'Datos Protegidos'!$K10,PARTIDOS!B$8),0)</f>
        <v>40930</v>
      </c>
      <c r="S10" s="7">
        <v>2</v>
      </c>
      <c r="T10" s="19">
        <f>+IF('Datos delta'!C10&gt;0,REASIGN('Datos delta'!C10,'Datos Protegidos'!$K10,PARTIDOS!D$8),0)</f>
        <v>37795</v>
      </c>
      <c r="U10" s="7">
        <v>1</v>
      </c>
      <c r="V10" s="19">
        <f>+IF('Datos delta'!E10&gt;0,REASIGN('Datos delta'!E10,'Datos Protegidos'!$K10,PARTIDOS!F$8),0)</f>
        <v>17581</v>
      </c>
      <c r="W10" s="7">
        <v>0</v>
      </c>
      <c r="X10" s="19">
        <f>+IF('Datos delta'!G10&gt;0,REASIGN('Datos delta'!G10,'Datos Protegidos'!$K10,PARTIDOS!H$8),0)</f>
        <v>14736</v>
      </c>
      <c r="Y10" s="7">
        <v>0</v>
      </c>
      <c r="Z10" s="19">
        <f>+IF('Datos delta'!I10&gt;0,REASIGN('Datos delta'!I10,'Datos Protegidos'!$K10,PARTIDOS!J$8),0)</f>
        <v>0</v>
      </c>
      <c r="AA10" s="7">
        <v>0</v>
      </c>
      <c r="AB10" s="19">
        <f>+IF('Datos delta'!K10&gt;0,REASIGN('Datos delta'!K10,'Datos Protegidos'!$K10,PARTIDOS!L$8),0)</f>
        <v>0</v>
      </c>
      <c r="AC10" s="7">
        <v>0</v>
      </c>
      <c r="AD10" s="19">
        <f>+IF('Datos delta'!M10&gt;0,REASIGN('Datos delta'!M10,'Datos Protegidos'!$K10,PARTIDOS!N$8),0)</f>
        <v>0</v>
      </c>
      <c r="AE10" s="7">
        <v>0</v>
      </c>
      <c r="AF10" s="19">
        <f>+IF('Datos delta'!O10&gt;0,REASIGN('Datos delta'!O10,'Datos Protegidos'!$K10,PARTIDOS!P$8),0)</f>
        <v>0</v>
      </c>
      <c r="AG10" s="7">
        <v>0</v>
      </c>
      <c r="AH10" s="19">
        <f>+IF('Datos delta'!Q10&gt;0,REASIGN('Datos delta'!Q10,'Datos Protegidos'!$K10,PARTIDOS!R$8),0)</f>
        <v>0</v>
      </c>
      <c r="AI10" s="7">
        <v>0</v>
      </c>
      <c r="AJ10" s="19">
        <f>+IF('Datos delta'!S10&gt;0,REASIGN('Datos delta'!S10,'Datos Protegidos'!$K10,PARTIDOS!T$8),0)</f>
        <v>0</v>
      </c>
      <c r="AK10" s="7">
        <v>0</v>
      </c>
      <c r="AL10" s="19">
        <f>+IF('Datos delta'!U10&gt;0,REASIGN('Datos delta'!U10,'Datos Protegidos'!$K10,PARTIDOS!V$8),0)</f>
        <v>0</v>
      </c>
      <c r="AM10" s="7">
        <v>0</v>
      </c>
      <c r="AN10" s="19">
        <f>+IF('Datos delta'!W10&gt;0,REASIGN('Datos delta'!W10,'Datos Protegidos'!$K10,PARTIDOS!X$8),0)</f>
        <v>0</v>
      </c>
      <c r="AO10" s="7">
        <v>0</v>
      </c>
      <c r="AP10" s="19">
        <f>+IF('Datos delta'!Y10&gt;0,REASIGN('Datos delta'!Y10,'Datos Protegidos'!$K10,PARTIDOS!Z$8),0)</f>
        <v>0</v>
      </c>
      <c r="AQ10" s="7">
        <v>0</v>
      </c>
      <c r="AR10" s="19">
        <f>+IF('Datos delta'!AA10&gt;0,REASIGN('Datos delta'!AA10,'Datos Protegidos'!$K10,PARTIDOS!AB$8),0)</f>
        <v>0</v>
      </c>
      <c r="AS10" s="7">
        <v>0</v>
      </c>
      <c r="AT10" s="19">
        <f>+IF('Datos delta'!AC10&gt;0,REASIGN('Datos delta'!AC10,'Datos Protegidos'!$K10,PARTIDOS!AD$8),0)</f>
        <v>0</v>
      </c>
      <c r="AU10" s="7">
        <v>0</v>
      </c>
      <c r="AV10" s="19">
        <f>+IF('Datos delta'!AE10&gt;0,REASIGN('Datos delta'!AE10,'Datos Protegidos'!$K10,PARTIDOS!AF$8),0)</f>
        <v>0</v>
      </c>
      <c r="AW10" s="7">
        <v>0</v>
      </c>
      <c r="AX10" s="19">
        <f>+IF('Datos delta'!AG10&gt;0,REASIGN('Datos delta'!AG10,'Datos Protegidos'!$K10,PARTIDOS!AH$8),0)</f>
        <v>0</v>
      </c>
      <c r="AY10" s="7">
        <v>0</v>
      </c>
      <c r="AZ10" s="19">
        <f>+IF('Datos delta'!AI10&gt;0,REASIGN('Datos delta'!AI10,'Datos Protegidos'!$K10,PARTIDOS!AJ$8),0)</f>
        <v>0</v>
      </c>
      <c r="BA10" s="7">
        <v>0</v>
      </c>
      <c r="BB10" s="19">
        <f>+IF('Datos delta'!AK10&gt;0,REASIGN('Datos delta'!AK10,'Datos Protegidos'!$K10,PARTIDOS!AL$8),0)</f>
        <v>0</v>
      </c>
      <c r="BC10" s="7">
        <v>0</v>
      </c>
      <c r="BD10" s="19">
        <f>+IF('Datos delta'!AM10&gt;0,REASIGN('Datos delta'!AM10,'Datos Protegidos'!$K10,PARTIDOS!AN$8),0)</f>
        <v>731</v>
      </c>
      <c r="BE10" s="7">
        <v>0</v>
      </c>
      <c r="BF10" s="19">
        <f>+IF('Datos delta'!AO10&gt;0,REASIGN('Datos delta'!AO10,'Datos Protegidos'!$K10,PARTIDOS!AP$8),0)</f>
        <v>0</v>
      </c>
      <c r="BG10" s="7">
        <v>0</v>
      </c>
      <c r="BH10" s="19">
        <f>+IF('Datos delta'!AQ10&gt;0,REASIGN('Datos delta'!AQ10,'Datos Protegidos'!$K10,PARTIDOS!AR$8),0)</f>
        <v>197</v>
      </c>
      <c r="BI10" s="7">
        <v>0</v>
      </c>
      <c r="BJ10" s="19">
        <f>+IF('Datos delta'!AS10&gt;0,REASIGN('Datos delta'!AS10,'Datos Protegidos'!$K10,PARTIDOS!AT$8),0)</f>
        <v>152</v>
      </c>
      <c r="BK10" s="7">
        <v>0</v>
      </c>
      <c r="BL10" s="19">
        <f>+IF('Datos delta'!AU10&gt;0,REASIGN('Datos delta'!AU10,'Datos Protegidos'!$K10,PARTIDOS!AV$8),0)</f>
        <v>0</v>
      </c>
      <c r="BM10" s="7">
        <v>0</v>
      </c>
      <c r="BN10" s="19">
        <f>+IF('Datos delta'!AW10&gt;0,REASIGN('Datos delta'!AW10,'Datos Protegidos'!$K10,PARTIDOS!AX$8),0)</f>
        <v>0</v>
      </c>
      <c r="BO10" s="7">
        <v>0</v>
      </c>
      <c r="BP10" s="19">
        <f>+IF('Datos delta'!AY10&gt;0,REASIGN('Datos delta'!AY10,'Datos Protegidos'!$K10,PARTIDOS!AZ$8),0)</f>
        <v>0</v>
      </c>
      <c r="BQ10" s="7">
        <v>0</v>
      </c>
      <c r="BR10" s="19">
        <f>+IF('Datos delta'!BA10&gt;0,REASIGN('Datos delta'!BA10,'Datos Protegidos'!$K10,PARTIDOS!BB$8),0)</f>
        <v>105</v>
      </c>
      <c r="BS10" s="7">
        <v>0</v>
      </c>
      <c r="BT10" s="19">
        <f>+IF('Datos delta'!BC10&gt;0,REASIGN('Datos delta'!BC10,'Datos Protegidos'!$K10,PARTIDOS!BD$8),0)</f>
        <v>90</v>
      </c>
      <c r="BU10" s="7">
        <v>0</v>
      </c>
      <c r="BV10" s="19">
        <f>+IF('Datos delta'!BE10&gt;0,REASIGN('Datos delta'!BE10,'Datos Protegidos'!$K10,PARTIDOS!BF$8),0)</f>
        <v>0</v>
      </c>
      <c r="BW10" s="7">
        <v>0</v>
      </c>
      <c r="BX10" s="19">
        <f>+IF('Datos delta'!BG10&gt;0,REASIGN('Datos delta'!BG10,'Datos Protegidos'!$K10,PARTIDOS!BH$8),0)</f>
        <v>0</v>
      </c>
      <c r="BY10" s="7">
        <v>0</v>
      </c>
      <c r="BZ10" s="19">
        <f>+IF('Datos delta'!BI10&gt;0,REASIGN('Datos delta'!BI10,'Datos Protegidos'!$K10,PARTIDOS!BJ$8),0)</f>
        <v>0</v>
      </c>
      <c r="CA10" s="7">
        <v>0</v>
      </c>
      <c r="CB10" s="19">
        <f>+IF('Datos delta'!BK10&gt;0,REASIGN('Datos delta'!BK10,'Datos Protegidos'!$K10,PARTIDOS!BL$8),0)</f>
        <v>0</v>
      </c>
      <c r="CC10" s="7">
        <v>0</v>
      </c>
      <c r="CD10" s="19">
        <f>+IF('Datos delta'!BM10&gt;0,REASIGN('Datos delta'!BM10,'Datos Protegidos'!$K10,PARTIDOS!BN$8),0)</f>
        <v>391</v>
      </c>
      <c r="CE10" s="7">
        <v>0</v>
      </c>
      <c r="CF10" s="19">
        <f>+IF('Datos delta'!BO10&gt;0,REASIGN('Datos delta'!BO10,'Datos Protegidos'!$K10,PARTIDOS!BP$8),0)</f>
        <v>0</v>
      </c>
      <c r="CG10" s="7">
        <v>0</v>
      </c>
      <c r="CH10" s="19">
        <f>+IF('Datos delta'!BQ10&gt;0,REASIGN('Datos delta'!BQ10,'Datos Protegidos'!$K10,PARTIDOS!BR$8),0)</f>
        <v>0</v>
      </c>
      <c r="CI10" s="7">
        <v>0</v>
      </c>
      <c r="CJ10" s="19">
        <f>+IF('Datos delta'!BS10&gt;0,REASIGN('Datos delta'!BS10,'Datos Protegidos'!$K10,PARTIDOS!BT$8),0)</f>
        <v>0</v>
      </c>
      <c r="CK10" s="7">
        <v>0</v>
      </c>
      <c r="CL10" s="19">
        <f>+IF('Datos delta'!BU10&gt;0,REASIGN('Datos delta'!BU10,'Datos Protegidos'!$K10,PARTIDOS!BV$8),0)</f>
        <v>0</v>
      </c>
      <c r="CM10" s="7">
        <v>0</v>
      </c>
      <c r="CN10" s="19">
        <f>+IF('Datos delta'!BW10&gt;0,REASIGN('Datos delta'!BW10,'Datos Protegidos'!$K10,PARTIDOS!BX$8),0)</f>
        <v>0</v>
      </c>
      <c r="CO10" s="7">
        <v>0</v>
      </c>
      <c r="CP10" s="19">
        <f>+IF('Datos delta'!BY10&gt;0,REASIGN('Datos delta'!BY10,'Datos Protegidos'!$K10,PARTIDOS!BZ$8),0)</f>
        <v>0</v>
      </c>
      <c r="CQ10" s="7">
        <v>0</v>
      </c>
      <c r="CR10" s="19">
        <f>+IF('Datos delta'!CA10&gt;0,REASIGN('Datos delta'!CA10,'Datos Protegidos'!$K10,PARTIDOS!CB$8),0)</f>
        <v>0</v>
      </c>
      <c r="CS10" s="7">
        <v>0</v>
      </c>
      <c r="CT10" s="19">
        <f>+IF('Datos delta'!CC10&gt;0,REASIGN('Datos delta'!CC10,'Datos Protegidos'!$K10,PARTIDOS!CD$8),0)</f>
        <v>0</v>
      </c>
      <c r="CU10" s="7">
        <v>0</v>
      </c>
      <c r="CV10" s="19">
        <f>+IF('Datos delta'!CE10&gt;0,REASIGN('Datos delta'!CE10,'Datos Protegidos'!$K10,PARTIDOS!CF$8),0)</f>
        <v>0</v>
      </c>
      <c r="CW10" s="7">
        <v>0</v>
      </c>
      <c r="CX10" s="19">
        <f>+IF('Datos delta'!CG10&gt;0,REASIGN('Datos delta'!CG10,'Datos Protegidos'!$K10,PARTIDOS!CH$8),0)</f>
        <v>0</v>
      </c>
      <c r="CY10" s="7">
        <v>0</v>
      </c>
      <c r="CZ10" s="19">
        <f>+IF('Datos delta'!CI10&gt;0,REASIGN('Datos delta'!CI10,'Datos Protegidos'!$K10,PARTIDOS!CJ$8),0)</f>
        <v>0</v>
      </c>
      <c r="DA10" s="7">
        <v>0</v>
      </c>
      <c r="DB10" s="19">
        <f>+IF('Datos delta'!CK10&gt;0,REASIGN('Datos delta'!CK10,'Datos Protegidos'!$K10,PARTIDOS!CL$8),0)</f>
        <v>1990</v>
      </c>
      <c r="DC10" s="7">
        <v>0</v>
      </c>
      <c r="DD10" s="19">
        <f>+IF('Datos delta'!CM10&gt;0,REASIGN('Datos delta'!CM10,'Datos Protegidos'!$K10,PARTIDOS!CN$8),0)</f>
        <v>0</v>
      </c>
      <c r="DE10" s="7">
        <v>0</v>
      </c>
      <c r="DF10" s="19">
        <f>+IF('Datos delta'!CO10&gt;0,REASIGN('Datos delta'!CO10,'Datos Protegidos'!$K10,PARTIDOS!CP$8),0)</f>
        <v>0</v>
      </c>
      <c r="DG10" s="7">
        <v>0</v>
      </c>
      <c r="DH10" s="19">
        <f>+IF('Datos delta'!CQ10&gt;0,REASIGN('Datos delta'!CQ10,'Datos Protegidos'!$K10,PARTIDOS!CR$8),0)</f>
        <v>0</v>
      </c>
      <c r="DI10" s="7">
        <v>0</v>
      </c>
      <c r="DJ10" s="19">
        <f>+IF('Datos delta'!CS10&gt;0,REASIGN('Datos delta'!CS10,'Datos Protegidos'!$K10,PARTIDOS!CT$8),0)</f>
        <v>0</v>
      </c>
      <c r="DK10" s="7">
        <v>0</v>
      </c>
      <c r="DL10" s="19">
        <f>+IF('Datos delta'!CU10&gt;0,REASIGN('Datos delta'!CU10,'Datos Protegidos'!$K10,PARTIDOS!CV$8),0)</f>
        <v>0</v>
      </c>
      <c r="DM10" s="7">
        <v>0</v>
      </c>
      <c r="DN10" s="19">
        <f>+IF('Datos delta'!CW10&gt;0,REASIGN('Datos delta'!CW10,'Datos Protegidos'!$K10,PARTIDOS!CX$8),0)</f>
        <v>0</v>
      </c>
      <c r="DO10" s="7">
        <v>0</v>
      </c>
      <c r="DP10" s="19">
        <f>+IF('Datos delta'!CY10&gt;0,REASIGN('Datos delta'!CY10,'Datos Protegidos'!$K10,PARTIDOS!CZ$8),0)</f>
        <v>0</v>
      </c>
      <c r="DQ10" s="7">
        <v>0</v>
      </c>
      <c r="DR10" s="19">
        <f>+IF('Datos delta'!DA10&gt;0,REASIGN('Datos delta'!DA10,'Datos Protegidos'!$K10,PARTIDOS!DB$8),0)</f>
        <v>0</v>
      </c>
      <c r="DS10" s="7">
        <v>0</v>
      </c>
      <c r="DT10" s="19">
        <f>+IF('Datos delta'!DC10&gt;0,REASIGN('Datos delta'!DC10,'Datos Protegidos'!$K10,PARTIDOS!DD$8),0)</f>
        <v>0</v>
      </c>
      <c r="DU10" s="7">
        <v>0</v>
      </c>
      <c r="DV10" s="19">
        <f>+IF('Datos delta'!DE10&gt;0,REASIGN('Datos delta'!DE10,'Datos Protegidos'!$K10,PARTIDOS!DF$8),0)</f>
        <v>72</v>
      </c>
      <c r="DW10" s="7">
        <v>0</v>
      </c>
      <c r="DX10" s="19">
        <f>+IF('Datos delta'!DG10&gt;0,REASIGN('Datos delta'!DG10,'Datos Protegidos'!$K10,PARTIDOS!DH$8),0)</f>
        <v>0</v>
      </c>
      <c r="DY10" s="7">
        <v>0</v>
      </c>
      <c r="DZ10" s="19">
        <f>+IF('Datos delta'!DI10&gt;0,REASIGN('Datos delta'!DI10,'Datos Protegidos'!$K10,PARTIDOS!DJ$8),0)</f>
        <v>0</v>
      </c>
      <c r="EA10" s="7">
        <v>0</v>
      </c>
      <c r="EB10" s="19">
        <f>+IF('Datos delta'!DK10&gt;0,REASIGN('Datos delta'!DK10,'Datos Protegidos'!$K10,PARTIDOS!DL$8),0)</f>
        <v>0</v>
      </c>
      <c r="EC10" s="7">
        <v>0</v>
      </c>
      <c r="ED10" s="19">
        <f>+IF('Datos delta'!DM10&gt;0,REASIGN('Datos delta'!DM10,'Datos Protegidos'!$K10,PARTIDOS!DN$8),0)</f>
        <v>0</v>
      </c>
      <c r="EE10" s="7">
        <v>0</v>
      </c>
      <c r="EF10" s="19">
        <f>+IF('Datos delta'!DO10&gt;0,REASIGN('Datos delta'!DO10,'Datos Protegidos'!$K10,PARTIDOS!DP$8),0)</f>
        <v>74</v>
      </c>
      <c r="EG10" s="7">
        <v>0</v>
      </c>
      <c r="EH10" s="19">
        <f>+IF('Datos delta'!DQ10&gt;0,REASIGN('Datos delta'!DQ10,'Datos Protegidos'!$K10,PARTIDOS!DR$8),0)</f>
        <v>0</v>
      </c>
      <c r="EI10" s="7">
        <v>0</v>
      </c>
      <c r="EJ10" s="19">
        <f>+IF('Datos delta'!DS10&gt;0,REASIGN('Datos delta'!DS10,'Datos Protegidos'!$K10,PARTIDOS!DT$8),0)</f>
        <v>0</v>
      </c>
      <c r="EK10" s="7">
        <v>0</v>
      </c>
      <c r="EL10" s="19">
        <f>+IF('Datos delta'!DU10&gt;0,REASIGN('Datos delta'!DU10,'Datos Protegidos'!$K10,PARTIDOS!DV$8),0)</f>
        <v>0</v>
      </c>
      <c r="EM10" s="7">
        <v>0</v>
      </c>
      <c r="EN10" s="19">
        <f>+IF('Datos delta'!DW10&gt;0,REASIGN('Datos delta'!DW10,'Datos Protegidos'!$K10,PARTIDOS!DX$8),0)</f>
        <v>0</v>
      </c>
      <c r="EO10" s="7">
        <v>0</v>
      </c>
      <c r="EP10" s="19">
        <f>+IF('Datos delta'!DY10&gt;0,REASIGN('Datos delta'!DY10,'Datos Protegidos'!$K10,PARTIDOS!DZ$8),0)</f>
        <v>0</v>
      </c>
      <c r="EQ10" s="7">
        <v>0</v>
      </c>
      <c r="ER10" s="19">
        <f>+IF('Datos delta'!EA10&gt;0,REASIGN('Datos delta'!EA10,'Datos Protegidos'!$K10,PARTIDOS!EB$8),0)</f>
        <v>0</v>
      </c>
      <c r="ES10" s="7">
        <v>0</v>
      </c>
      <c r="ET10" s="19">
        <f>+IF('Datos delta'!EC10&gt;0,REASIGN('Datos delta'!EC10,'Datos Protegidos'!$K10,PARTIDOS!ED$8),0)</f>
        <v>0</v>
      </c>
      <c r="EU10" s="7">
        <v>0</v>
      </c>
    </row>
    <row r="11" spans="1:151" x14ac:dyDescent="0.25">
      <c r="A11" s="7" t="s">
        <v>26</v>
      </c>
      <c r="B11" s="8">
        <v>44</v>
      </c>
      <c r="C11" s="7" t="s">
        <v>28</v>
      </c>
      <c r="D11" s="9">
        <v>134572</v>
      </c>
      <c r="E11">
        <v>333</v>
      </c>
      <c r="F11" s="1">
        <v>102585</v>
      </c>
      <c r="G11" s="1">
        <v>4882</v>
      </c>
      <c r="H11" s="1">
        <v>107467</v>
      </c>
      <c r="I11"/>
      <c r="J11" s="1"/>
      <c r="K11"/>
      <c r="L11" s="3">
        <f t="shared" si="1"/>
        <v>75870</v>
      </c>
      <c r="M11" s="3">
        <f t="shared" si="2"/>
        <v>75339</v>
      </c>
      <c r="N11" s="6">
        <f t="shared" si="0"/>
        <v>74936</v>
      </c>
      <c r="O11">
        <v>403</v>
      </c>
      <c r="P11">
        <v>531</v>
      </c>
      <c r="Q11" s="6">
        <f t="shared" si="3"/>
        <v>3</v>
      </c>
      <c r="R11" s="19">
        <f>+IF('Datos delta'!A11&gt;0,REASIGN('Datos delta'!A11,'Datos Protegidos'!$K11,PARTIDOS!B$8),0)</f>
        <v>20253</v>
      </c>
      <c r="S11" s="7">
        <v>1</v>
      </c>
      <c r="T11" s="19">
        <f>+IF('Datos delta'!C11&gt;0,REASIGN('Datos delta'!C11,'Datos Protegidos'!$K11,PARTIDOS!D$8),0)</f>
        <v>20855</v>
      </c>
      <c r="U11" s="7">
        <v>1</v>
      </c>
      <c r="V11" s="19">
        <f>+IF('Datos delta'!E11&gt;0,REASIGN('Datos delta'!E11,'Datos Protegidos'!$K11,PARTIDOS!F$8),0)</f>
        <v>9532</v>
      </c>
      <c r="W11" s="7">
        <v>0</v>
      </c>
      <c r="X11" s="19">
        <f>+IF('Datos delta'!G11&gt;0,REASIGN('Datos delta'!G11,'Datos Protegidos'!$K11,PARTIDOS!H$8),0)</f>
        <v>4181</v>
      </c>
      <c r="Y11" s="7">
        <v>0</v>
      </c>
      <c r="Z11" s="19">
        <f>+IF('Datos delta'!I11&gt;0,REASIGN('Datos delta'!I11,'Datos Protegidos'!$K11,PARTIDOS!J$8),0)</f>
        <v>0</v>
      </c>
      <c r="AA11" s="7">
        <v>0</v>
      </c>
      <c r="AB11" s="19">
        <f>+IF('Datos delta'!K11&gt;0,REASIGN('Datos delta'!K11,'Datos Protegidos'!$K11,PARTIDOS!L$8),0)</f>
        <v>0</v>
      </c>
      <c r="AC11" s="7">
        <v>0</v>
      </c>
      <c r="AD11" s="19">
        <f>+IF('Datos delta'!M11&gt;0,REASIGN('Datos delta'!M11,'Datos Protegidos'!$K11,PARTIDOS!N$8),0)</f>
        <v>0</v>
      </c>
      <c r="AE11" s="7">
        <v>0</v>
      </c>
      <c r="AF11" s="19">
        <f>+IF('Datos delta'!O11&gt;0,REASIGN('Datos delta'!O11,'Datos Protegidos'!$K11,PARTIDOS!P$8),0)</f>
        <v>0</v>
      </c>
      <c r="AG11" s="7">
        <v>0</v>
      </c>
      <c r="AH11" s="19">
        <f>+IF('Datos delta'!Q11&gt;0,REASIGN('Datos delta'!Q11,'Datos Protegidos'!$K11,PARTIDOS!R$8),0)</f>
        <v>0</v>
      </c>
      <c r="AI11" s="7">
        <v>0</v>
      </c>
      <c r="AJ11" s="19">
        <f>+IF('Datos delta'!S11&gt;0,REASIGN('Datos delta'!S11,'Datos Protegidos'!$K11,PARTIDOS!T$8),0)</f>
        <v>0</v>
      </c>
      <c r="AK11" s="7">
        <v>0</v>
      </c>
      <c r="AL11" s="19">
        <f>+IF('Datos delta'!U11&gt;0,REASIGN('Datos delta'!U11,'Datos Protegidos'!$K11,PARTIDOS!V$8),0)</f>
        <v>0</v>
      </c>
      <c r="AM11" s="7">
        <v>0</v>
      </c>
      <c r="AN11" s="19">
        <f>+IF('Datos delta'!W11&gt;0,REASIGN('Datos delta'!W11,'Datos Protegidos'!$K11,PARTIDOS!X$8),0)</f>
        <v>0</v>
      </c>
      <c r="AO11" s="7">
        <v>0</v>
      </c>
      <c r="AP11" s="19">
        <f>+IF('Datos delta'!Y11&gt;0,REASIGN('Datos delta'!Y11,'Datos Protegidos'!$K11,PARTIDOS!Z$8),0)</f>
        <v>0</v>
      </c>
      <c r="AQ11" s="7">
        <v>0</v>
      </c>
      <c r="AR11" s="19">
        <f>+IF('Datos delta'!AA11&gt;0,REASIGN('Datos delta'!AA11,'Datos Protegidos'!$K11,PARTIDOS!AB$8),0)</f>
        <v>0</v>
      </c>
      <c r="AS11" s="7">
        <v>0</v>
      </c>
      <c r="AT11" s="19">
        <f>+IF('Datos delta'!AC11&gt;0,REASIGN('Datos delta'!AC11,'Datos Protegidos'!$K11,PARTIDOS!AD$8),0)</f>
        <v>0</v>
      </c>
      <c r="AU11" s="7">
        <v>0</v>
      </c>
      <c r="AV11" s="19">
        <f>+IF('Datos delta'!AE11&gt;0,REASIGN('Datos delta'!AE11,'Datos Protegidos'!$K11,PARTIDOS!AF$8),0)</f>
        <v>0</v>
      </c>
      <c r="AW11" s="7">
        <v>0</v>
      </c>
      <c r="AX11" s="19">
        <f>+IF('Datos delta'!AG11&gt;0,REASIGN('Datos delta'!AG11,'Datos Protegidos'!$K11,PARTIDOS!AH$8),0)</f>
        <v>0</v>
      </c>
      <c r="AY11" s="7">
        <v>0</v>
      </c>
      <c r="AZ11" s="19">
        <f>+IF('Datos delta'!AI11&gt;0,REASIGN('Datos delta'!AI11,'Datos Protegidos'!$K11,PARTIDOS!AJ$8),0)</f>
        <v>0</v>
      </c>
      <c r="BA11" s="7">
        <v>0</v>
      </c>
      <c r="BB11" s="19">
        <f>+IF('Datos delta'!AK11&gt;0,REASIGN('Datos delta'!AK11,'Datos Protegidos'!$K11,PARTIDOS!AL$8),0)</f>
        <v>19662</v>
      </c>
      <c r="BC11" s="7">
        <v>1</v>
      </c>
      <c r="BD11" s="19">
        <f>+IF('Datos delta'!AM11&gt;0,REASIGN('Datos delta'!AM11,'Datos Protegidos'!$K11,PARTIDOS!AN$8),0)</f>
        <v>210</v>
      </c>
      <c r="BE11" s="7">
        <v>0</v>
      </c>
      <c r="BF11" s="19">
        <f>+IF('Datos delta'!AO11&gt;0,REASIGN('Datos delta'!AO11,'Datos Protegidos'!$K11,PARTIDOS!AP$8),0)</f>
        <v>0</v>
      </c>
      <c r="BG11" s="7">
        <v>0</v>
      </c>
      <c r="BH11" s="19">
        <f>+IF('Datos delta'!AQ11&gt;0,REASIGN('Datos delta'!AQ11,'Datos Protegidos'!$K11,PARTIDOS!AR$8),0)</f>
        <v>0</v>
      </c>
      <c r="BI11" s="7">
        <v>0</v>
      </c>
      <c r="BJ11" s="19">
        <f>+IF('Datos delta'!AS11&gt;0,REASIGN('Datos delta'!AS11,'Datos Protegidos'!$K11,PARTIDOS!AT$8),0)</f>
        <v>34</v>
      </c>
      <c r="BK11" s="7">
        <v>0</v>
      </c>
      <c r="BL11" s="19">
        <f>+IF('Datos delta'!AU11&gt;0,REASIGN('Datos delta'!AU11,'Datos Protegidos'!$K11,PARTIDOS!AV$8),0)</f>
        <v>0</v>
      </c>
      <c r="BM11" s="7">
        <v>0</v>
      </c>
      <c r="BN11" s="19">
        <f>+IF('Datos delta'!AW11&gt;0,REASIGN('Datos delta'!AW11,'Datos Protegidos'!$K11,PARTIDOS!AX$8),0)</f>
        <v>0</v>
      </c>
      <c r="BO11" s="7">
        <v>0</v>
      </c>
      <c r="BP11" s="19">
        <f>+IF('Datos delta'!AY11&gt;0,REASIGN('Datos delta'!AY11,'Datos Protegidos'!$K11,PARTIDOS!AZ$8),0)</f>
        <v>0</v>
      </c>
      <c r="BQ11" s="7">
        <v>0</v>
      </c>
      <c r="BR11" s="19">
        <f>+IF('Datos delta'!BA11&gt;0,REASIGN('Datos delta'!BA11,'Datos Protegidos'!$K11,PARTIDOS!BB$8),0)</f>
        <v>47</v>
      </c>
      <c r="BS11" s="7">
        <v>0</v>
      </c>
      <c r="BT11" s="19">
        <f>+IF('Datos delta'!BC11&gt;0,REASIGN('Datos delta'!BC11,'Datos Protegidos'!$K11,PARTIDOS!BD$8),0)</f>
        <v>0</v>
      </c>
      <c r="BU11" s="7">
        <v>0</v>
      </c>
      <c r="BV11" s="19">
        <f>+IF('Datos delta'!BE11&gt;0,REASIGN('Datos delta'!BE11,'Datos Protegidos'!$K11,PARTIDOS!BF$8),0)</f>
        <v>0</v>
      </c>
      <c r="BW11" s="7">
        <v>0</v>
      </c>
      <c r="BX11" s="19">
        <f>+IF('Datos delta'!BG11&gt;0,REASIGN('Datos delta'!BG11,'Datos Protegidos'!$K11,PARTIDOS!BH$8),0)</f>
        <v>0</v>
      </c>
      <c r="BY11" s="7">
        <v>0</v>
      </c>
      <c r="BZ11" s="19">
        <f>+IF('Datos delta'!BI11&gt;0,REASIGN('Datos delta'!BI11,'Datos Protegidos'!$K11,PARTIDOS!BJ$8),0)</f>
        <v>100</v>
      </c>
      <c r="CA11" s="7">
        <v>0</v>
      </c>
      <c r="CB11" s="19">
        <f>+IF('Datos delta'!BK11&gt;0,REASIGN('Datos delta'!BK11,'Datos Protegidos'!$K11,PARTIDOS!BL$8),0)</f>
        <v>0</v>
      </c>
      <c r="CC11" s="7">
        <v>0</v>
      </c>
      <c r="CD11" s="19">
        <f>+IF('Datos delta'!BM11&gt;0,REASIGN('Datos delta'!BM11,'Datos Protegidos'!$K11,PARTIDOS!BN$8),0)</f>
        <v>0</v>
      </c>
      <c r="CE11" s="7">
        <v>0</v>
      </c>
      <c r="CF11" s="19">
        <f>+IF('Datos delta'!BO11&gt;0,REASIGN('Datos delta'!BO11,'Datos Protegidos'!$K11,PARTIDOS!BP$8),0)</f>
        <v>0</v>
      </c>
      <c r="CG11" s="7">
        <v>0</v>
      </c>
      <c r="CH11" s="19">
        <f>+IF('Datos delta'!BQ11&gt;0,REASIGN('Datos delta'!BQ11,'Datos Protegidos'!$K11,PARTIDOS!BR$8),0)</f>
        <v>0</v>
      </c>
      <c r="CI11" s="7">
        <v>0</v>
      </c>
      <c r="CJ11" s="19">
        <f>+IF('Datos delta'!BS11&gt;0,REASIGN('Datos delta'!BS11,'Datos Protegidos'!$K11,PARTIDOS!BT$8),0)</f>
        <v>0</v>
      </c>
      <c r="CK11" s="7">
        <v>0</v>
      </c>
      <c r="CL11" s="19">
        <f>+IF('Datos delta'!BU11&gt;0,REASIGN('Datos delta'!BU11,'Datos Protegidos'!$K11,PARTIDOS!BV$8),0)</f>
        <v>0</v>
      </c>
      <c r="CM11" s="7">
        <v>0</v>
      </c>
      <c r="CN11" s="19">
        <f>+IF('Datos delta'!BW11&gt;0,REASIGN('Datos delta'!BW11,'Datos Protegidos'!$K11,PARTIDOS!BX$8),0)</f>
        <v>0</v>
      </c>
      <c r="CO11" s="7">
        <v>0</v>
      </c>
      <c r="CP11" s="19">
        <f>+IF('Datos delta'!BY11&gt;0,REASIGN('Datos delta'!BY11,'Datos Protegidos'!$K11,PARTIDOS!BZ$8),0)</f>
        <v>0</v>
      </c>
      <c r="CQ11" s="7">
        <v>0</v>
      </c>
      <c r="CR11" s="19">
        <f>+IF('Datos delta'!CA11&gt;0,REASIGN('Datos delta'!CA11,'Datos Protegidos'!$K11,PARTIDOS!CB$8),0)</f>
        <v>0</v>
      </c>
      <c r="CS11" s="7">
        <v>0</v>
      </c>
      <c r="CT11" s="19">
        <f>+IF('Datos delta'!CC11&gt;0,REASIGN('Datos delta'!CC11,'Datos Protegidos'!$K11,PARTIDOS!CD$8),0)</f>
        <v>0</v>
      </c>
      <c r="CU11" s="7">
        <v>0</v>
      </c>
      <c r="CV11" s="19">
        <f>+IF('Datos delta'!CE11&gt;0,REASIGN('Datos delta'!CE11,'Datos Protegidos'!$K11,PARTIDOS!CF$8),0)</f>
        <v>0</v>
      </c>
      <c r="CW11" s="7">
        <v>0</v>
      </c>
      <c r="CX11" s="19">
        <f>+IF('Datos delta'!CG11&gt;0,REASIGN('Datos delta'!CG11,'Datos Protegidos'!$K11,PARTIDOS!CH$8),0)</f>
        <v>0</v>
      </c>
      <c r="CY11" s="7">
        <v>0</v>
      </c>
      <c r="CZ11" s="19">
        <f>+IF('Datos delta'!CI11&gt;0,REASIGN('Datos delta'!CI11,'Datos Protegidos'!$K11,PARTIDOS!CJ$8),0)</f>
        <v>0</v>
      </c>
      <c r="DA11" s="7">
        <v>0</v>
      </c>
      <c r="DB11" s="19">
        <f>+IF('Datos delta'!CK11&gt;0,REASIGN('Datos delta'!CK11,'Datos Protegidos'!$K11,PARTIDOS!CL$8),0)</f>
        <v>0</v>
      </c>
      <c r="DC11" s="7">
        <v>0</v>
      </c>
      <c r="DD11" s="19">
        <f>+IF('Datos delta'!CM11&gt;0,REASIGN('Datos delta'!CM11,'Datos Protegidos'!$K11,PARTIDOS!CN$8),0)</f>
        <v>0</v>
      </c>
      <c r="DE11" s="7">
        <v>0</v>
      </c>
      <c r="DF11" s="19">
        <f>+IF('Datos delta'!CO11&gt;0,REASIGN('Datos delta'!CO11,'Datos Protegidos'!$K11,PARTIDOS!CP$8),0)</f>
        <v>0</v>
      </c>
      <c r="DG11" s="7">
        <v>0</v>
      </c>
      <c r="DH11" s="19">
        <f>+IF('Datos delta'!CQ11&gt;0,REASIGN('Datos delta'!CQ11,'Datos Protegidos'!$K11,PARTIDOS!CR$8),0)</f>
        <v>0</v>
      </c>
      <c r="DI11" s="7">
        <v>0</v>
      </c>
      <c r="DJ11" s="19">
        <f>+IF('Datos delta'!CS11&gt;0,REASIGN('Datos delta'!CS11,'Datos Protegidos'!$K11,PARTIDOS!CT$8),0)</f>
        <v>0</v>
      </c>
      <c r="DK11" s="7">
        <v>0</v>
      </c>
      <c r="DL11" s="19">
        <f>+IF('Datos delta'!CU11&gt;0,REASIGN('Datos delta'!CU11,'Datos Protegidos'!$K11,PARTIDOS!CV$8),0)</f>
        <v>0</v>
      </c>
      <c r="DM11" s="7">
        <v>0</v>
      </c>
      <c r="DN11" s="19">
        <f>+IF('Datos delta'!CW11&gt;0,REASIGN('Datos delta'!CW11,'Datos Protegidos'!$K11,PARTIDOS!CX$8),0)</f>
        <v>0</v>
      </c>
      <c r="DO11" s="7">
        <v>0</v>
      </c>
      <c r="DP11" s="19">
        <f>+IF('Datos delta'!CY11&gt;0,REASIGN('Datos delta'!CY11,'Datos Protegidos'!$K11,PARTIDOS!CZ$8),0)</f>
        <v>0</v>
      </c>
      <c r="DQ11" s="7">
        <v>0</v>
      </c>
      <c r="DR11" s="19">
        <f>+IF('Datos delta'!DA11&gt;0,REASIGN('Datos delta'!DA11,'Datos Protegidos'!$K11,PARTIDOS!DB$8),0)</f>
        <v>0</v>
      </c>
      <c r="DS11" s="7">
        <v>0</v>
      </c>
      <c r="DT11" s="19">
        <f>+IF('Datos delta'!DC11&gt;0,REASIGN('Datos delta'!DC11,'Datos Protegidos'!$K11,PARTIDOS!DD$8),0)</f>
        <v>0</v>
      </c>
      <c r="DU11" s="7">
        <v>0</v>
      </c>
      <c r="DV11" s="19">
        <f>+IF('Datos delta'!DE11&gt;0,REASIGN('Datos delta'!DE11,'Datos Protegidos'!$K11,PARTIDOS!DF$8),0)</f>
        <v>24</v>
      </c>
      <c r="DW11" s="7">
        <v>0</v>
      </c>
      <c r="DX11" s="19">
        <f>+IF('Datos delta'!DG11&gt;0,REASIGN('Datos delta'!DG11,'Datos Protegidos'!$K11,PARTIDOS!DH$8),0)</f>
        <v>0</v>
      </c>
      <c r="DY11" s="7">
        <v>0</v>
      </c>
      <c r="DZ11" s="19">
        <f>+IF('Datos delta'!DI11&gt;0,REASIGN('Datos delta'!DI11,'Datos Protegidos'!$K11,PARTIDOS!DJ$8),0)</f>
        <v>13</v>
      </c>
      <c r="EA11" s="7">
        <v>0</v>
      </c>
      <c r="EB11" s="19">
        <f>+IF('Datos delta'!DK11&gt;0,REASIGN('Datos delta'!DK11,'Datos Protegidos'!$K11,PARTIDOS!DL$8),0)</f>
        <v>0</v>
      </c>
      <c r="EC11" s="7">
        <v>0</v>
      </c>
      <c r="ED11" s="19">
        <f>+IF('Datos delta'!DM11&gt;0,REASIGN('Datos delta'!DM11,'Datos Protegidos'!$K11,PARTIDOS!DN$8),0)</f>
        <v>0</v>
      </c>
      <c r="EE11" s="7">
        <v>0</v>
      </c>
      <c r="EF11" s="19">
        <f>+IF('Datos delta'!DO11&gt;0,REASIGN('Datos delta'!DO11,'Datos Protegidos'!$K11,PARTIDOS!DP$8),0)</f>
        <v>0</v>
      </c>
      <c r="EG11" s="7">
        <v>0</v>
      </c>
      <c r="EH11" s="19">
        <f>+IF('Datos delta'!DQ11&gt;0,REASIGN('Datos delta'!DQ11,'Datos Protegidos'!$K11,PARTIDOS!DR$8),0)</f>
        <v>0</v>
      </c>
      <c r="EI11" s="7">
        <v>0</v>
      </c>
      <c r="EJ11" s="19">
        <f>+IF('Datos delta'!DS11&gt;0,REASIGN('Datos delta'!DS11,'Datos Protegidos'!$K11,PARTIDOS!DT$8),0)</f>
        <v>0</v>
      </c>
      <c r="EK11" s="7">
        <v>0</v>
      </c>
      <c r="EL11" s="19">
        <f>+IF('Datos delta'!DU11&gt;0,REASIGN('Datos delta'!DU11,'Datos Protegidos'!$K11,PARTIDOS!DV$8),0)</f>
        <v>0</v>
      </c>
      <c r="EM11" s="7">
        <v>0</v>
      </c>
      <c r="EN11" s="19">
        <f>+IF('Datos delta'!DW11&gt;0,REASIGN('Datos delta'!DW11,'Datos Protegidos'!$K11,PARTIDOS!DX$8),0)</f>
        <v>0</v>
      </c>
      <c r="EO11" s="7">
        <v>0</v>
      </c>
      <c r="EP11" s="19">
        <f>+IF('Datos delta'!DY11&gt;0,REASIGN('Datos delta'!DY11,'Datos Protegidos'!$K11,PARTIDOS!DZ$8),0)</f>
        <v>0</v>
      </c>
      <c r="EQ11" s="7">
        <v>0</v>
      </c>
      <c r="ER11" s="19">
        <f>+IF('Datos delta'!EA11&gt;0,REASIGN('Datos delta'!EA11,'Datos Protegidos'!$K11,PARTIDOS!EB$8),0)</f>
        <v>0</v>
      </c>
      <c r="ES11" s="7">
        <v>0</v>
      </c>
      <c r="ET11" s="19">
        <f>+IF('Datos delta'!EC11&gt;0,REASIGN('Datos delta'!EC11,'Datos Protegidos'!$K11,PARTIDOS!ED$8),0)</f>
        <v>25</v>
      </c>
      <c r="EU11" s="7">
        <v>0</v>
      </c>
    </row>
    <row r="12" spans="1:151" x14ac:dyDescent="0.25">
      <c r="A12" s="7" t="s">
        <v>26</v>
      </c>
      <c r="B12" s="8">
        <v>50</v>
      </c>
      <c r="C12" s="7" t="s">
        <v>29</v>
      </c>
      <c r="D12" s="9">
        <v>954811</v>
      </c>
      <c r="E12" s="1">
        <v>1435</v>
      </c>
      <c r="F12" s="1">
        <v>715389</v>
      </c>
      <c r="G12" s="1">
        <v>24184</v>
      </c>
      <c r="H12" s="1">
        <v>739573</v>
      </c>
      <c r="I12" s="1"/>
      <c r="J12" s="1"/>
      <c r="K12" s="1"/>
      <c r="L12" s="3">
        <f t="shared" si="1"/>
        <v>527923</v>
      </c>
      <c r="M12" s="3">
        <f t="shared" si="2"/>
        <v>523568</v>
      </c>
      <c r="N12" s="6">
        <f t="shared" si="0"/>
        <v>518579</v>
      </c>
      <c r="O12" s="1">
        <v>4989</v>
      </c>
      <c r="P12" s="1">
        <v>4355</v>
      </c>
      <c r="Q12" s="6">
        <f t="shared" si="3"/>
        <v>7</v>
      </c>
      <c r="R12" s="19">
        <f>+IF('Datos delta'!A12&gt;0,REASIGN('Datos delta'!A12,'Datos Protegidos'!$K12,PARTIDOS!B$8),0)</f>
        <v>170942</v>
      </c>
      <c r="S12" s="7">
        <v>3</v>
      </c>
      <c r="T12" s="19">
        <f>+IF('Datos delta'!C12&gt;0,REASIGN('Datos delta'!C12,'Datos Protegidos'!$K12,PARTIDOS!D$8),0)</f>
        <v>159907</v>
      </c>
      <c r="U12" s="7">
        <v>2</v>
      </c>
      <c r="V12" s="19">
        <f>+IF('Datos delta'!E12&gt;0,REASIGN('Datos delta'!E12,'Datos Protegidos'!$K12,PARTIDOS!F$8),0)</f>
        <v>94200</v>
      </c>
      <c r="W12" s="7">
        <v>1</v>
      </c>
      <c r="X12" s="19">
        <f>+IF('Datos delta'!G12&gt;0,REASIGN('Datos delta'!G12,'Datos Protegidos'!$K12,PARTIDOS!H$8),0)</f>
        <v>60768</v>
      </c>
      <c r="Y12" s="7">
        <v>1</v>
      </c>
      <c r="Z12" s="19">
        <f>+IF('Datos delta'!I12&gt;0,REASIGN('Datos delta'!I12,'Datos Protegidos'!$K12,PARTIDOS!J$8),0)</f>
        <v>0</v>
      </c>
      <c r="AA12" s="7">
        <v>0</v>
      </c>
      <c r="AB12" s="19">
        <f>+IF('Datos delta'!K12&gt;0,REASIGN('Datos delta'!K12,'Datos Protegidos'!$K12,PARTIDOS!L$8),0)</f>
        <v>0</v>
      </c>
      <c r="AC12" s="7">
        <v>0</v>
      </c>
      <c r="AD12" s="19">
        <f>+IF('Datos delta'!M12&gt;0,REASIGN('Datos delta'!M12,'Datos Protegidos'!$K12,PARTIDOS!N$8),0)</f>
        <v>0</v>
      </c>
      <c r="AE12" s="7">
        <v>0</v>
      </c>
      <c r="AF12" s="19">
        <f>+IF('Datos delta'!O12&gt;0,REASIGN('Datos delta'!O12,'Datos Protegidos'!$K12,PARTIDOS!P$8),0)</f>
        <v>0</v>
      </c>
      <c r="AG12" s="7">
        <v>0</v>
      </c>
      <c r="AH12" s="19">
        <f>+IF('Datos delta'!Q12&gt;0,REASIGN('Datos delta'!Q12,'Datos Protegidos'!$K12,PARTIDOS!R$8),0)</f>
        <v>0</v>
      </c>
      <c r="AI12" s="7">
        <v>0</v>
      </c>
      <c r="AJ12" s="19">
        <f>+IF('Datos delta'!S12&gt;0,REASIGN('Datos delta'!S12,'Datos Protegidos'!$K12,PARTIDOS!T$8),0)</f>
        <v>0</v>
      </c>
      <c r="AK12" s="7">
        <v>0</v>
      </c>
      <c r="AL12" s="19">
        <f>+IF('Datos delta'!U12&gt;0,REASIGN('Datos delta'!U12,'Datos Protegidos'!$K12,PARTIDOS!V$8),0)</f>
        <v>0</v>
      </c>
      <c r="AM12" s="7">
        <v>0</v>
      </c>
      <c r="AN12" s="19">
        <f>+IF('Datos delta'!W12&gt;0,REASIGN('Datos delta'!W12,'Datos Protegidos'!$K12,PARTIDOS!X$8),0)</f>
        <v>0</v>
      </c>
      <c r="AO12" s="7">
        <v>0</v>
      </c>
      <c r="AP12" s="19">
        <f>+IF('Datos delta'!Y12&gt;0,REASIGN('Datos delta'!Y12,'Datos Protegidos'!$K12,PARTIDOS!Z$8),0)</f>
        <v>0</v>
      </c>
      <c r="AQ12" s="7">
        <v>0</v>
      </c>
      <c r="AR12" s="19">
        <f>+IF('Datos delta'!AA12&gt;0,REASIGN('Datos delta'!AA12,'Datos Protegidos'!$K12,PARTIDOS!AB$8),0)</f>
        <v>0</v>
      </c>
      <c r="AS12" s="7">
        <v>0</v>
      </c>
      <c r="AT12" s="19">
        <f>+IF('Datos delta'!AC12&gt;0,REASIGN('Datos delta'!AC12,'Datos Protegidos'!$K12,PARTIDOS!AD$8),0)</f>
        <v>0</v>
      </c>
      <c r="AU12" s="7">
        <v>0</v>
      </c>
      <c r="AV12" s="19">
        <f>+IF('Datos delta'!AE12&gt;0,REASIGN('Datos delta'!AE12,'Datos Protegidos'!$K12,PARTIDOS!AF$8),0)</f>
        <v>0</v>
      </c>
      <c r="AW12" s="7">
        <v>0</v>
      </c>
      <c r="AX12" s="19">
        <f>+IF('Datos delta'!AG12&gt;0,REASIGN('Datos delta'!AG12,'Datos Protegidos'!$K12,PARTIDOS!AH$8),0)</f>
        <v>0</v>
      </c>
      <c r="AY12" s="7">
        <v>0</v>
      </c>
      <c r="AZ12" s="19">
        <f>+IF('Datos delta'!AI12&gt;0,REASIGN('Datos delta'!AI12,'Datos Protegidos'!$K12,PARTIDOS!AJ$8),0)</f>
        <v>0</v>
      </c>
      <c r="BA12" s="7">
        <v>0</v>
      </c>
      <c r="BB12" s="19">
        <f>+IF('Datos delta'!AK12&gt;0,REASIGN('Datos delta'!AK12,'Datos Protegidos'!$K12,PARTIDOS!AL$8),0)</f>
        <v>0</v>
      </c>
      <c r="BC12" s="7">
        <v>0</v>
      </c>
      <c r="BD12" s="19">
        <f>+IF('Datos delta'!AM12&gt;0,REASIGN('Datos delta'!AM12,'Datos Protegidos'!$K12,PARTIDOS!AN$8),0)</f>
        <v>3599</v>
      </c>
      <c r="BE12" s="7">
        <v>0</v>
      </c>
      <c r="BF12" s="19">
        <f>+IF('Datos delta'!AO12&gt;0,REASIGN('Datos delta'!AO12,'Datos Protegidos'!$K12,PARTIDOS!AP$8),0)</f>
        <v>0</v>
      </c>
      <c r="BG12" s="7">
        <v>0</v>
      </c>
      <c r="BH12" s="19">
        <f>+IF('Datos delta'!AQ12&gt;0,REASIGN('Datos delta'!AQ12,'Datos Protegidos'!$K12,PARTIDOS!AR$8),0)</f>
        <v>856</v>
      </c>
      <c r="BI12" s="7">
        <v>0</v>
      </c>
      <c r="BJ12" s="19">
        <f>+IF('Datos delta'!AS12&gt;0,REASIGN('Datos delta'!AS12,'Datos Protegidos'!$K12,PARTIDOS!AT$8),0)</f>
        <v>482</v>
      </c>
      <c r="BK12" s="7">
        <v>0</v>
      </c>
      <c r="BL12" s="19">
        <f>+IF('Datos delta'!AU12&gt;0,REASIGN('Datos delta'!AU12,'Datos Protegidos'!$K12,PARTIDOS!AV$8),0)</f>
        <v>23080</v>
      </c>
      <c r="BM12" s="7">
        <v>0</v>
      </c>
      <c r="BN12" s="19">
        <f>+IF('Datos delta'!AW12&gt;0,REASIGN('Datos delta'!AW12,'Datos Protegidos'!$K12,PARTIDOS!AX$8),0)</f>
        <v>0</v>
      </c>
      <c r="BO12" s="7">
        <v>0</v>
      </c>
      <c r="BP12" s="19">
        <f>+IF('Datos delta'!AY12&gt;0,REASIGN('Datos delta'!AY12,'Datos Protegidos'!$K12,PARTIDOS!AZ$8),0)</f>
        <v>0</v>
      </c>
      <c r="BQ12" s="7">
        <v>0</v>
      </c>
      <c r="BR12" s="19">
        <f>+IF('Datos delta'!BA12&gt;0,REASIGN('Datos delta'!BA12,'Datos Protegidos'!$K12,PARTIDOS!BB$8),0)</f>
        <v>347</v>
      </c>
      <c r="BS12" s="7">
        <v>0</v>
      </c>
      <c r="BT12" s="19">
        <f>+IF('Datos delta'!BC12&gt;0,REASIGN('Datos delta'!BC12,'Datos Protegidos'!$K12,PARTIDOS!BD$8),0)</f>
        <v>434</v>
      </c>
      <c r="BU12" s="7">
        <v>0</v>
      </c>
      <c r="BV12" s="19">
        <f>+IF('Datos delta'!BE12&gt;0,REASIGN('Datos delta'!BE12,'Datos Protegidos'!$K12,PARTIDOS!BF$8),0)</f>
        <v>0</v>
      </c>
      <c r="BW12" s="7">
        <v>0</v>
      </c>
      <c r="BX12" s="19">
        <f>+IF('Datos delta'!BG12&gt;0,REASIGN('Datos delta'!BG12,'Datos Protegidos'!$K12,PARTIDOS!BH$8),0)</f>
        <v>0</v>
      </c>
      <c r="BY12" s="7">
        <v>0</v>
      </c>
      <c r="BZ12" s="19">
        <f>+IF('Datos delta'!BI12&gt;0,REASIGN('Datos delta'!BI12,'Datos Protegidos'!$K12,PARTIDOS!BJ$8),0)</f>
        <v>0</v>
      </c>
      <c r="CA12" s="7">
        <v>0</v>
      </c>
      <c r="CB12" s="19">
        <f>+IF('Datos delta'!BK12&gt;0,REASIGN('Datos delta'!BK12,'Datos Protegidos'!$K12,PARTIDOS!BL$8),0)</f>
        <v>0</v>
      </c>
      <c r="CC12" s="7">
        <v>0</v>
      </c>
      <c r="CD12" s="19">
        <f>+IF('Datos delta'!BM12&gt;0,REASIGN('Datos delta'!BM12,'Datos Protegidos'!$K12,PARTIDOS!BN$8),0)</f>
        <v>1930</v>
      </c>
      <c r="CE12" s="7">
        <v>0</v>
      </c>
      <c r="CF12" s="19">
        <f>+IF('Datos delta'!BO12&gt;0,REASIGN('Datos delta'!BO12,'Datos Protegidos'!$K12,PARTIDOS!BP$8),0)</f>
        <v>0</v>
      </c>
      <c r="CG12" s="7">
        <v>0</v>
      </c>
      <c r="CH12" s="19">
        <f>+IF('Datos delta'!BQ12&gt;0,REASIGN('Datos delta'!BQ12,'Datos Protegidos'!$K12,PARTIDOS!BR$8),0)</f>
        <v>0</v>
      </c>
      <c r="CI12" s="7">
        <v>0</v>
      </c>
      <c r="CJ12" s="19">
        <f>+IF('Datos delta'!BS12&gt;0,REASIGN('Datos delta'!BS12,'Datos Protegidos'!$K12,PARTIDOS!BT$8),0)</f>
        <v>0</v>
      </c>
      <c r="CK12" s="7">
        <v>0</v>
      </c>
      <c r="CL12" s="19">
        <f>+IF('Datos delta'!BU12&gt;0,REASIGN('Datos delta'!BU12,'Datos Protegidos'!$K12,PARTIDOS!BV$8),0)</f>
        <v>0</v>
      </c>
      <c r="CM12" s="7">
        <v>0</v>
      </c>
      <c r="CN12" s="19">
        <f>+IF('Datos delta'!BW12&gt;0,REASIGN('Datos delta'!BW12,'Datos Protegidos'!$K12,PARTIDOS!BX$8),0)</f>
        <v>0</v>
      </c>
      <c r="CO12" s="7">
        <v>0</v>
      </c>
      <c r="CP12" s="19">
        <f>+IF('Datos delta'!BY12&gt;0,REASIGN('Datos delta'!BY12,'Datos Protegidos'!$K12,PARTIDOS!BZ$8),0)</f>
        <v>0</v>
      </c>
      <c r="CQ12" s="7">
        <v>0</v>
      </c>
      <c r="CR12" s="19">
        <f>+IF('Datos delta'!CA12&gt;0,REASIGN('Datos delta'!CA12,'Datos Protegidos'!$K12,PARTIDOS!CB$8),0)</f>
        <v>0</v>
      </c>
      <c r="CS12" s="7">
        <v>0</v>
      </c>
      <c r="CT12" s="19">
        <f>+IF('Datos delta'!CC12&gt;0,REASIGN('Datos delta'!CC12,'Datos Protegidos'!$K12,PARTIDOS!CD$8),0)</f>
        <v>0</v>
      </c>
      <c r="CU12" s="7">
        <v>0</v>
      </c>
      <c r="CV12" s="19">
        <f>+IF('Datos delta'!CE12&gt;0,REASIGN('Datos delta'!CE12,'Datos Protegidos'!$K12,PARTIDOS!CF$8),0)</f>
        <v>0</v>
      </c>
      <c r="CW12" s="7">
        <v>0</v>
      </c>
      <c r="CX12" s="19">
        <f>+IF('Datos delta'!CG12&gt;0,REASIGN('Datos delta'!CG12,'Datos Protegidos'!$K12,PARTIDOS!CH$8),0)</f>
        <v>0</v>
      </c>
      <c r="CY12" s="7">
        <v>0</v>
      </c>
      <c r="CZ12" s="19">
        <f>+IF('Datos delta'!CI12&gt;0,REASIGN('Datos delta'!CI12,'Datos Protegidos'!$K12,PARTIDOS!CJ$8),0)</f>
        <v>0</v>
      </c>
      <c r="DA12" s="7">
        <v>0</v>
      </c>
      <c r="DB12" s="19">
        <f>+IF('Datos delta'!CK12&gt;0,REASIGN('Datos delta'!CK12,'Datos Protegidos'!$K12,PARTIDOS!CL$8),0)</f>
        <v>0</v>
      </c>
      <c r="DC12" s="7">
        <v>0</v>
      </c>
      <c r="DD12" s="19">
        <f>+IF('Datos delta'!CM12&gt;0,REASIGN('Datos delta'!CM12,'Datos Protegidos'!$K12,PARTIDOS!CN$8),0)</f>
        <v>0</v>
      </c>
      <c r="DE12" s="7">
        <v>0</v>
      </c>
      <c r="DF12" s="19">
        <f>+IF('Datos delta'!CO12&gt;0,REASIGN('Datos delta'!CO12,'Datos Protegidos'!$K12,PARTIDOS!CP$8),0)</f>
        <v>0</v>
      </c>
      <c r="DG12" s="7">
        <v>0</v>
      </c>
      <c r="DH12" s="19">
        <f>+IF('Datos delta'!CQ12&gt;0,REASIGN('Datos delta'!CQ12,'Datos Protegidos'!$K12,PARTIDOS!CR$8),0)</f>
        <v>0</v>
      </c>
      <c r="DI12" s="7">
        <v>0</v>
      </c>
      <c r="DJ12" s="19">
        <f>+IF('Datos delta'!CS12&gt;0,REASIGN('Datos delta'!CS12,'Datos Protegidos'!$K12,PARTIDOS!CT$8),0)</f>
        <v>0</v>
      </c>
      <c r="DK12" s="7">
        <v>0</v>
      </c>
      <c r="DL12" s="19">
        <f>+IF('Datos delta'!CU12&gt;0,REASIGN('Datos delta'!CU12,'Datos Protegidos'!$K12,PARTIDOS!CV$8),0)</f>
        <v>1121</v>
      </c>
      <c r="DM12" s="7">
        <v>0</v>
      </c>
      <c r="DN12" s="19">
        <f>+IF('Datos delta'!CW12&gt;0,REASIGN('Datos delta'!CW12,'Datos Protegidos'!$K12,PARTIDOS!CX$8),0)</f>
        <v>0</v>
      </c>
      <c r="DO12" s="7">
        <v>0</v>
      </c>
      <c r="DP12" s="19">
        <f>+IF('Datos delta'!CY12&gt;0,REASIGN('Datos delta'!CY12,'Datos Protegidos'!$K12,PARTIDOS!CZ$8),0)</f>
        <v>0</v>
      </c>
      <c r="DQ12" s="7">
        <v>0</v>
      </c>
      <c r="DR12" s="19">
        <f>+IF('Datos delta'!DA12&gt;0,REASIGN('Datos delta'!DA12,'Datos Protegidos'!$K12,PARTIDOS!DB$8),0)</f>
        <v>0</v>
      </c>
      <c r="DS12" s="7">
        <v>0</v>
      </c>
      <c r="DT12" s="19">
        <f>+IF('Datos delta'!DC12&gt;0,REASIGN('Datos delta'!DC12,'Datos Protegidos'!$K12,PARTIDOS!DD$8),0)</f>
        <v>0</v>
      </c>
      <c r="DU12" s="7">
        <v>0</v>
      </c>
      <c r="DV12" s="19">
        <f>+IF('Datos delta'!DE12&gt;0,REASIGN('Datos delta'!DE12,'Datos Protegidos'!$K12,PARTIDOS!DF$8),0)</f>
        <v>529</v>
      </c>
      <c r="DW12" s="7">
        <v>0</v>
      </c>
      <c r="DX12" s="19">
        <f>+IF('Datos delta'!DG12&gt;0,REASIGN('Datos delta'!DG12,'Datos Protegidos'!$K12,PARTIDOS!DH$8),0)</f>
        <v>0</v>
      </c>
      <c r="DY12" s="7">
        <v>0</v>
      </c>
      <c r="DZ12" s="19">
        <f>+IF('Datos delta'!DI12&gt;0,REASIGN('Datos delta'!DI12,'Datos Protegidos'!$K12,PARTIDOS!DJ$8),0)</f>
        <v>0</v>
      </c>
      <c r="EA12" s="7">
        <v>0</v>
      </c>
      <c r="EB12" s="19">
        <f>+IF('Datos delta'!DK12&gt;0,REASIGN('Datos delta'!DK12,'Datos Protegidos'!$K12,PARTIDOS!DL$8),0)</f>
        <v>0</v>
      </c>
      <c r="EC12" s="7">
        <v>0</v>
      </c>
      <c r="ED12" s="19">
        <f>+IF('Datos delta'!DM12&gt;0,REASIGN('Datos delta'!DM12,'Datos Protegidos'!$K12,PARTIDOS!DN$8),0)</f>
        <v>0</v>
      </c>
      <c r="EE12" s="7">
        <v>0</v>
      </c>
      <c r="EF12" s="19">
        <f>+IF('Datos delta'!DO12&gt;0,REASIGN('Datos delta'!DO12,'Datos Protegidos'!$K12,PARTIDOS!DP$8),0)</f>
        <v>384</v>
      </c>
      <c r="EG12" s="7">
        <v>0</v>
      </c>
      <c r="EH12" s="19">
        <f>+IF('Datos delta'!DQ12&gt;0,REASIGN('Datos delta'!DQ12,'Datos Protegidos'!$K12,PARTIDOS!DR$8),0)</f>
        <v>0</v>
      </c>
      <c r="EI12" s="7">
        <v>0</v>
      </c>
      <c r="EJ12" s="19">
        <f>+IF('Datos delta'!DS12&gt;0,REASIGN('Datos delta'!DS12,'Datos Protegidos'!$K12,PARTIDOS!DT$8),0)</f>
        <v>0</v>
      </c>
      <c r="EK12" s="7">
        <v>0</v>
      </c>
      <c r="EL12" s="19">
        <f>+IF('Datos delta'!DU12&gt;0,REASIGN('Datos delta'!DU12,'Datos Protegidos'!$K12,PARTIDOS!DV$8),0)</f>
        <v>0</v>
      </c>
      <c r="EM12" s="7">
        <v>0</v>
      </c>
      <c r="EN12" s="19">
        <f>+IF('Datos delta'!DW12&gt;0,REASIGN('Datos delta'!DW12,'Datos Protegidos'!$K12,PARTIDOS!DX$8),0)</f>
        <v>0</v>
      </c>
      <c r="EO12" s="7">
        <v>0</v>
      </c>
      <c r="EP12" s="19">
        <f>+IF('Datos delta'!DY12&gt;0,REASIGN('Datos delta'!DY12,'Datos Protegidos'!$K12,PARTIDOS!DZ$8),0)</f>
        <v>0</v>
      </c>
      <c r="EQ12" s="7">
        <v>0</v>
      </c>
      <c r="ER12" s="19">
        <f>+IF('Datos delta'!EA12&gt;0,REASIGN('Datos delta'!EA12,'Datos Protegidos'!$K12,PARTIDOS!EB$8),0)</f>
        <v>0</v>
      </c>
      <c r="ES12" s="7">
        <v>0</v>
      </c>
      <c r="ET12" s="19">
        <f>+IF('Datos delta'!EC12&gt;0,REASIGN('Datos delta'!EC12,'Datos Protegidos'!$K12,PARTIDOS!ED$8),0)</f>
        <v>0</v>
      </c>
      <c r="EU12" s="7">
        <v>0</v>
      </c>
    </row>
    <row r="13" spans="1:151" x14ac:dyDescent="0.25">
      <c r="A13" s="7" t="s">
        <v>30</v>
      </c>
      <c r="B13" s="8">
        <v>33</v>
      </c>
      <c r="C13" s="7" t="s">
        <v>31</v>
      </c>
      <c r="D13" s="9">
        <v>1028244</v>
      </c>
      <c r="E13" s="1">
        <v>1541</v>
      </c>
      <c r="F13" s="1">
        <v>853793</v>
      </c>
      <c r="G13" s="1">
        <v>118787</v>
      </c>
      <c r="H13" s="1">
        <v>972580</v>
      </c>
      <c r="I13" s="1"/>
      <c r="J13" s="1"/>
      <c r="K13" s="1"/>
      <c r="L13" s="3">
        <f t="shared" si="1"/>
        <v>580313</v>
      </c>
      <c r="M13" s="3">
        <f t="shared" si="2"/>
        <v>574827</v>
      </c>
      <c r="N13" s="6">
        <f t="shared" si="0"/>
        <v>567786</v>
      </c>
      <c r="O13" s="1">
        <v>7041</v>
      </c>
      <c r="P13" s="1">
        <v>5486</v>
      </c>
      <c r="Q13" s="6">
        <f t="shared" si="3"/>
        <v>7</v>
      </c>
      <c r="R13" s="19">
        <f>+IF('Datos delta'!A13&gt;0,REASIGN('Datos delta'!A13,'Datos Protegidos'!$K13,PARTIDOS!B$8),0)</f>
        <v>199258</v>
      </c>
      <c r="S13" s="7">
        <v>3</v>
      </c>
      <c r="T13" s="19">
        <f>+IF('Datos delta'!C13&gt;0,REASIGN('Datos delta'!C13,'Datos Protegidos'!$K13,PARTIDOS!D$8),0)</f>
        <v>162442</v>
      </c>
      <c r="U13" s="7">
        <v>2</v>
      </c>
      <c r="V13" s="19">
        <f>+IF('Datos delta'!E13&gt;0,REASIGN('Datos delta'!E13,'Datos Protegidos'!$K13,PARTIDOS!F$8),0)</f>
        <v>90563</v>
      </c>
      <c r="W13" s="7">
        <v>1</v>
      </c>
      <c r="X13" s="19">
        <f>+IF('Datos delta'!G13&gt;0,REASIGN('Datos delta'!G13,'Datos Protegidos'!$K13,PARTIDOS!H$8),0)</f>
        <v>93766</v>
      </c>
      <c r="Y13" s="7">
        <v>1</v>
      </c>
      <c r="Z13" s="19">
        <f>+IF('Datos delta'!I13&gt;0,REASIGN('Datos delta'!I13,'Datos Protegidos'!$K13,PARTIDOS!J$8),0)</f>
        <v>0</v>
      </c>
      <c r="AA13" s="7">
        <v>0</v>
      </c>
      <c r="AB13" s="19">
        <f>+IF('Datos delta'!K13&gt;0,REASIGN('Datos delta'!K13,'Datos Protegidos'!$K13,PARTIDOS!L$8),0)</f>
        <v>0</v>
      </c>
      <c r="AC13" s="7">
        <v>0</v>
      </c>
      <c r="AD13" s="19">
        <f>+IF('Datos delta'!M13&gt;0,REASIGN('Datos delta'!M13,'Datos Protegidos'!$K13,PARTIDOS!N$8),0)</f>
        <v>0</v>
      </c>
      <c r="AE13" s="7">
        <v>0</v>
      </c>
      <c r="AF13" s="19">
        <f>+IF('Datos delta'!O13&gt;0,REASIGN('Datos delta'!O13,'Datos Protegidos'!$K13,PARTIDOS!P$8),0)</f>
        <v>0</v>
      </c>
      <c r="AG13" s="7">
        <v>0</v>
      </c>
      <c r="AH13" s="19">
        <f>+IF('Datos delta'!Q13&gt;0,REASIGN('Datos delta'!Q13,'Datos Protegidos'!$K13,PARTIDOS!R$8),0)</f>
        <v>0</v>
      </c>
      <c r="AI13" s="7">
        <v>0</v>
      </c>
      <c r="AJ13" s="19">
        <f>+IF('Datos delta'!S13&gt;0,REASIGN('Datos delta'!S13,'Datos Protegidos'!$K13,PARTIDOS!T$8),0)</f>
        <v>0</v>
      </c>
      <c r="AK13" s="7">
        <v>0</v>
      </c>
      <c r="AL13" s="19">
        <f>+IF('Datos delta'!U13&gt;0,REASIGN('Datos delta'!U13,'Datos Protegidos'!$K13,PARTIDOS!V$8),0)</f>
        <v>13368</v>
      </c>
      <c r="AM13" s="7">
        <v>0</v>
      </c>
      <c r="AN13" s="19">
        <f>+IF('Datos delta'!W13&gt;0,REASIGN('Datos delta'!W13,'Datos Protegidos'!$K13,PARTIDOS!X$8),0)</f>
        <v>0</v>
      </c>
      <c r="AO13" s="7">
        <v>0</v>
      </c>
      <c r="AP13" s="19">
        <f>+IF('Datos delta'!Y13&gt;0,REASIGN('Datos delta'!Y13,'Datos Protegidos'!$K13,PARTIDOS!Z$8),0)</f>
        <v>0</v>
      </c>
      <c r="AQ13" s="7">
        <v>0</v>
      </c>
      <c r="AR13" s="19">
        <f>+IF('Datos delta'!AA13&gt;0,REASIGN('Datos delta'!AA13,'Datos Protegidos'!$K13,PARTIDOS!AB$8),0)</f>
        <v>0</v>
      </c>
      <c r="AS13" s="7">
        <v>0</v>
      </c>
      <c r="AT13" s="19">
        <f>+IF('Datos delta'!AC13&gt;0,REASIGN('Datos delta'!AC13,'Datos Protegidos'!$K13,PARTIDOS!AD$8),0)</f>
        <v>0</v>
      </c>
      <c r="AU13" s="7">
        <v>0</v>
      </c>
      <c r="AV13" s="19">
        <f>+IF('Datos delta'!AE13&gt;0,REASIGN('Datos delta'!AE13,'Datos Protegidos'!$K13,PARTIDOS!AF$8),0)</f>
        <v>0</v>
      </c>
      <c r="AW13" s="7">
        <v>0</v>
      </c>
      <c r="AX13" s="19">
        <f>+IF('Datos delta'!AG13&gt;0,REASIGN('Datos delta'!AG13,'Datos Protegidos'!$K13,PARTIDOS!AH$8),0)</f>
        <v>0</v>
      </c>
      <c r="AY13" s="7">
        <v>0</v>
      </c>
      <c r="AZ13" s="19">
        <f>+IF('Datos delta'!AI13&gt;0,REASIGN('Datos delta'!AI13,'Datos Protegidos'!$K13,PARTIDOS!AJ$8),0)</f>
        <v>0</v>
      </c>
      <c r="BA13" s="7">
        <v>0</v>
      </c>
      <c r="BB13" s="19">
        <f>+IF('Datos delta'!AK13&gt;0,REASIGN('Datos delta'!AK13,'Datos Protegidos'!$K13,PARTIDOS!AL$8),0)</f>
        <v>0</v>
      </c>
      <c r="BC13" s="7">
        <v>0</v>
      </c>
      <c r="BD13" s="19">
        <f>+IF('Datos delta'!AM13&gt;0,REASIGN('Datos delta'!AM13,'Datos Protegidos'!$K13,PARTIDOS!AN$8),0)</f>
        <v>4389</v>
      </c>
      <c r="BE13" s="7">
        <v>0</v>
      </c>
      <c r="BF13" s="19">
        <f>+IF('Datos delta'!AO13&gt;0,REASIGN('Datos delta'!AO13,'Datos Protegidos'!$K13,PARTIDOS!AP$8),0)</f>
        <v>0</v>
      </c>
      <c r="BG13" s="7">
        <v>0</v>
      </c>
      <c r="BH13" s="19">
        <f>+IF('Datos delta'!AQ13&gt;0,REASIGN('Datos delta'!AQ13,'Datos Protegidos'!$K13,PARTIDOS!AR$8),0)</f>
        <v>728</v>
      </c>
      <c r="BI13" s="7">
        <v>0</v>
      </c>
      <c r="BJ13" s="19">
        <f>+IF('Datos delta'!AS13&gt;0,REASIGN('Datos delta'!AS13,'Datos Protegidos'!$K13,PARTIDOS!AT$8),0)</f>
        <v>484</v>
      </c>
      <c r="BK13" s="7">
        <v>0</v>
      </c>
      <c r="BL13" s="19">
        <f>+IF('Datos delta'!AU13&gt;0,REASIGN('Datos delta'!AU13,'Datos Protegidos'!$K13,PARTIDOS!AV$8),0)</f>
        <v>0</v>
      </c>
      <c r="BM13" s="7">
        <v>0</v>
      </c>
      <c r="BN13" s="19">
        <f>+IF('Datos delta'!AW13&gt;0,REASIGN('Datos delta'!AW13,'Datos Protegidos'!$K13,PARTIDOS!AX$8),0)</f>
        <v>0</v>
      </c>
      <c r="BO13" s="7">
        <v>0</v>
      </c>
      <c r="BP13" s="19">
        <f>+IF('Datos delta'!AY13&gt;0,REASIGN('Datos delta'!AY13,'Datos Protegidos'!$K13,PARTIDOS!AZ$8),0)</f>
        <v>0</v>
      </c>
      <c r="BQ13" s="7">
        <v>0</v>
      </c>
      <c r="BR13" s="19">
        <f>+IF('Datos delta'!BA13&gt;0,REASIGN('Datos delta'!BA13,'Datos Protegidos'!$K13,PARTIDOS!BB$8),0)</f>
        <v>657</v>
      </c>
      <c r="BS13" s="7">
        <v>0</v>
      </c>
      <c r="BT13" s="19">
        <f>+IF('Datos delta'!BC13&gt;0,REASIGN('Datos delta'!BC13,'Datos Protegidos'!$K13,PARTIDOS!BD$8),0)</f>
        <v>885</v>
      </c>
      <c r="BU13" s="7">
        <v>0</v>
      </c>
      <c r="BV13" s="19">
        <f>+IF('Datos delta'!BE13&gt;0,REASIGN('Datos delta'!BE13,'Datos Protegidos'!$K13,PARTIDOS!BF$8),0)</f>
        <v>0</v>
      </c>
      <c r="BW13" s="7">
        <v>0</v>
      </c>
      <c r="BX13" s="19">
        <f>+IF('Datos delta'!BG13&gt;0,REASIGN('Datos delta'!BG13,'Datos Protegidos'!$K13,PARTIDOS!BH$8),0)</f>
        <v>0</v>
      </c>
      <c r="BY13" s="7">
        <v>0</v>
      </c>
      <c r="BZ13" s="19">
        <f>+IF('Datos delta'!BI13&gt;0,REASIGN('Datos delta'!BI13,'Datos Protegidos'!$K13,PARTIDOS!BJ$8),0)</f>
        <v>0</v>
      </c>
      <c r="CA13" s="7">
        <v>0</v>
      </c>
      <c r="CB13" s="19">
        <f>+IF('Datos delta'!BK13&gt;0,REASIGN('Datos delta'!BK13,'Datos Protegidos'!$K13,PARTIDOS!BL$8),0)</f>
        <v>0</v>
      </c>
      <c r="CC13" s="7">
        <v>0</v>
      </c>
      <c r="CD13" s="19">
        <f>+IF('Datos delta'!BM13&gt;0,REASIGN('Datos delta'!BM13,'Datos Protegidos'!$K13,PARTIDOS!BN$8),0)</f>
        <v>0</v>
      </c>
      <c r="CE13" s="7">
        <v>0</v>
      </c>
      <c r="CF13" s="19">
        <f>+IF('Datos delta'!BO13&gt;0,REASIGN('Datos delta'!BO13,'Datos Protegidos'!$K13,PARTIDOS!BP$8),0)</f>
        <v>0</v>
      </c>
      <c r="CG13" s="7">
        <v>0</v>
      </c>
      <c r="CH13" s="19">
        <f>+IF('Datos delta'!BQ13&gt;0,REASIGN('Datos delta'!BQ13,'Datos Protegidos'!$K13,PARTIDOS!BR$8),0)</f>
        <v>0</v>
      </c>
      <c r="CI13" s="7">
        <v>0</v>
      </c>
      <c r="CJ13" s="19">
        <f>+IF('Datos delta'!BS13&gt;0,REASIGN('Datos delta'!BS13,'Datos Protegidos'!$K13,PARTIDOS!BT$8),0)</f>
        <v>0</v>
      </c>
      <c r="CK13" s="7">
        <v>0</v>
      </c>
      <c r="CL13" s="19">
        <f>+IF('Datos delta'!BU13&gt;0,REASIGN('Datos delta'!BU13,'Datos Protegidos'!$K13,PARTIDOS!BV$8),0)</f>
        <v>0</v>
      </c>
      <c r="CM13" s="7">
        <v>0</v>
      </c>
      <c r="CN13" s="19">
        <f>+IF('Datos delta'!BW13&gt;0,REASIGN('Datos delta'!BW13,'Datos Protegidos'!$K13,PARTIDOS!BX$8),0)</f>
        <v>364</v>
      </c>
      <c r="CO13" s="7">
        <v>0</v>
      </c>
      <c r="CP13" s="19">
        <f>+IF('Datos delta'!BY13&gt;0,REASIGN('Datos delta'!BY13,'Datos Protegidos'!$K13,PARTIDOS!BZ$8),0)</f>
        <v>0</v>
      </c>
      <c r="CQ13" s="7">
        <v>0</v>
      </c>
      <c r="CR13" s="19">
        <f>+IF('Datos delta'!CA13&gt;0,REASIGN('Datos delta'!CA13,'Datos Protegidos'!$K13,PARTIDOS!CB$8),0)</f>
        <v>0</v>
      </c>
      <c r="CS13" s="7">
        <v>0</v>
      </c>
      <c r="CT13" s="19">
        <f>+IF('Datos delta'!CC13&gt;0,REASIGN('Datos delta'!CC13,'Datos Protegidos'!$K13,PARTIDOS!CD$8),0)</f>
        <v>0</v>
      </c>
      <c r="CU13" s="7">
        <v>0</v>
      </c>
      <c r="CV13" s="19">
        <f>+IF('Datos delta'!CE13&gt;0,REASIGN('Datos delta'!CE13,'Datos Protegidos'!$K13,PARTIDOS!CF$8),0)</f>
        <v>0</v>
      </c>
      <c r="CW13" s="7">
        <v>0</v>
      </c>
      <c r="CX13" s="19">
        <f>+IF('Datos delta'!CG13&gt;0,REASIGN('Datos delta'!CG13,'Datos Protegidos'!$K13,PARTIDOS!CH$8),0)</f>
        <v>0</v>
      </c>
      <c r="CY13" s="7">
        <v>0</v>
      </c>
      <c r="CZ13" s="19">
        <f>+IF('Datos delta'!CI13&gt;0,REASIGN('Datos delta'!CI13,'Datos Protegidos'!$K13,PARTIDOS!CJ$8),0)</f>
        <v>0</v>
      </c>
      <c r="DA13" s="7">
        <v>0</v>
      </c>
      <c r="DB13" s="19">
        <f>+IF('Datos delta'!CK13&gt;0,REASIGN('Datos delta'!CK13,'Datos Protegidos'!$K13,PARTIDOS!CL$8),0)</f>
        <v>0</v>
      </c>
      <c r="DC13" s="7">
        <v>0</v>
      </c>
      <c r="DD13" s="19">
        <f>+IF('Datos delta'!CM13&gt;0,REASIGN('Datos delta'!CM13,'Datos Protegidos'!$K13,PARTIDOS!CN$8),0)</f>
        <v>0</v>
      </c>
      <c r="DE13" s="7">
        <v>0</v>
      </c>
      <c r="DF13" s="19">
        <f>+IF('Datos delta'!CO13&gt;0,REASIGN('Datos delta'!CO13,'Datos Protegidos'!$K13,PARTIDOS!CP$8),0)</f>
        <v>0</v>
      </c>
      <c r="DG13" s="7">
        <v>0</v>
      </c>
      <c r="DH13" s="19">
        <f>+IF('Datos delta'!CQ13&gt;0,REASIGN('Datos delta'!CQ13,'Datos Protegidos'!$K13,PARTIDOS!CR$8),0)</f>
        <v>0</v>
      </c>
      <c r="DI13" s="7">
        <v>0</v>
      </c>
      <c r="DJ13" s="19">
        <f>+IF('Datos delta'!CS13&gt;0,REASIGN('Datos delta'!CS13,'Datos Protegidos'!$K13,PARTIDOS!CT$8),0)</f>
        <v>0</v>
      </c>
      <c r="DK13" s="7">
        <v>0</v>
      </c>
      <c r="DL13" s="19">
        <f>+IF('Datos delta'!CU13&gt;0,REASIGN('Datos delta'!CU13,'Datos Protegidos'!$K13,PARTIDOS!CV$8),0)</f>
        <v>0</v>
      </c>
      <c r="DM13" s="7">
        <v>0</v>
      </c>
      <c r="DN13" s="19">
        <f>+IF('Datos delta'!CW13&gt;0,REASIGN('Datos delta'!CW13,'Datos Protegidos'!$K13,PARTIDOS!CX$8),0)</f>
        <v>0</v>
      </c>
      <c r="DO13" s="7">
        <v>0</v>
      </c>
      <c r="DP13" s="19">
        <f>+IF('Datos delta'!CY13&gt;0,REASIGN('Datos delta'!CY13,'Datos Protegidos'!$K13,PARTIDOS!CZ$8),0)</f>
        <v>0</v>
      </c>
      <c r="DQ13" s="7">
        <v>0</v>
      </c>
      <c r="DR13" s="19">
        <f>+IF('Datos delta'!DA13&gt;0,REASIGN('Datos delta'!DA13,'Datos Protegidos'!$K13,PARTIDOS!DB$8),0)</f>
        <v>882</v>
      </c>
      <c r="DS13" s="7">
        <v>0</v>
      </c>
      <c r="DT13" s="19">
        <f>+IF('Datos delta'!DC13&gt;0,REASIGN('Datos delta'!DC13,'Datos Protegidos'!$K13,PARTIDOS!DD$8),0)</f>
        <v>0</v>
      </c>
      <c r="DU13" s="7">
        <v>0</v>
      </c>
      <c r="DV13" s="19">
        <f>+IF('Datos delta'!DE13&gt;0,REASIGN('Datos delta'!DE13,'Datos Protegidos'!$K13,PARTIDOS!DF$8),0)</f>
        <v>0</v>
      </c>
      <c r="DW13" s="7">
        <v>0</v>
      </c>
      <c r="DX13" s="19">
        <f>+IF('Datos delta'!DG13&gt;0,REASIGN('Datos delta'!DG13,'Datos Protegidos'!$K13,PARTIDOS!DH$8),0)</f>
        <v>0</v>
      </c>
      <c r="DY13" s="7">
        <v>0</v>
      </c>
      <c r="DZ13" s="19">
        <f>+IF('Datos delta'!DI13&gt;0,REASIGN('Datos delta'!DI13,'Datos Protegidos'!$K13,PARTIDOS!DJ$8),0)</f>
        <v>0</v>
      </c>
      <c r="EA13" s="7">
        <v>0</v>
      </c>
      <c r="EB13" s="19">
        <f>+IF('Datos delta'!DK13&gt;0,REASIGN('Datos delta'!DK13,'Datos Protegidos'!$K13,PARTIDOS!DL$8),0)</f>
        <v>0</v>
      </c>
      <c r="EC13" s="7">
        <v>0</v>
      </c>
      <c r="ED13" s="19">
        <f>+IF('Datos delta'!DM13&gt;0,REASIGN('Datos delta'!DM13,'Datos Protegidos'!$K13,PARTIDOS!DN$8),0)</f>
        <v>0</v>
      </c>
      <c r="EE13" s="7">
        <v>0</v>
      </c>
      <c r="EF13" s="19">
        <f>+IF('Datos delta'!DO13&gt;0,REASIGN('Datos delta'!DO13,'Datos Protegidos'!$K13,PARTIDOS!DP$8),0)</f>
        <v>0</v>
      </c>
      <c r="EG13" s="7">
        <v>0</v>
      </c>
      <c r="EH13" s="19">
        <f>+IF('Datos delta'!DQ13&gt;0,REASIGN('Datos delta'!DQ13,'Datos Protegidos'!$K13,PARTIDOS!DR$8),0)</f>
        <v>0</v>
      </c>
      <c r="EI13" s="7">
        <v>0</v>
      </c>
      <c r="EJ13" s="19">
        <f>+IF('Datos delta'!DS13&gt;0,REASIGN('Datos delta'!DS13,'Datos Protegidos'!$K13,PARTIDOS!DT$8),0)</f>
        <v>0</v>
      </c>
      <c r="EK13" s="7">
        <v>0</v>
      </c>
      <c r="EL13" s="19">
        <f>+IF('Datos delta'!DU13&gt;0,REASIGN('Datos delta'!DU13,'Datos Protegidos'!$K13,PARTIDOS!DV$8),0)</f>
        <v>0</v>
      </c>
      <c r="EM13" s="7">
        <v>0</v>
      </c>
      <c r="EN13" s="19">
        <f>+IF('Datos delta'!DW13&gt;0,REASIGN('Datos delta'!DW13,'Datos Protegidos'!$K13,PARTIDOS!DX$8),0)</f>
        <v>0</v>
      </c>
      <c r="EO13" s="7">
        <v>0</v>
      </c>
      <c r="EP13" s="19">
        <f>+IF('Datos delta'!DY13&gt;0,REASIGN('Datos delta'!DY13,'Datos Protegidos'!$K13,PARTIDOS!DZ$8),0)</f>
        <v>0</v>
      </c>
      <c r="EQ13" s="7">
        <v>0</v>
      </c>
      <c r="ER13" s="19">
        <f>+IF('Datos delta'!EA13&gt;0,REASIGN('Datos delta'!EA13,'Datos Protegidos'!$K13,PARTIDOS!EB$8),0)</f>
        <v>0</v>
      </c>
      <c r="ES13" s="7">
        <v>0</v>
      </c>
      <c r="ET13" s="19">
        <f>+IF('Datos delta'!EC13&gt;0,REASIGN('Datos delta'!EC13,'Datos Protegidos'!$K13,PARTIDOS!ED$8),0)</f>
        <v>0</v>
      </c>
      <c r="EU13" s="7">
        <v>0</v>
      </c>
    </row>
    <row r="14" spans="1:151" x14ac:dyDescent="0.25">
      <c r="A14" s="7" t="s">
        <v>32</v>
      </c>
      <c r="B14" s="8">
        <v>7</v>
      </c>
      <c r="C14" s="7" t="s">
        <v>32</v>
      </c>
      <c r="D14" s="9">
        <v>1128908</v>
      </c>
      <c r="E14" s="1">
        <v>1215</v>
      </c>
      <c r="F14" s="1">
        <v>778855</v>
      </c>
      <c r="G14" s="1">
        <v>28315</v>
      </c>
      <c r="H14" s="1">
        <v>807170</v>
      </c>
      <c r="I14" s="1"/>
      <c r="J14" s="1"/>
      <c r="K14" s="1"/>
      <c r="L14" s="3">
        <f t="shared" si="1"/>
        <v>470163</v>
      </c>
      <c r="M14" s="3">
        <f t="shared" si="2"/>
        <v>465770</v>
      </c>
      <c r="N14" s="6">
        <f t="shared" si="0"/>
        <v>461102</v>
      </c>
      <c r="O14" s="1">
        <v>4668</v>
      </c>
      <c r="P14" s="1">
        <v>4393</v>
      </c>
      <c r="Q14" s="6">
        <f t="shared" si="3"/>
        <v>8</v>
      </c>
      <c r="R14" s="19">
        <f>+IF('Datos delta'!A14&gt;0,REASIGN('Datos delta'!A14,'Datos Protegidos'!$K14,PARTIDOS!B$8),0)</f>
        <v>124690</v>
      </c>
      <c r="S14" s="7">
        <v>2</v>
      </c>
      <c r="T14" s="19">
        <f>+IF('Datos delta'!C14&gt;0,REASIGN('Datos delta'!C14,'Datos Protegidos'!$K14,PARTIDOS!D$8),0)</f>
        <v>132556</v>
      </c>
      <c r="U14" s="7">
        <v>2</v>
      </c>
      <c r="V14" s="19">
        <f>+IF('Datos delta'!E14&gt;0,REASIGN('Datos delta'!E14,'Datos Protegidos'!$K14,PARTIDOS!F$8),0)</f>
        <v>79070</v>
      </c>
      <c r="W14" s="7">
        <v>2</v>
      </c>
      <c r="X14" s="19">
        <f>+IF('Datos delta'!G14&gt;0,REASIGN('Datos delta'!G14,'Datos Protegidos'!$K14,PARTIDOS!H$8),0)</f>
        <v>86336</v>
      </c>
      <c r="Y14" s="7">
        <v>2</v>
      </c>
      <c r="Z14" s="19">
        <f>+IF('Datos delta'!I14&gt;0,REASIGN('Datos delta'!I14,'Datos Protegidos'!$K14,PARTIDOS!J$8),0)</f>
        <v>0</v>
      </c>
      <c r="AA14" s="7">
        <v>0</v>
      </c>
      <c r="AB14" s="19">
        <f>+IF('Datos delta'!K14&gt;0,REASIGN('Datos delta'!K14,'Datos Protegidos'!$K14,PARTIDOS!L$8),0)</f>
        <v>0</v>
      </c>
      <c r="AC14" s="7">
        <v>0</v>
      </c>
      <c r="AD14" s="19">
        <f>+IF('Datos delta'!M14&gt;0,REASIGN('Datos delta'!M14,'Datos Protegidos'!$K14,PARTIDOS!N$8),0)</f>
        <v>0</v>
      </c>
      <c r="AE14" s="7">
        <v>0</v>
      </c>
      <c r="AF14" s="19">
        <f>+IF('Datos delta'!O14&gt;0,REASIGN('Datos delta'!O14,'Datos Protegidos'!$K14,PARTIDOS!P$8),0)</f>
        <v>0</v>
      </c>
      <c r="AG14" s="7">
        <v>0</v>
      </c>
      <c r="AH14" s="19">
        <f>+IF('Datos delta'!Q14&gt;0,REASIGN('Datos delta'!Q14,'Datos Protegidos'!$K14,PARTIDOS!R$8),0)</f>
        <v>0</v>
      </c>
      <c r="AI14" s="7">
        <v>0</v>
      </c>
      <c r="AJ14" s="19">
        <f>+IF('Datos delta'!S14&gt;0,REASIGN('Datos delta'!S14,'Datos Protegidos'!$K14,PARTIDOS!T$8),0)</f>
        <v>0</v>
      </c>
      <c r="AK14" s="7">
        <v>0</v>
      </c>
      <c r="AL14" s="19">
        <f>+IF('Datos delta'!U14&gt;0,REASIGN('Datos delta'!U14,'Datos Protegidos'!$K14,PARTIDOS!V$8),0)</f>
        <v>0</v>
      </c>
      <c r="AM14" s="7">
        <v>0</v>
      </c>
      <c r="AN14" s="19">
        <f>+IF('Datos delta'!W14&gt;0,REASIGN('Datos delta'!W14,'Datos Protegidos'!$K14,PARTIDOS!X$8),0)</f>
        <v>0</v>
      </c>
      <c r="AO14" s="7">
        <v>0</v>
      </c>
      <c r="AP14" s="19">
        <f>+IF('Datos delta'!Y14&gt;0,REASIGN('Datos delta'!Y14,'Datos Protegidos'!$K14,PARTIDOS!Z$8),0)</f>
        <v>0</v>
      </c>
      <c r="AQ14" s="7">
        <v>0</v>
      </c>
      <c r="AR14" s="19">
        <f>+IF('Datos delta'!AA14&gt;0,REASIGN('Datos delta'!AA14,'Datos Protegidos'!$K14,PARTIDOS!AB$8),0)</f>
        <v>0</v>
      </c>
      <c r="AS14" s="7">
        <v>0</v>
      </c>
      <c r="AT14" s="19">
        <f>+IF('Datos delta'!AC14&gt;0,REASIGN('Datos delta'!AC14,'Datos Protegidos'!$K14,PARTIDOS!AD$8),0)</f>
        <v>0</v>
      </c>
      <c r="AU14" s="7">
        <v>0</v>
      </c>
      <c r="AV14" s="19">
        <f>+IF('Datos delta'!AE14&gt;0,REASIGN('Datos delta'!AE14,'Datos Protegidos'!$K14,PARTIDOS!AF$8),0)</f>
        <v>0</v>
      </c>
      <c r="AW14" s="7">
        <v>0</v>
      </c>
      <c r="AX14" s="19">
        <f>+IF('Datos delta'!AG14&gt;0,REASIGN('Datos delta'!AG14,'Datos Protegidos'!$K14,PARTIDOS!AH$8),0)</f>
        <v>0</v>
      </c>
      <c r="AY14" s="7">
        <v>0</v>
      </c>
      <c r="AZ14" s="19">
        <f>+IF('Datos delta'!AI14&gt;0,REASIGN('Datos delta'!AI14,'Datos Protegidos'!$K14,PARTIDOS!AJ$8),0)</f>
        <v>0</v>
      </c>
      <c r="BA14" s="7">
        <v>0</v>
      </c>
      <c r="BB14" s="19">
        <f>+IF('Datos delta'!AK14&gt;0,REASIGN('Datos delta'!AK14,'Datos Protegidos'!$K14,PARTIDOS!AL$8),0)</f>
        <v>0</v>
      </c>
      <c r="BC14" s="7">
        <v>0</v>
      </c>
      <c r="BD14" s="19">
        <f>+IF('Datos delta'!AM14&gt;0,REASIGN('Datos delta'!AM14,'Datos Protegidos'!$K14,PARTIDOS!AN$8),0)</f>
        <v>6175</v>
      </c>
      <c r="BE14" s="7">
        <v>0</v>
      </c>
      <c r="BF14" s="19">
        <f>+IF('Datos delta'!AO14&gt;0,REASIGN('Datos delta'!AO14,'Datos Protegidos'!$K14,PARTIDOS!AP$8),0)</f>
        <v>11184</v>
      </c>
      <c r="BG14" s="7">
        <v>0</v>
      </c>
      <c r="BH14" s="19">
        <f>+IF('Datos delta'!AQ14&gt;0,REASIGN('Datos delta'!AQ14,'Datos Protegidos'!$K14,PARTIDOS!AR$8),0)</f>
        <v>942</v>
      </c>
      <c r="BI14" s="7">
        <v>0</v>
      </c>
      <c r="BJ14" s="19">
        <f>+IF('Datos delta'!AS14&gt;0,REASIGN('Datos delta'!AS14,'Datos Protegidos'!$K14,PARTIDOS!AT$8),0)</f>
        <v>570</v>
      </c>
      <c r="BK14" s="7">
        <v>0</v>
      </c>
      <c r="BL14" s="19">
        <f>+IF('Datos delta'!AU14&gt;0,REASIGN('Datos delta'!AU14,'Datos Protegidos'!$K14,PARTIDOS!AV$8),0)</f>
        <v>0</v>
      </c>
      <c r="BM14" s="7">
        <v>0</v>
      </c>
      <c r="BN14" s="19">
        <f>+IF('Datos delta'!AW14&gt;0,REASIGN('Datos delta'!AW14,'Datos Protegidos'!$K14,PARTIDOS!AX$8),0)</f>
        <v>19209</v>
      </c>
      <c r="BO14" s="7">
        <v>0</v>
      </c>
      <c r="BP14" s="19">
        <f>+IF('Datos delta'!AY14&gt;0,REASIGN('Datos delta'!AY14,'Datos Protegidos'!$K14,PARTIDOS!AZ$8),0)</f>
        <v>0</v>
      </c>
      <c r="BQ14" s="7">
        <v>0</v>
      </c>
      <c r="BR14" s="19">
        <f>+IF('Datos delta'!BA14&gt;0,REASIGN('Datos delta'!BA14,'Datos Protegidos'!$K14,PARTIDOS!BB$8),0)</f>
        <v>0</v>
      </c>
      <c r="BS14" s="7">
        <v>0</v>
      </c>
      <c r="BT14" s="19">
        <f>+IF('Datos delta'!BC14&gt;0,REASIGN('Datos delta'!BC14,'Datos Protegidos'!$K14,PARTIDOS!BD$8),0)</f>
        <v>0</v>
      </c>
      <c r="BU14" s="7">
        <v>0</v>
      </c>
      <c r="BV14" s="19">
        <f>+IF('Datos delta'!BE14&gt;0,REASIGN('Datos delta'!BE14,'Datos Protegidos'!$K14,PARTIDOS!BF$8),0)</f>
        <v>0</v>
      </c>
      <c r="BW14" s="7">
        <v>0</v>
      </c>
      <c r="BX14" s="19">
        <f>+IF('Datos delta'!BG14&gt;0,REASIGN('Datos delta'!BG14,'Datos Protegidos'!$K14,PARTIDOS!BH$8),0)</f>
        <v>0</v>
      </c>
      <c r="BY14" s="7">
        <v>0</v>
      </c>
      <c r="BZ14" s="19">
        <f>+IF('Datos delta'!BI14&gt;0,REASIGN('Datos delta'!BI14,'Datos Protegidos'!$K14,PARTIDOS!BJ$8),0)</f>
        <v>0</v>
      </c>
      <c r="CA14" s="7">
        <v>0</v>
      </c>
      <c r="CB14" s="19">
        <f>+IF('Datos delta'!BK14&gt;0,REASIGN('Datos delta'!BK14,'Datos Protegidos'!$K14,PARTIDOS!BL$8),0)</f>
        <v>0</v>
      </c>
      <c r="CC14" s="7">
        <v>0</v>
      </c>
      <c r="CD14" s="19">
        <f>+IF('Datos delta'!BM14&gt;0,REASIGN('Datos delta'!BM14,'Datos Protegidos'!$K14,PARTIDOS!BN$8),0)</f>
        <v>0</v>
      </c>
      <c r="CE14" s="7">
        <v>0</v>
      </c>
      <c r="CF14" s="19">
        <f>+IF('Datos delta'!BO14&gt;0,REASIGN('Datos delta'!BO14,'Datos Protegidos'!$K14,PARTIDOS!BP$8),0)</f>
        <v>0</v>
      </c>
      <c r="CG14" s="7">
        <v>0</v>
      </c>
      <c r="CH14" s="19">
        <f>+IF('Datos delta'!BQ14&gt;0,REASIGN('Datos delta'!BQ14,'Datos Protegidos'!$K14,PARTIDOS!BR$8),0)</f>
        <v>0</v>
      </c>
      <c r="CI14" s="7">
        <v>0</v>
      </c>
      <c r="CJ14" s="19">
        <f>+IF('Datos delta'!BS14&gt;0,REASIGN('Datos delta'!BS14,'Datos Protegidos'!$K14,PARTIDOS!BT$8),0)</f>
        <v>0</v>
      </c>
      <c r="CK14" s="7">
        <v>0</v>
      </c>
      <c r="CL14" s="19">
        <f>+IF('Datos delta'!BU14&gt;0,REASIGN('Datos delta'!BU14,'Datos Protegidos'!$K14,PARTIDOS!BV$8),0)</f>
        <v>0</v>
      </c>
      <c r="CM14" s="7">
        <v>0</v>
      </c>
      <c r="CN14" s="19">
        <f>+IF('Datos delta'!BW14&gt;0,REASIGN('Datos delta'!BW14,'Datos Protegidos'!$K14,PARTIDOS!BX$8),0)</f>
        <v>0</v>
      </c>
      <c r="CO14" s="7">
        <v>0</v>
      </c>
      <c r="CP14" s="19">
        <f>+IF('Datos delta'!BY14&gt;0,REASIGN('Datos delta'!BY14,'Datos Protegidos'!$K14,PARTIDOS!BZ$8),0)</f>
        <v>0</v>
      </c>
      <c r="CQ14" s="7">
        <v>0</v>
      </c>
      <c r="CR14" s="19">
        <f>+IF('Datos delta'!CA14&gt;0,REASIGN('Datos delta'!CA14,'Datos Protegidos'!$K14,PARTIDOS!CB$8),0)</f>
        <v>0</v>
      </c>
      <c r="CS14" s="7">
        <v>0</v>
      </c>
      <c r="CT14" s="19">
        <f>+IF('Datos delta'!CC14&gt;0,REASIGN('Datos delta'!CC14,'Datos Protegidos'!$K14,PARTIDOS!CD$8),0)</f>
        <v>0</v>
      </c>
      <c r="CU14" s="7">
        <v>0</v>
      </c>
      <c r="CV14" s="19">
        <f>+IF('Datos delta'!CE14&gt;0,REASIGN('Datos delta'!CE14,'Datos Protegidos'!$K14,PARTIDOS!CF$8),0)</f>
        <v>0</v>
      </c>
      <c r="CW14" s="7">
        <v>0</v>
      </c>
      <c r="CX14" s="19">
        <f>+IF('Datos delta'!CG14&gt;0,REASIGN('Datos delta'!CG14,'Datos Protegidos'!$K14,PARTIDOS!CH$8),0)</f>
        <v>0</v>
      </c>
      <c r="CY14" s="7">
        <v>0</v>
      </c>
      <c r="CZ14" s="19">
        <f>+IF('Datos delta'!CI14&gt;0,REASIGN('Datos delta'!CI14,'Datos Protegidos'!$K14,PARTIDOS!CJ$8),0)</f>
        <v>0</v>
      </c>
      <c r="DA14" s="7">
        <v>0</v>
      </c>
      <c r="DB14" s="19">
        <f>+IF('Datos delta'!CK14&gt;0,REASIGN('Datos delta'!CK14,'Datos Protegidos'!$K14,PARTIDOS!CL$8),0)</f>
        <v>0</v>
      </c>
      <c r="DC14" s="7">
        <v>0</v>
      </c>
      <c r="DD14" s="19">
        <f>+IF('Datos delta'!CM14&gt;0,REASIGN('Datos delta'!CM14,'Datos Protegidos'!$K14,PARTIDOS!CN$8),0)</f>
        <v>0</v>
      </c>
      <c r="DE14" s="7">
        <v>0</v>
      </c>
      <c r="DF14" s="19">
        <f>+IF('Datos delta'!CO14&gt;0,REASIGN('Datos delta'!CO14,'Datos Protegidos'!$K14,PARTIDOS!CP$8),0)</f>
        <v>0</v>
      </c>
      <c r="DG14" s="7">
        <v>0</v>
      </c>
      <c r="DH14" s="19">
        <f>+IF('Datos delta'!CQ14&gt;0,REASIGN('Datos delta'!CQ14,'Datos Protegidos'!$K14,PARTIDOS!CR$8),0)</f>
        <v>0</v>
      </c>
      <c r="DI14" s="7">
        <v>0</v>
      </c>
      <c r="DJ14" s="19">
        <f>+IF('Datos delta'!CS14&gt;0,REASIGN('Datos delta'!CS14,'Datos Protegidos'!$K14,PARTIDOS!CT$8),0)</f>
        <v>370</v>
      </c>
      <c r="DK14" s="7">
        <v>0</v>
      </c>
      <c r="DL14" s="19">
        <f>+IF('Datos delta'!CU14&gt;0,REASIGN('Datos delta'!CU14,'Datos Protegidos'!$K14,PARTIDOS!CV$8),0)</f>
        <v>0</v>
      </c>
      <c r="DM14" s="7">
        <v>0</v>
      </c>
      <c r="DN14" s="19">
        <f>+IF('Datos delta'!CW14&gt;0,REASIGN('Datos delta'!CW14,'Datos Protegidos'!$K14,PARTIDOS!CX$8),0)</f>
        <v>0</v>
      </c>
      <c r="DO14" s="7">
        <v>0</v>
      </c>
      <c r="DP14" s="19">
        <f>+IF('Datos delta'!CY14&gt;0,REASIGN('Datos delta'!CY14,'Datos Protegidos'!$K14,PARTIDOS!CZ$8),0)</f>
        <v>0</v>
      </c>
      <c r="DQ14" s="7">
        <v>0</v>
      </c>
      <c r="DR14" s="19">
        <f>+IF('Datos delta'!DA14&gt;0,REASIGN('Datos delta'!DA14,'Datos Protegidos'!$K14,PARTIDOS!DB$8),0)</f>
        <v>0</v>
      </c>
      <c r="DS14" s="7">
        <v>0</v>
      </c>
      <c r="DT14" s="19">
        <f>+IF('Datos delta'!DC14&gt;0,REASIGN('Datos delta'!DC14,'Datos Protegidos'!$K14,PARTIDOS!DD$8),0)</f>
        <v>0</v>
      </c>
      <c r="DU14" s="7">
        <v>0</v>
      </c>
      <c r="DV14" s="19">
        <f>+IF('Datos delta'!DE14&gt;0,REASIGN('Datos delta'!DE14,'Datos Protegidos'!$K14,PARTIDOS!DF$8),0)</f>
        <v>0</v>
      </c>
      <c r="DW14" s="7">
        <v>0</v>
      </c>
      <c r="DX14" s="19">
        <f>+IF('Datos delta'!DG14&gt;0,REASIGN('Datos delta'!DG14,'Datos Protegidos'!$K14,PARTIDOS!DH$8),0)</f>
        <v>0</v>
      </c>
      <c r="DY14" s="7">
        <v>0</v>
      </c>
      <c r="DZ14" s="19">
        <f>+IF('Datos delta'!DI14&gt;0,REASIGN('Datos delta'!DI14,'Datos Protegidos'!$K14,PARTIDOS!DJ$8),0)</f>
        <v>0</v>
      </c>
      <c r="EA14" s="7">
        <v>0</v>
      </c>
      <c r="EB14" s="19">
        <f>+IF('Datos delta'!DK14&gt;0,REASIGN('Datos delta'!DK14,'Datos Protegidos'!$K14,PARTIDOS!DL$8),0)</f>
        <v>0</v>
      </c>
      <c r="EC14" s="7">
        <v>0</v>
      </c>
      <c r="ED14" s="19">
        <f>+IF('Datos delta'!DM14&gt;0,REASIGN('Datos delta'!DM14,'Datos Protegidos'!$K14,PARTIDOS!DN$8),0)</f>
        <v>0</v>
      </c>
      <c r="EE14" s="7">
        <v>0</v>
      </c>
      <c r="EF14" s="19">
        <f>+IF('Datos delta'!DO14&gt;0,REASIGN('Datos delta'!DO14,'Datos Protegidos'!$K14,PARTIDOS!DP$8),0)</f>
        <v>0</v>
      </c>
      <c r="EG14" s="7">
        <v>0</v>
      </c>
      <c r="EH14" s="19">
        <f>+IF('Datos delta'!DQ14&gt;0,REASIGN('Datos delta'!DQ14,'Datos Protegidos'!$K14,PARTIDOS!DR$8),0)</f>
        <v>0</v>
      </c>
      <c r="EI14" s="7">
        <v>0</v>
      </c>
      <c r="EJ14" s="19">
        <f>+IF('Datos delta'!DS14&gt;0,REASIGN('Datos delta'!DS14,'Datos Protegidos'!$K14,PARTIDOS!DT$8),0)</f>
        <v>0</v>
      </c>
      <c r="EK14" s="7">
        <v>0</v>
      </c>
      <c r="EL14" s="19">
        <f>+IF('Datos delta'!DU14&gt;0,REASIGN('Datos delta'!DU14,'Datos Protegidos'!$K14,PARTIDOS!DV$8),0)</f>
        <v>0</v>
      </c>
      <c r="EM14" s="7">
        <v>0</v>
      </c>
      <c r="EN14" s="19">
        <f>+IF('Datos delta'!DW14&gt;0,REASIGN('Datos delta'!DW14,'Datos Protegidos'!$K14,PARTIDOS!DX$8),0)</f>
        <v>0</v>
      </c>
      <c r="EO14" s="7">
        <v>0</v>
      </c>
      <c r="EP14" s="19">
        <f>+IF('Datos delta'!DY14&gt;0,REASIGN('Datos delta'!DY14,'Datos Protegidos'!$K14,PARTIDOS!DZ$8),0)</f>
        <v>0</v>
      </c>
      <c r="EQ14" s="7">
        <v>0</v>
      </c>
      <c r="ER14" s="19">
        <f>+IF('Datos delta'!EA14&gt;0,REASIGN('Datos delta'!EA14,'Datos Protegidos'!$K14,PARTIDOS!EB$8),0)</f>
        <v>0</v>
      </c>
      <c r="ES14" s="7">
        <v>0</v>
      </c>
      <c r="ET14" s="19">
        <f>+IF('Datos delta'!EC14&gt;0,REASIGN('Datos delta'!EC14,'Datos Protegidos'!$K14,PARTIDOS!ED$8),0)</f>
        <v>0</v>
      </c>
      <c r="EU14" s="7">
        <v>0</v>
      </c>
    </row>
    <row r="15" spans="1:151" x14ac:dyDescent="0.25">
      <c r="A15" s="7" t="s">
        <v>33</v>
      </c>
      <c r="B15" s="8">
        <v>35</v>
      </c>
      <c r="C15" s="7" t="s">
        <v>34</v>
      </c>
      <c r="D15" s="9">
        <v>1109175</v>
      </c>
      <c r="E15" s="1">
        <v>1511</v>
      </c>
      <c r="F15" s="1">
        <v>823161</v>
      </c>
      <c r="G15" s="1">
        <v>48567</v>
      </c>
      <c r="H15" s="1">
        <v>871728</v>
      </c>
      <c r="I15" s="1"/>
      <c r="J15" s="1"/>
      <c r="K15" s="1"/>
      <c r="L15" s="3">
        <f t="shared" si="1"/>
        <v>499890</v>
      </c>
      <c r="M15" s="3">
        <f t="shared" si="2"/>
        <v>494464</v>
      </c>
      <c r="N15" s="6">
        <f t="shared" si="0"/>
        <v>490489</v>
      </c>
      <c r="O15" s="1">
        <v>3975</v>
      </c>
      <c r="P15" s="1">
        <v>5426</v>
      </c>
      <c r="Q15" s="6">
        <f t="shared" si="3"/>
        <v>8</v>
      </c>
      <c r="R15" s="19">
        <f>+IF('Datos delta'!A15&gt;0,REASIGN('Datos delta'!A15,'Datos Protegidos'!$K15,PARTIDOS!B$8),0)</f>
        <v>150932</v>
      </c>
      <c r="S15" s="7">
        <v>3</v>
      </c>
      <c r="T15" s="19">
        <f>+IF('Datos delta'!C15&gt;0,REASIGN('Datos delta'!C15,'Datos Protegidos'!$K15,PARTIDOS!D$8),0)</f>
        <v>127856</v>
      </c>
      <c r="U15" s="7">
        <v>2</v>
      </c>
      <c r="V15" s="19">
        <f>+IF('Datos delta'!E15&gt;0,REASIGN('Datos delta'!E15,'Datos Protegidos'!$K15,PARTIDOS!F$8),0)</f>
        <v>65805</v>
      </c>
      <c r="W15" s="7">
        <v>1</v>
      </c>
      <c r="X15" s="19">
        <f>+IF('Datos delta'!G15&gt;0,REASIGN('Datos delta'!G15,'Datos Protegidos'!$K15,PARTIDOS!H$8),0)</f>
        <v>78380</v>
      </c>
      <c r="Y15" s="7">
        <v>1</v>
      </c>
      <c r="Z15" s="19">
        <f>+IF('Datos delta'!I15&gt;0,REASIGN('Datos delta'!I15,'Datos Protegidos'!$K15,PARTIDOS!J$8),0)</f>
        <v>0</v>
      </c>
      <c r="AA15" s="7">
        <v>0</v>
      </c>
      <c r="AB15" s="19">
        <f>+IF('Datos delta'!K15&gt;0,REASIGN('Datos delta'!K15,'Datos Protegidos'!$K15,PARTIDOS!L$8),0)</f>
        <v>0</v>
      </c>
      <c r="AC15" s="7">
        <v>0</v>
      </c>
      <c r="AD15" s="19">
        <f>+IF('Datos delta'!M15&gt;0,REASIGN('Datos delta'!M15,'Datos Protegidos'!$K15,PARTIDOS!N$8),0)</f>
        <v>0</v>
      </c>
      <c r="AE15" s="7">
        <v>0</v>
      </c>
      <c r="AF15" s="19">
        <f>+IF('Datos delta'!O15&gt;0,REASIGN('Datos delta'!O15,'Datos Protegidos'!$K15,PARTIDOS!P$8),0)</f>
        <v>0</v>
      </c>
      <c r="AG15" s="7">
        <v>0</v>
      </c>
      <c r="AH15" s="19">
        <f>+IF('Datos delta'!Q15&gt;0,REASIGN('Datos delta'!Q15,'Datos Protegidos'!$K15,PARTIDOS!R$8),0)</f>
        <v>0</v>
      </c>
      <c r="AI15" s="7">
        <v>0</v>
      </c>
      <c r="AJ15" s="19">
        <f>+IF('Datos delta'!S15&gt;0,REASIGN('Datos delta'!S15,'Datos Protegidos'!$K15,PARTIDOS!T$8),0)</f>
        <v>0</v>
      </c>
      <c r="AK15" s="7">
        <v>0</v>
      </c>
      <c r="AL15" s="19">
        <f>+IF('Datos delta'!U15&gt;0,REASIGN('Datos delta'!U15,'Datos Protegidos'!$K15,PARTIDOS!V$8),0)</f>
        <v>8808</v>
      </c>
      <c r="AM15" s="7">
        <v>0</v>
      </c>
      <c r="AN15" s="19">
        <f>+IF('Datos delta'!W15&gt;0,REASIGN('Datos delta'!W15,'Datos Protegidos'!$K15,PARTIDOS!X$8),0)</f>
        <v>0</v>
      </c>
      <c r="AO15" s="7">
        <v>0</v>
      </c>
      <c r="AP15" s="19">
        <f>+IF('Datos delta'!Y15&gt;0,REASIGN('Datos delta'!Y15,'Datos Protegidos'!$K15,PARTIDOS!Z$8),0)</f>
        <v>0</v>
      </c>
      <c r="AQ15" s="7">
        <v>0</v>
      </c>
      <c r="AR15" s="19">
        <f>+IF('Datos delta'!AA15&gt;0,REASIGN('Datos delta'!AA15,'Datos Protegidos'!$K15,PARTIDOS!AB$8),0)</f>
        <v>46827</v>
      </c>
      <c r="AS15" s="7">
        <v>1</v>
      </c>
      <c r="AT15" s="19">
        <f>+IF('Datos delta'!AC15&gt;0,REASIGN('Datos delta'!AC15,'Datos Protegidos'!$K15,PARTIDOS!AD$8),0)</f>
        <v>0</v>
      </c>
      <c r="AU15" s="7">
        <v>0</v>
      </c>
      <c r="AV15" s="19">
        <f>+IF('Datos delta'!AE15&gt;0,REASIGN('Datos delta'!AE15,'Datos Protegidos'!$K15,PARTIDOS!AF$8),0)</f>
        <v>0</v>
      </c>
      <c r="AW15" s="7">
        <v>0</v>
      </c>
      <c r="AX15" s="19">
        <f>+IF('Datos delta'!AG15&gt;0,REASIGN('Datos delta'!AG15,'Datos Protegidos'!$K15,PARTIDOS!AH$8),0)</f>
        <v>0</v>
      </c>
      <c r="AY15" s="7">
        <v>0</v>
      </c>
      <c r="AZ15" s="19">
        <f>+IF('Datos delta'!AI15&gt;0,REASIGN('Datos delta'!AI15,'Datos Protegidos'!$K15,PARTIDOS!AJ$8),0)</f>
        <v>0</v>
      </c>
      <c r="BA15" s="7">
        <v>0</v>
      </c>
      <c r="BB15" s="19">
        <f>+IF('Datos delta'!AK15&gt;0,REASIGN('Datos delta'!AK15,'Datos Protegidos'!$K15,PARTIDOS!AL$8),0)</f>
        <v>0</v>
      </c>
      <c r="BC15" s="7">
        <v>0</v>
      </c>
      <c r="BD15" s="19">
        <f>+IF('Datos delta'!AM15&gt;0,REASIGN('Datos delta'!AM15,'Datos Protegidos'!$K15,PARTIDOS!AN$8),0)</f>
        <v>5767</v>
      </c>
      <c r="BE15" s="7">
        <v>0</v>
      </c>
      <c r="BF15" s="19">
        <f>+IF('Datos delta'!AO15&gt;0,REASIGN('Datos delta'!AO15,'Datos Protegidos'!$K15,PARTIDOS!AP$8),0)</f>
        <v>0</v>
      </c>
      <c r="BG15" s="7">
        <v>0</v>
      </c>
      <c r="BH15" s="19">
        <f>+IF('Datos delta'!AQ15&gt;0,REASIGN('Datos delta'!AQ15,'Datos Protegidos'!$K15,PARTIDOS!AR$8),0)</f>
        <v>502</v>
      </c>
      <c r="BI15" s="7">
        <v>0</v>
      </c>
      <c r="BJ15" s="19">
        <f>+IF('Datos delta'!AS15&gt;0,REASIGN('Datos delta'!AS15,'Datos Protegidos'!$K15,PARTIDOS!AT$8),0)</f>
        <v>549</v>
      </c>
      <c r="BK15" s="7">
        <v>0</v>
      </c>
      <c r="BL15" s="19">
        <f>+IF('Datos delta'!AU15&gt;0,REASIGN('Datos delta'!AU15,'Datos Protegidos'!$K15,PARTIDOS!AV$8),0)</f>
        <v>0</v>
      </c>
      <c r="BM15" s="7">
        <v>0</v>
      </c>
      <c r="BN15" s="19">
        <f>+IF('Datos delta'!AW15&gt;0,REASIGN('Datos delta'!AW15,'Datos Protegidos'!$K15,PARTIDOS!AX$8),0)</f>
        <v>0</v>
      </c>
      <c r="BO15" s="7">
        <v>0</v>
      </c>
      <c r="BP15" s="19">
        <f>+IF('Datos delta'!AY15&gt;0,REASIGN('Datos delta'!AY15,'Datos Protegidos'!$K15,PARTIDOS!AZ$8),0)</f>
        <v>0</v>
      </c>
      <c r="BQ15" s="7">
        <v>0</v>
      </c>
      <c r="BR15" s="19">
        <f>+IF('Datos delta'!BA15&gt;0,REASIGN('Datos delta'!BA15,'Datos Protegidos'!$K15,PARTIDOS!BB$8),0)</f>
        <v>764</v>
      </c>
      <c r="BS15" s="7">
        <v>0</v>
      </c>
      <c r="BT15" s="19">
        <f>+IF('Datos delta'!BC15&gt;0,REASIGN('Datos delta'!BC15,'Datos Protegidos'!$K15,PARTIDOS!BD$8),0)</f>
        <v>0</v>
      </c>
      <c r="BU15" s="7">
        <v>0</v>
      </c>
      <c r="BV15" s="19">
        <f>+IF('Datos delta'!BE15&gt;0,REASIGN('Datos delta'!BE15,'Datos Protegidos'!$K15,PARTIDOS!BF$8),0)</f>
        <v>0</v>
      </c>
      <c r="BW15" s="7">
        <v>0</v>
      </c>
      <c r="BX15" s="19">
        <f>+IF('Datos delta'!BG15&gt;0,REASIGN('Datos delta'!BG15,'Datos Protegidos'!$K15,PARTIDOS!BH$8),0)</f>
        <v>0</v>
      </c>
      <c r="BY15" s="7">
        <v>0</v>
      </c>
      <c r="BZ15" s="19">
        <f>+IF('Datos delta'!BI15&gt;0,REASIGN('Datos delta'!BI15,'Datos Protegidos'!$K15,PARTIDOS!BJ$8),0)</f>
        <v>0</v>
      </c>
      <c r="CA15" s="7">
        <v>0</v>
      </c>
      <c r="CB15" s="19">
        <f>+IF('Datos delta'!BK15&gt;0,REASIGN('Datos delta'!BK15,'Datos Protegidos'!$K15,PARTIDOS!BL$8),0)</f>
        <v>0</v>
      </c>
      <c r="CC15" s="7">
        <v>0</v>
      </c>
      <c r="CD15" s="19">
        <f>+IF('Datos delta'!BM15&gt;0,REASIGN('Datos delta'!BM15,'Datos Protegidos'!$K15,PARTIDOS!BN$8),0)</f>
        <v>0</v>
      </c>
      <c r="CE15" s="7">
        <v>0</v>
      </c>
      <c r="CF15" s="19">
        <f>+IF('Datos delta'!BO15&gt;0,REASIGN('Datos delta'!BO15,'Datos Protegidos'!$K15,PARTIDOS!BP$8),0)</f>
        <v>0</v>
      </c>
      <c r="CG15" s="7">
        <v>0</v>
      </c>
      <c r="CH15" s="19">
        <f>+IF('Datos delta'!BQ15&gt;0,REASIGN('Datos delta'!BQ15,'Datos Protegidos'!$K15,PARTIDOS!BR$8),0)</f>
        <v>0</v>
      </c>
      <c r="CI15" s="7">
        <v>0</v>
      </c>
      <c r="CJ15" s="19">
        <f>+IF('Datos delta'!BS15&gt;0,REASIGN('Datos delta'!BS15,'Datos Protegidos'!$K15,PARTIDOS!BT$8),0)</f>
        <v>0</v>
      </c>
      <c r="CK15" s="7">
        <v>0</v>
      </c>
      <c r="CL15" s="19">
        <f>+IF('Datos delta'!BU15&gt;0,REASIGN('Datos delta'!BU15,'Datos Protegidos'!$K15,PARTIDOS!BV$8),0)</f>
        <v>1854</v>
      </c>
      <c r="CM15" s="7">
        <v>0</v>
      </c>
      <c r="CN15" s="19">
        <f>+IF('Datos delta'!BW15&gt;0,REASIGN('Datos delta'!BW15,'Datos Protegidos'!$K15,PARTIDOS!BX$8),0)</f>
        <v>274</v>
      </c>
      <c r="CO15" s="7">
        <v>0</v>
      </c>
      <c r="CP15" s="19">
        <f>+IF('Datos delta'!BY15&gt;0,REASIGN('Datos delta'!BY15,'Datos Protegidos'!$K15,PARTIDOS!BZ$8),0)</f>
        <v>0</v>
      </c>
      <c r="CQ15" s="7">
        <v>0</v>
      </c>
      <c r="CR15" s="19">
        <f>+IF('Datos delta'!CA15&gt;0,REASIGN('Datos delta'!CA15,'Datos Protegidos'!$K15,PARTIDOS!CB$8),0)</f>
        <v>0</v>
      </c>
      <c r="CS15" s="7">
        <v>0</v>
      </c>
      <c r="CT15" s="19">
        <f>+IF('Datos delta'!CC15&gt;0,REASIGN('Datos delta'!CC15,'Datos Protegidos'!$K15,PARTIDOS!CD$8),0)</f>
        <v>0</v>
      </c>
      <c r="CU15" s="7">
        <v>0</v>
      </c>
      <c r="CV15" s="19">
        <f>+IF('Datos delta'!CE15&gt;0,REASIGN('Datos delta'!CE15,'Datos Protegidos'!$K15,PARTIDOS!CF$8),0)</f>
        <v>0</v>
      </c>
      <c r="CW15" s="7">
        <v>0</v>
      </c>
      <c r="CX15" s="19">
        <f>+IF('Datos delta'!CG15&gt;0,REASIGN('Datos delta'!CG15,'Datos Protegidos'!$K15,PARTIDOS!CH$8),0)</f>
        <v>1104</v>
      </c>
      <c r="CY15" s="7">
        <v>0</v>
      </c>
      <c r="CZ15" s="19">
        <f>+IF('Datos delta'!CI15&gt;0,REASIGN('Datos delta'!CI15,'Datos Protegidos'!$K15,PARTIDOS!CJ$8),0)</f>
        <v>358</v>
      </c>
      <c r="DA15" s="7">
        <v>0</v>
      </c>
      <c r="DB15" s="19">
        <f>+IF('Datos delta'!CK15&gt;0,REASIGN('Datos delta'!CK15,'Datos Protegidos'!$K15,PARTIDOS!CL$8),0)</f>
        <v>0</v>
      </c>
      <c r="DC15" s="7">
        <v>0</v>
      </c>
      <c r="DD15" s="19">
        <f>+IF('Datos delta'!CM15&gt;0,REASIGN('Datos delta'!CM15,'Datos Protegidos'!$K15,PARTIDOS!CN$8),0)</f>
        <v>0</v>
      </c>
      <c r="DE15" s="7">
        <v>0</v>
      </c>
      <c r="DF15" s="19">
        <f>+IF('Datos delta'!CO15&gt;0,REASIGN('Datos delta'!CO15,'Datos Protegidos'!$K15,PARTIDOS!CP$8),0)</f>
        <v>0</v>
      </c>
      <c r="DG15" s="7">
        <v>0</v>
      </c>
      <c r="DH15" s="19">
        <f>+IF('Datos delta'!CQ15&gt;0,REASIGN('Datos delta'!CQ15,'Datos Protegidos'!$K15,PARTIDOS!CR$8),0)</f>
        <v>709</v>
      </c>
      <c r="DI15" s="7">
        <v>0</v>
      </c>
      <c r="DJ15" s="19">
        <f>+IF('Datos delta'!CS15&gt;0,REASIGN('Datos delta'!CS15,'Datos Protegidos'!$K15,PARTIDOS!CT$8),0)</f>
        <v>0</v>
      </c>
      <c r="DK15" s="7">
        <v>0</v>
      </c>
      <c r="DL15" s="19">
        <f>+IF('Datos delta'!CU15&gt;0,REASIGN('Datos delta'!CU15,'Datos Protegidos'!$K15,PARTIDOS!CV$8),0)</f>
        <v>0</v>
      </c>
      <c r="DM15" s="7">
        <v>0</v>
      </c>
      <c r="DN15" s="19">
        <f>+IF('Datos delta'!CW15&gt;0,REASIGN('Datos delta'!CW15,'Datos Protegidos'!$K15,PARTIDOS!CX$8),0)</f>
        <v>0</v>
      </c>
      <c r="DO15" s="7">
        <v>0</v>
      </c>
      <c r="DP15" s="19">
        <f>+IF('Datos delta'!CY15&gt;0,REASIGN('Datos delta'!CY15,'Datos Protegidos'!$K15,PARTIDOS!CZ$8),0)</f>
        <v>0</v>
      </c>
      <c r="DQ15" s="7">
        <v>0</v>
      </c>
      <c r="DR15" s="19">
        <f>+IF('Datos delta'!DA15&gt;0,REASIGN('Datos delta'!DA15,'Datos Protegidos'!$K15,PARTIDOS!DB$8),0)</f>
        <v>0</v>
      </c>
      <c r="DS15" s="7">
        <v>0</v>
      </c>
      <c r="DT15" s="19">
        <f>+IF('Datos delta'!DC15&gt;0,REASIGN('Datos delta'!DC15,'Datos Protegidos'!$K15,PARTIDOS!DD$8),0)</f>
        <v>0</v>
      </c>
      <c r="DU15" s="7">
        <v>0</v>
      </c>
      <c r="DV15" s="19">
        <f>+IF('Datos delta'!DE15&gt;0,REASIGN('Datos delta'!DE15,'Datos Protegidos'!$K15,PARTIDOS!DF$8),0)</f>
        <v>0</v>
      </c>
      <c r="DW15" s="7">
        <v>0</v>
      </c>
      <c r="DX15" s="19">
        <f>+IF('Datos delta'!DG15&gt;0,REASIGN('Datos delta'!DG15,'Datos Protegidos'!$K15,PARTIDOS!DH$8),0)</f>
        <v>0</v>
      </c>
      <c r="DY15" s="7">
        <v>0</v>
      </c>
      <c r="DZ15" s="19">
        <f>+IF('Datos delta'!DI15&gt;0,REASIGN('Datos delta'!DI15,'Datos Protegidos'!$K15,PARTIDOS!DJ$8),0)</f>
        <v>0</v>
      </c>
      <c r="EA15" s="7">
        <v>0</v>
      </c>
      <c r="EB15" s="19">
        <f>+IF('Datos delta'!DK15&gt;0,REASIGN('Datos delta'!DK15,'Datos Protegidos'!$K15,PARTIDOS!DL$8),0)</f>
        <v>0</v>
      </c>
      <c r="EC15" s="7">
        <v>0</v>
      </c>
      <c r="ED15" s="19">
        <f>+IF('Datos delta'!DM15&gt;0,REASIGN('Datos delta'!DM15,'Datos Protegidos'!$K15,PARTIDOS!DN$8),0)</f>
        <v>0</v>
      </c>
      <c r="EE15" s="7">
        <v>0</v>
      </c>
      <c r="EF15" s="19">
        <f>+IF('Datos delta'!DO15&gt;0,REASIGN('Datos delta'!DO15,'Datos Protegidos'!$K15,PARTIDOS!DP$8),0)</f>
        <v>0</v>
      </c>
      <c r="EG15" s="7">
        <v>0</v>
      </c>
      <c r="EH15" s="19">
        <f>+IF('Datos delta'!DQ15&gt;0,REASIGN('Datos delta'!DQ15,'Datos Protegidos'!$K15,PARTIDOS!DR$8),0)</f>
        <v>0</v>
      </c>
      <c r="EI15" s="7">
        <v>0</v>
      </c>
      <c r="EJ15" s="19">
        <f>+IF('Datos delta'!DS15&gt;0,REASIGN('Datos delta'!DS15,'Datos Protegidos'!$K15,PARTIDOS!DT$8),0)</f>
        <v>0</v>
      </c>
      <c r="EK15" s="7">
        <v>0</v>
      </c>
      <c r="EL15" s="19">
        <f>+IF('Datos delta'!DU15&gt;0,REASIGN('Datos delta'!DU15,'Datos Protegidos'!$K15,PARTIDOS!DV$8),0)</f>
        <v>0</v>
      </c>
      <c r="EM15" s="7">
        <v>0</v>
      </c>
      <c r="EN15" s="19">
        <f>+IF('Datos delta'!DW15&gt;0,REASIGN('Datos delta'!DW15,'Datos Protegidos'!$K15,PARTIDOS!DX$8),0)</f>
        <v>0</v>
      </c>
      <c r="EO15" s="7">
        <v>0</v>
      </c>
      <c r="EP15" s="19">
        <f>+IF('Datos delta'!DY15&gt;0,REASIGN('Datos delta'!DY15,'Datos Protegidos'!$K15,PARTIDOS!DZ$8),0)</f>
        <v>0</v>
      </c>
      <c r="EQ15" s="7">
        <v>0</v>
      </c>
      <c r="ER15" s="19">
        <f>+IF('Datos delta'!EA15&gt;0,REASIGN('Datos delta'!EA15,'Datos Protegidos'!$K15,PARTIDOS!EB$8),0)</f>
        <v>0</v>
      </c>
      <c r="ES15" s="7">
        <v>0</v>
      </c>
      <c r="ET15" s="19">
        <f>+IF('Datos delta'!EC15&gt;0,REASIGN('Datos delta'!EC15,'Datos Protegidos'!$K15,PARTIDOS!ED$8),0)</f>
        <v>0</v>
      </c>
      <c r="EU15" s="7">
        <v>0</v>
      </c>
    </row>
    <row r="16" spans="1:151" x14ac:dyDescent="0.25">
      <c r="A16" s="7" t="s">
        <v>33</v>
      </c>
      <c r="B16" s="8">
        <v>38</v>
      </c>
      <c r="C16" s="7" t="s">
        <v>35</v>
      </c>
      <c r="D16" s="9">
        <v>1018510</v>
      </c>
      <c r="E16" s="1">
        <v>1307</v>
      </c>
      <c r="F16" s="1">
        <v>755614</v>
      </c>
      <c r="G16" s="1">
        <v>99524</v>
      </c>
      <c r="H16" s="1">
        <v>855138</v>
      </c>
      <c r="I16" s="1"/>
      <c r="J16" s="1"/>
      <c r="K16" s="1"/>
      <c r="L16" s="3">
        <f t="shared" si="1"/>
        <v>476909</v>
      </c>
      <c r="M16" s="3">
        <f t="shared" si="2"/>
        <v>472466</v>
      </c>
      <c r="N16" s="6">
        <f t="shared" si="0"/>
        <v>469086</v>
      </c>
      <c r="O16" s="1">
        <v>3380</v>
      </c>
      <c r="P16" s="1">
        <v>4443</v>
      </c>
      <c r="Q16" s="6">
        <f t="shared" si="3"/>
        <v>7</v>
      </c>
      <c r="R16" s="19">
        <f>+IF('Datos delta'!A16&gt;0,REASIGN('Datos delta'!A16,'Datos Protegidos'!$K16,PARTIDOS!B$8),0)</f>
        <v>141440</v>
      </c>
      <c r="S16" s="7">
        <v>2</v>
      </c>
      <c r="T16" s="19">
        <f>+IF('Datos delta'!C16&gt;0,REASIGN('Datos delta'!C16,'Datos Protegidos'!$K16,PARTIDOS!D$8),0)</f>
        <v>113685</v>
      </c>
      <c r="U16" s="7">
        <v>2</v>
      </c>
      <c r="V16" s="19">
        <f>+IF('Datos delta'!E16&gt;0,REASIGN('Datos delta'!E16,'Datos Protegidos'!$K16,PARTIDOS!F$8),0)</f>
        <v>54560</v>
      </c>
      <c r="W16" s="7">
        <v>1</v>
      </c>
      <c r="X16" s="19">
        <f>+IF('Datos delta'!G16&gt;0,REASIGN('Datos delta'!G16,'Datos Protegidos'!$K16,PARTIDOS!H$8),0)</f>
        <v>67843</v>
      </c>
      <c r="Y16" s="7">
        <v>1</v>
      </c>
      <c r="Z16" s="19">
        <f>+IF('Datos delta'!I16&gt;0,REASIGN('Datos delta'!I16,'Datos Protegidos'!$K16,PARTIDOS!J$8),0)</f>
        <v>0</v>
      </c>
      <c r="AA16" s="7">
        <v>0</v>
      </c>
      <c r="AB16" s="19">
        <f>+IF('Datos delta'!K16&gt;0,REASIGN('Datos delta'!K16,'Datos Protegidos'!$K16,PARTIDOS!L$8),0)</f>
        <v>0</v>
      </c>
      <c r="AC16" s="7">
        <v>0</v>
      </c>
      <c r="AD16" s="19">
        <f>+IF('Datos delta'!M16&gt;0,REASIGN('Datos delta'!M16,'Datos Protegidos'!$K16,PARTIDOS!N$8),0)</f>
        <v>0</v>
      </c>
      <c r="AE16" s="7">
        <v>0</v>
      </c>
      <c r="AF16" s="19">
        <f>+IF('Datos delta'!O16&gt;0,REASIGN('Datos delta'!O16,'Datos Protegidos'!$K16,PARTIDOS!P$8),0)</f>
        <v>0</v>
      </c>
      <c r="AG16" s="7">
        <v>0</v>
      </c>
      <c r="AH16" s="19">
        <f>+IF('Datos delta'!Q16&gt;0,REASIGN('Datos delta'!Q16,'Datos Protegidos'!$K16,PARTIDOS!R$8),0)</f>
        <v>0</v>
      </c>
      <c r="AI16" s="7">
        <v>0</v>
      </c>
      <c r="AJ16" s="19">
        <f>+IF('Datos delta'!S16&gt;0,REASIGN('Datos delta'!S16,'Datos Protegidos'!$K16,PARTIDOS!T$8),0)</f>
        <v>0</v>
      </c>
      <c r="AK16" s="7">
        <v>0</v>
      </c>
      <c r="AL16" s="19">
        <f>+IF('Datos delta'!U16&gt;0,REASIGN('Datos delta'!U16,'Datos Protegidos'!$K16,PARTIDOS!V$8),0)</f>
        <v>6912</v>
      </c>
      <c r="AM16" s="7">
        <v>0</v>
      </c>
      <c r="AN16" s="19">
        <f>+IF('Datos delta'!W16&gt;0,REASIGN('Datos delta'!W16,'Datos Protegidos'!$K16,PARTIDOS!X$8),0)</f>
        <v>0</v>
      </c>
      <c r="AO16" s="7">
        <v>0</v>
      </c>
      <c r="AP16" s="19">
        <f>+IF('Datos delta'!Y16&gt;0,REASIGN('Datos delta'!Y16,'Datos Protegidos'!$K16,PARTIDOS!Z$8),0)</f>
        <v>0</v>
      </c>
      <c r="AQ16" s="7">
        <v>0</v>
      </c>
      <c r="AR16" s="19">
        <f>+IF('Datos delta'!AA16&gt;0,REASIGN('Datos delta'!AA16,'Datos Protegidos'!$K16,PARTIDOS!AB$8),0)</f>
        <v>74354</v>
      </c>
      <c r="AS16" s="7">
        <v>1</v>
      </c>
      <c r="AT16" s="19">
        <f>+IF('Datos delta'!AC16&gt;0,REASIGN('Datos delta'!AC16,'Datos Protegidos'!$K16,PARTIDOS!AD$8),0)</f>
        <v>0</v>
      </c>
      <c r="AU16" s="7">
        <v>0</v>
      </c>
      <c r="AV16" s="19">
        <f>+IF('Datos delta'!AE16&gt;0,REASIGN('Datos delta'!AE16,'Datos Protegidos'!$K16,PARTIDOS!AF$8),0)</f>
        <v>0</v>
      </c>
      <c r="AW16" s="7">
        <v>0</v>
      </c>
      <c r="AX16" s="19">
        <f>+IF('Datos delta'!AG16&gt;0,REASIGN('Datos delta'!AG16,'Datos Protegidos'!$K16,PARTIDOS!AH$8),0)</f>
        <v>0</v>
      </c>
      <c r="AY16" s="7">
        <v>0</v>
      </c>
      <c r="AZ16" s="19">
        <f>+IF('Datos delta'!AI16&gt;0,REASIGN('Datos delta'!AI16,'Datos Protegidos'!$K16,PARTIDOS!AJ$8),0)</f>
        <v>0</v>
      </c>
      <c r="BA16" s="7">
        <v>0</v>
      </c>
      <c r="BB16" s="19">
        <f>+IF('Datos delta'!AK16&gt;0,REASIGN('Datos delta'!AK16,'Datos Protegidos'!$K16,PARTIDOS!AL$8),0)</f>
        <v>0</v>
      </c>
      <c r="BC16" s="7">
        <v>0</v>
      </c>
      <c r="BD16" s="19">
        <f>+IF('Datos delta'!AM16&gt;0,REASIGN('Datos delta'!AM16,'Datos Protegidos'!$K16,PARTIDOS!AN$8),0)</f>
        <v>6119</v>
      </c>
      <c r="BE16" s="7">
        <v>0</v>
      </c>
      <c r="BF16" s="19">
        <f>+IF('Datos delta'!AO16&gt;0,REASIGN('Datos delta'!AO16,'Datos Protegidos'!$K16,PARTIDOS!AP$8),0)</f>
        <v>0</v>
      </c>
      <c r="BG16" s="7">
        <v>0</v>
      </c>
      <c r="BH16" s="19">
        <f>+IF('Datos delta'!AQ16&gt;0,REASIGN('Datos delta'!AQ16,'Datos Protegidos'!$K16,PARTIDOS!AR$8),0)</f>
        <v>486</v>
      </c>
      <c r="BI16" s="7">
        <v>0</v>
      </c>
      <c r="BJ16" s="19">
        <f>+IF('Datos delta'!AS16&gt;0,REASIGN('Datos delta'!AS16,'Datos Protegidos'!$K16,PARTIDOS!AT$8),0)</f>
        <v>317</v>
      </c>
      <c r="BK16" s="7">
        <v>0</v>
      </c>
      <c r="BL16" s="19">
        <f>+IF('Datos delta'!AU16&gt;0,REASIGN('Datos delta'!AU16,'Datos Protegidos'!$K16,PARTIDOS!AV$8),0)</f>
        <v>0</v>
      </c>
      <c r="BM16" s="7">
        <v>0</v>
      </c>
      <c r="BN16" s="19">
        <f>+IF('Datos delta'!AW16&gt;0,REASIGN('Datos delta'!AW16,'Datos Protegidos'!$K16,PARTIDOS!AX$8),0)</f>
        <v>0</v>
      </c>
      <c r="BO16" s="7">
        <v>0</v>
      </c>
      <c r="BP16" s="19">
        <f>+IF('Datos delta'!AY16&gt;0,REASIGN('Datos delta'!AY16,'Datos Protegidos'!$K16,PARTIDOS!AZ$8),0)</f>
        <v>0</v>
      </c>
      <c r="BQ16" s="7">
        <v>0</v>
      </c>
      <c r="BR16" s="19">
        <f>+IF('Datos delta'!BA16&gt;0,REASIGN('Datos delta'!BA16,'Datos Protegidos'!$K16,PARTIDOS!BB$8),0)</f>
        <v>487</v>
      </c>
      <c r="BS16" s="7">
        <v>0</v>
      </c>
      <c r="BT16" s="19">
        <f>+IF('Datos delta'!BC16&gt;0,REASIGN('Datos delta'!BC16,'Datos Protegidos'!$K16,PARTIDOS!BD$8),0)</f>
        <v>0</v>
      </c>
      <c r="BU16" s="7">
        <v>0</v>
      </c>
      <c r="BV16" s="19">
        <f>+IF('Datos delta'!BE16&gt;0,REASIGN('Datos delta'!BE16,'Datos Protegidos'!$K16,PARTIDOS!BF$8),0)</f>
        <v>0</v>
      </c>
      <c r="BW16" s="7">
        <v>0</v>
      </c>
      <c r="BX16" s="19">
        <f>+IF('Datos delta'!BG16&gt;0,REASIGN('Datos delta'!BG16,'Datos Protegidos'!$K16,PARTIDOS!BH$8),0)</f>
        <v>0</v>
      </c>
      <c r="BY16" s="7">
        <v>0</v>
      </c>
      <c r="BZ16" s="19">
        <f>+IF('Datos delta'!BI16&gt;0,REASIGN('Datos delta'!BI16,'Datos Protegidos'!$K16,PARTIDOS!BJ$8),0)</f>
        <v>0</v>
      </c>
      <c r="CA16" s="7">
        <v>0</v>
      </c>
      <c r="CB16" s="19">
        <f>+IF('Datos delta'!BK16&gt;0,REASIGN('Datos delta'!BK16,'Datos Protegidos'!$K16,PARTIDOS!BL$8),0)</f>
        <v>0</v>
      </c>
      <c r="CC16" s="7">
        <v>0</v>
      </c>
      <c r="CD16" s="19">
        <f>+IF('Datos delta'!BM16&gt;0,REASIGN('Datos delta'!BM16,'Datos Protegidos'!$K16,PARTIDOS!BN$8),0)</f>
        <v>415</v>
      </c>
      <c r="CE16" s="7">
        <v>0</v>
      </c>
      <c r="CF16" s="19">
        <f>+IF('Datos delta'!BO16&gt;0,REASIGN('Datos delta'!BO16,'Datos Protegidos'!$K16,PARTIDOS!BP$8),0)</f>
        <v>0</v>
      </c>
      <c r="CG16" s="7">
        <v>0</v>
      </c>
      <c r="CH16" s="19">
        <f>+IF('Datos delta'!BQ16&gt;0,REASIGN('Datos delta'!BQ16,'Datos Protegidos'!$K16,PARTIDOS!BR$8),0)</f>
        <v>0</v>
      </c>
      <c r="CI16" s="7">
        <v>0</v>
      </c>
      <c r="CJ16" s="19">
        <f>+IF('Datos delta'!BS16&gt;0,REASIGN('Datos delta'!BS16,'Datos Protegidos'!$K16,PARTIDOS!BT$8),0)</f>
        <v>0</v>
      </c>
      <c r="CK16" s="7">
        <v>0</v>
      </c>
      <c r="CL16" s="19">
        <f>+IF('Datos delta'!BU16&gt;0,REASIGN('Datos delta'!BU16,'Datos Protegidos'!$K16,PARTIDOS!BV$8),0)</f>
        <v>1315</v>
      </c>
      <c r="CM16" s="7">
        <v>0</v>
      </c>
      <c r="CN16" s="19">
        <f>+IF('Datos delta'!BW16&gt;0,REASIGN('Datos delta'!BW16,'Datos Protegidos'!$K16,PARTIDOS!BX$8),0)</f>
        <v>0</v>
      </c>
      <c r="CO16" s="7">
        <v>0</v>
      </c>
      <c r="CP16" s="19">
        <f>+IF('Datos delta'!BY16&gt;0,REASIGN('Datos delta'!BY16,'Datos Protegidos'!$K16,PARTIDOS!BZ$8),0)</f>
        <v>0</v>
      </c>
      <c r="CQ16" s="7">
        <v>0</v>
      </c>
      <c r="CR16" s="19">
        <f>+IF('Datos delta'!CA16&gt;0,REASIGN('Datos delta'!CA16,'Datos Protegidos'!$K16,PARTIDOS!CB$8),0)</f>
        <v>0</v>
      </c>
      <c r="CS16" s="7">
        <v>0</v>
      </c>
      <c r="CT16" s="19">
        <f>+IF('Datos delta'!CC16&gt;0,REASIGN('Datos delta'!CC16,'Datos Protegidos'!$K16,PARTIDOS!CD$8),0)</f>
        <v>0</v>
      </c>
      <c r="CU16" s="7">
        <v>0</v>
      </c>
      <c r="CV16" s="19">
        <f>+IF('Datos delta'!CE16&gt;0,REASIGN('Datos delta'!CE16,'Datos Protegidos'!$K16,PARTIDOS!CF$8),0)</f>
        <v>0</v>
      </c>
      <c r="CW16" s="7">
        <v>0</v>
      </c>
      <c r="CX16" s="19">
        <f>+IF('Datos delta'!CG16&gt;0,REASIGN('Datos delta'!CG16,'Datos Protegidos'!$K16,PARTIDOS!CH$8),0)</f>
        <v>917</v>
      </c>
      <c r="CY16" s="7">
        <v>0</v>
      </c>
      <c r="CZ16" s="19">
        <f>+IF('Datos delta'!CI16&gt;0,REASIGN('Datos delta'!CI16,'Datos Protegidos'!$K16,PARTIDOS!CJ$8),0)</f>
        <v>236</v>
      </c>
      <c r="DA16" s="7">
        <v>0</v>
      </c>
      <c r="DB16" s="19">
        <f>+IF('Datos delta'!CK16&gt;0,REASIGN('Datos delta'!CK16,'Datos Protegidos'!$K16,PARTIDOS!CL$8),0)</f>
        <v>0</v>
      </c>
      <c r="DC16" s="7">
        <v>0</v>
      </c>
      <c r="DD16" s="19">
        <f>+IF('Datos delta'!CM16&gt;0,REASIGN('Datos delta'!CM16,'Datos Protegidos'!$K16,PARTIDOS!CN$8),0)</f>
        <v>0</v>
      </c>
      <c r="DE16" s="7">
        <v>0</v>
      </c>
      <c r="DF16" s="19">
        <f>+IF('Datos delta'!CO16&gt;0,REASIGN('Datos delta'!CO16,'Datos Protegidos'!$K16,PARTIDOS!CP$8),0)</f>
        <v>0</v>
      </c>
      <c r="DG16" s="7">
        <v>0</v>
      </c>
      <c r="DH16" s="19">
        <f>+IF('Datos delta'!CQ16&gt;0,REASIGN('Datos delta'!CQ16,'Datos Protegidos'!$K16,PARTIDOS!CR$8),0)</f>
        <v>0</v>
      </c>
      <c r="DI16" s="7">
        <v>0</v>
      </c>
      <c r="DJ16" s="19">
        <f>+IF('Datos delta'!CS16&gt;0,REASIGN('Datos delta'!CS16,'Datos Protegidos'!$K16,PARTIDOS!CT$8),0)</f>
        <v>0</v>
      </c>
      <c r="DK16" s="7">
        <v>0</v>
      </c>
      <c r="DL16" s="19">
        <f>+IF('Datos delta'!CU16&gt;0,REASIGN('Datos delta'!CU16,'Datos Protegidos'!$K16,PARTIDOS!CV$8),0)</f>
        <v>0</v>
      </c>
      <c r="DM16" s="7">
        <v>0</v>
      </c>
      <c r="DN16" s="19">
        <f>+IF('Datos delta'!CW16&gt;0,REASIGN('Datos delta'!CW16,'Datos Protegidos'!$K16,PARTIDOS!CX$8),0)</f>
        <v>0</v>
      </c>
      <c r="DO16" s="7">
        <v>0</v>
      </c>
      <c r="DP16" s="19">
        <f>+IF('Datos delta'!CY16&gt;0,REASIGN('Datos delta'!CY16,'Datos Protegidos'!$K16,PARTIDOS!CZ$8),0)</f>
        <v>0</v>
      </c>
      <c r="DQ16" s="7">
        <v>0</v>
      </c>
      <c r="DR16" s="19">
        <f>+IF('Datos delta'!DA16&gt;0,REASIGN('Datos delta'!DA16,'Datos Protegidos'!$K16,PARTIDOS!DB$8),0)</f>
        <v>0</v>
      </c>
      <c r="DS16" s="7">
        <v>0</v>
      </c>
      <c r="DT16" s="19">
        <f>+IF('Datos delta'!DC16&gt;0,REASIGN('Datos delta'!DC16,'Datos Protegidos'!$K16,PARTIDOS!DD$8),0)</f>
        <v>0</v>
      </c>
      <c r="DU16" s="7">
        <v>0</v>
      </c>
      <c r="DV16" s="19">
        <f>+IF('Datos delta'!DE16&gt;0,REASIGN('Datos delta'!DE16,'Datos Protegidos'!$K16,PARTIDOS!DF$8),0)</f>
        <v>0</v>
      </c>
      <c r="DW16" s="7">
        <v>0</v>
      </c>
      <c r="DX16" s="19">
        <f>+IF('Datos delta'!DG16&gt;0,REASIGN('Datos delta'!DG16,'Datos Protegidos'!$K16,PARTIDOS!DH$8),0)</f>
        <v>0</v>
      </c>
      <c r="DY16" s="7">
        <v>0</v>
      </c>
      <c r="DZ16" s="19">
        <f>+IF('Datos delta'!DI16&gt;0,REASIGN('Datos delta'!DI16,'Datos Protegidos'!$K16,PARTIDOS!DJ$8),0)</f>
        <v>0</v>
      </c>
      <c r="EA16" s="7">
        <v>0</v>
      </c>
      <c r="EB16" s="19">
        <f>+IF('Datos delta'!DK16&gt;0,REASIGN('Datos delta'!DK16,'Datos Protegidos'!$K16,PARTIDOS!DL$8),0)</f>
        <v>0</v>
      </c>
      <c r="EC16" s="7">
        <v>0</v>
      </c>
      <c r="ED16" s="19">
        <f>+IF('Datos delta'!DM16&gt;0,REASIGN('Datos delta'!DM16,'Datos Protegidos'!$K16,PARTIDOS!DN$8),0)</f>
        <v>0</v>
      </c>
      <c r="EE16" s="7">
        <v>0</v>
      </c>
      <c r="EF16" s="19">
        <f>+IF('Datos delta'!DO16&gt;0,REASIGN('Datos delta'!DO16,'Datos Protegidos'!$K16,PARTIDOS!DP$8),0)</f>
        <v>0</v>
      </c>
      <c r="EG16" s="7">
        <v>0</v>
      </c>
      <c r="EH16" s="19">
        <f>+IF('Datos delta'!DQ16&gt;0,REASIGN('Datos delta'!DQ16,'Datos Protegidos'!$K16,PARTIDOS!DR$8),0)</f>
        <v>0</v>
      </c>
      <c r="EI16" s="7">
        <v>0</v>
      </c>
      <c r="EJ16" s="19">
        <f>+IF('Datos delta'!DS16&gt;0,REASIGN('Datos delta'!DS16,'Datos Protegidos'!$K16,PARTIDOS!DT$8),0)</f>
        <v>0</v>
      </c>
      <c r="EK16" s="7">
        <v>0</v>
      </c>
      <c r="EL16" s="19">
        <f>+IF('Datos delta'!DU16&gt;0,REASIGN('Datos delta'!DU16,'Datos Protegidos'!$K16,PARTIDOS!DV$8),0)</f>
        <v>0</v>
      </c>
      <c r="EM16" s="7">
        <v>0</v>
      </c>
      <c r="EN16" s="19">
        <f>+IF('Datos delta'!DW16&gt;0,REASIGN('Datos delta'!DW16,'Datos Protegidos'!$K16,PARTIDOS!DX$8),0)</f>
        <v>0</v>
      </c>
      <c r="EO16" s="7">
        <v>0</v>
      </c>
      <c r="EP16" s="19">
        <f>+IF('Datos delta'!DY16&gt;0,REASIGN('Datos delta'!DY16,'Datos Protegidos'!$K16,PARTIDOS!DZ$8),0)</f>
        <v>0</v>
      </c>
      <c r="EQ16" s="7">
        <v>0</v>
      </c>
      <c r="ER16" s="19">
        <f>+IF('Datos delta'!EA16&gt;0,REASIGN('Datos delta'!EA16,'Datos Protegidos'!$K16,PARTIDOS!EB$8),0)</f>
        <v>0</v>
      </c>
      <c r="ES16" s="7">
        <v>0</v>
      </c>
      <c r="ET16" s="19">
        <f>+IF('Datos delta'!EC16&gt;0,REASIGN('Datos delta'!EC16,'Datos Protegidos'!$K16,PARTIDOS!ED$8),0)</f>
        <v>0</v>
      </c>
      <c r="EU16" s="7">
        <v>0</v>
      </c>
    </row>
    <row r="17" spans="1:151" x14ac:dyDescent="0.25">
      <c r="A17" s="7" t="s">
        <v>36</v>
      </c>
      <c r="B17" s="8">
        <v>39</v>
      </c>
      <c r="C17" s="7" t="s">
        <v>36</v>
      </c>
      <c r="D17" s="9">
        <v>580229</v>
      </c>
      <c r="E17">
        <v>741</v>
      </c>
      <c r="F17" s="1">
        <v>462660</v>
      </c>
      <c r="G17" s="1">
        <v>39016</v>
      </c>
      <c r="H17" s="1">
        <v>501676</v>
      </c>
      <c r="I17" s="1"/>
      <c r="J17" s="1"/>
      <c r="K17" s="1"/>
      <c r="L17" s="3">
        <f t="shared" si="1"/>
        <v>335809</v>
      </c>
      <c r="M17" s="3">
        <f t="shared" si="2"/>
        <v>333077</v>
      </c>
      <c r="N17" s="6">
        <f t="shared" si="0"/>
        <v>331410</v>
      </c>
      <c r="O17" s="1">
        <v>1667</v>
      </c>
      <c r="P17" s="1">
        <v>2732</v>
      </c>
      <c r="Q17" s="6">
        <f t="shared" si="3"/>
        <v>5</v>
      </c>
      <c r="R17" s="19">
        <f>+IF('Datos delta'!A17&gt;0,REASIGN('Datos delta'!A17,'Datos Protegidos'!$K17,PARTIDOS!B$8),0)</f>
        <v>81389</v>
      </c>
      <c r="S17" s="7">
        <v>1</v>
      </c>
      <c r="T17" s="19">
        <f>+IF('Datos delta'!C17&gt;0,REASIGN('Datos delta'!C17,'Datos Protegidos'!$K17,PARTIDOS!D$8),0)</f>
        <v>98761</v>
      </c>
      <c r="U17" s="7">
        <v>2</v>
      </c>
      <c r="V17" s="19">
        <f>+IF('Datos delta'!E17&gt;0,REASIGN('Datos delta'!E17,'Datos Protegidos'!$K17,PARTIDOS!F$8),0)</f>
        <v>49803</v>
      </c>
      <c r="W17" s="7">
        <v>1</v>
      </c>
      <c r="X17" s="19">
        <f>+IF('Datos delta'!G17&gt;0,REASIGN('Datos delta'!G17,'Datos Protegidos'!$K17,PARTIDOS!H$8),0)</f>
        <v>29794</v>
      </c>
      <c r="Y17" s="7">
        <v>0</v>
      </c>
      <c r="Z17" s="19">
        <f>+IF('Datos delta'!I17&gt;0,REASIGN('Datos delta'!I17,'Datos Protegidos'!$K17,PARTIDOS!J$8),0)</f>
        <v>0</v>
      </c>
      <c r="AA17" s="7">
        <v>0</v>
      </c>
      <c r="AB17" s="19">
        <f>+IF('Datos delta'!K17&gt;0,REASIGN('Datos delta'!K17,'Datos Protegidos'!$K17,PARTIDOS!L$8),0)</f>
        <v>0</v>
      </c>
      <c r="AC17" s="7">
        <v>0</v>
      </c>
      <c r="AD17" s="19">
        <f>+IF('Datos delta'!M17&gt;0,REASIGN('Datos delta'!M17,'Datos Protegidos'!$K17,PARTIDOS!N$8),0)</f>
        <v>0</v>
      </c>
      <c r="AE17" s="7">
        <v>0</v>
      </c>
      <c r="AF17" s="19">
        <f>+IF('Datos delta'!O17&gt;0,REASIGN('Datos delta'!O17,'Datos Protegidos'!$K17,PARTIDOS!P$8),0)</f>
        <v>0</v>
      </c>
      <c r="AG17" s="7">
        <v>0</v>
      </c>
      <c r="AH17" s="19">
        <f>+IF('Datos delta'!Q17&gt;0,REASIGN('Datos delta'!Q17,'Datos Protegidos'!$K17,PARTIDOS!R$8),0)</f>
        <v>0</v>
      </c>
      <c r="AI17" s="7">
        <v>0</v>
      </c>
      <c r="AJ17" s="19">
        <f>+IF('Datos delta'!S17&gt;0,REASIGN('Datos delta'!S17,'Datos Protegidos'!$K17,PARTIDOS!T$8),0)</f>
        <v>0</v>
      </c>
      <c r="AK17" s="7">
        <v>0</v>
      </c>
      <c r="AL17" s="19">
        <f>+IF('Datos delta'!U17&gt;0,REASIGN('Datos delta'!U17,'Datos Protegidos'!$K17,PARTIDOS!V$8),0)</f>
        <v>0</v>
      </c>
      <c r="AM17" s="7">
        <v>0</v>
      </c>
      <c r="AN17" s="19">
        <f>+IF('Datos delta'!W17&gt;0,REASIGN('Datos delta'!W17,'Datos Protegidos'!$K17,PARTIDOS!X$8),0)</f>
        <v>0</v>
      </c>
      <c r="AO17" s="7">
        <v>0</v>
      </c>
      <c r="AP17" s="19">
        <f>+IF('Datos delta'!Y17&gt;0,REASIGN('Datos delta'!Y17,'Datos Protegidos'!$K17,PARTIDOS!Z$8),0)</f>
        <v>0</v>
      </c>
      <c r="AQ17" s="7">
        <v>0</v>
      </c>
      <c r="AR17" s="19">
        <f>+IF('Datos delta'!AA17&gt;0,REASIGN('Datos delta'!AA17,'Datos Protegidos'!$K17,PARTIDOS!AB$8),0)</f>
        <v>0</v>
      </c>
      <c r="AS17" s="7">
        <v>0</v>
      </c>
      <c r="AT17" s="19">
        <f>+IF('Datos delta'!AC17&gt;0,REASIGN('Datos delta'!AC17,'Datos Protegidos'!$K17,PARTIDOS!AD$8),0)</f>
        <v>0</v>
      </c>
      <c r="AU17" s="7">
        <v>0</v>
      </c>
      <c r="AV17" s="19">
        <f>+IF('Datos delta'!AE17&gt;0,REASIGN('Datos delta'!AE17,'Datos Protegidos'!$K17,PARTIDOS!AF$8),0)</f>
        <v>0</v>
      </c>
      <c r="AW17" s="7">
        <v>0</v>
      </c>
      <c r="AX17" s="19">
        <f>+IF('Datos delta'!AG17&gt;0,REASIGN('Datos delta'!AG17,'Datos Protegidos'!$K17,PARTIDOS!AH$8),0)</f>
        <v>0</v>
      </c>
      <c r="AY17" s="7">
        <v>0</v>
      </c>
      <c r="AZ17" s="19">
        <f>+IF('Datos delta'!AI17&gt;0,REASIGN('Datos delta'!AI17,'Datos Protegidos'!$K17,PARTIDOS!AJ$8),0)</f>
        <v>68485</v>
      </c>
      <c r="BA17" s="7">
        <v>1</v>
      </c>
      <c r="BB17" s="19">
        <f>+IF('Datos delta'!AK17&gt;0,REASIGN('Datos delta'!AK17,'Datos Protegidos'!$K17,PARTIDOS!AL$8),0)</f>
        <v>0</v>
      </c>
      <c r="BC17" s="7">
        <v>0</v>
      </c>
      <c r="BD17" s="19">
        <f>+IF('Datos delta'!AM17&gt;0,REASIGN('Datos delta'!AM17,'Datos Protegidos'!$K17,PARTIDOS!AN$8),0)</f>
        <v>1846</v>
      </c>
      <c r="BE17" s="7">
        <v>0</v>
      </c>
      <c r="BF17" s="19">
        <f>+IF('Datos delta'!AO17&gt;0,REASIGN('Datos delta'!AO17,'Datos Protegidos'!$K17,PARTIDOS!AP$8),0)</f>
        <v>0</v>
      </c>
      <c r="BG17" s="7">
        <v>0</v>
      </c>
      <c r="BH17" s="19">
        <f>+IF('Datos delta'!AQ17&gt;0,REASIGN('Datos delta'!AQ17,'Datos Protegidos'!$K17,PARTIDOS!AR$8),0)</f>
        <v>230</v>
      </c>
      <c r="BI17" s="7">
        <v>0</v>
      </c>
      <c r="BJ17" s="19">
        <f>+IF('Datos delta'!AS17&gt;0,REASIGN('Datos delta'!AS17,'Datos Protegidos'!$K17,PARTIDOS!AT$8),0)</f>
        <v>186</v>
      </c>
      <c r="BK17" s="7">
        <v>0</v>
      </c>
      <c r="BL17" s="19">
        <f>+IF('Datos delta'!AU17&gt;0,REASIGN('Datos delta'!AU17,'Datos Protegidos'!$K17,PARTIDOS!AV$8),0)</f>
        <v>0</v>
      </c>
      <c r="BM17" s="7">
        <v>0</v>
      </c>
      <c r="BN17" s="19">
        <f>+IF('Datos delta'!AW17&gt;0,REASIGN('Datos delta'!AW17,'Datos Protegidos'!$K17,PARTIDOS!AX$8),0)</f>
        <v>0</v>
      </c>
      <c r="BO17" s="7">
        <v>0</v>
      </c>
      <c r="BP17" s="19">
        <f>+IF('Datos delta'!AY17&gt;0,REASIGN('Datos delta'!AY17,'Datos Protegidos'!$K17,PARTIDOS!AZ$8),0)</f>
        <v>0</v>
      </c>
      <c r="BQ17" s="7">
        <v>0</v>
      </c>
      <c r="BR17" s="19">
        <f>+IF('Datos delta'!BA17&gt;0,REASIGN('Datos delta'!BA17,'Datos Protegidos'!$K17,PARTIDOS!BB$8),0)</f>
        <v>275</v>
      </c>
      <c r="BS17" s="7">
        <v>0</v>
      </c>
      <c r="BT17" s="19">
        <f>+IF('Datos delta'!BC17&gt;0,REASIGN('Datos delta'!BC17,'Datos Protegidos'!$K17,PARTIDOS!BD$8),0)</f>
        <v>259</v>
      </c>
      <c r="BU17" s="7">
        <v>0</v>
      </c>
      <c r="BV17" s="19">
        <f>+IF('Datos delta'!BE17&gt;0,REASIGN('Datos delta'!BE17,'Datos Protegidos'!$K17,PARTIDOS!BF$8),0)</f>
        <v>0</v>
      </c>
      <c r="BW17" s="7">
        <v>0</v>
      </c>
      <c r="BX17" s="19">
        <f>+IF('Datos delta'!BG17&gt;0,REASIGN('Datos delta'!BG17,'Datos Protegidos'!$K17,PARTIDOS!BH$8),0)</f>
        <v>0</v>
      </c>
      <c r="BY17" s="7">
        <v>0</v>
      </c>
      <c r="BZ17" s="19">
        <f>+IF('Datos delta'!BI17&gt;0,REASIGN('Datos delta'!BI17,'Datos Protegidos'!$K17,PARTIDOS!BJ$8),0)</f>
        <v>0</v>
      </c>
      <c r="CA17" s="7">
        <v>0</v>
      </c>
      <c r="CB17" s="19">
        <f>+IF('Datos delta'!BK17&gt;0,REASIGN('Datos delta'!BK17,'Datos Protegidos'!$K17,PARTIDOS!BL$8),0)</f>
        <v>0</v>
      </c>
      <c r="CC17" s="7">
        <v>0</v>
      </c>
      <c r="CD17" s="19">
        <f>+IF('Datos delta'!BM17&gt;0,REASIGN('Datos delta'!BM17,'Datos Protegidos'!$K17,PARTIDOS!BN$8),0)</f>
        <v>257</v>
      </c>
      <c r="CE17" s="7">
        <v>0</v>
      </c>
      <c r="CF17" s="19">
        <f>+IF('Datos delta'!BO17&gt;0,REASIGN('Datos delta'!BO17,'Datos Protegidos'!$K17,PARTIDOS!BP$8),0)</f>
        <v>0</v>
      </c>
      <c r="CG17" s="7">
        <v>0</v>
      </c>
      <c r="CH17" s="19">
        <f>+IF('Datos delta'!BQ17&gt;0,REASIGN('Datos delta'!BQ17,'Datos Protegidos'!$K17,PARTIDOS!BR$8),0)</f>
        <v>0</v>
      </c>
      <c r="CI17" s="7">
        <v>0</v>
      </c>
      <c r="CJ17" s="19">
        <f>+IF('Datos delta'!BS17&gt;0,REASIGN('Datos delta'!BS17,'Datos Protegidos'!$K17,PARTIDOS!BT$8),0)</f>
        <v>0</v>
      </c>
      <c r="CK17" s="7">
        <v>0</v>
      </c>
      <c r="CL17" s="19">
        <f>+IF('Datos delta'!BU17&gt;0,REASIGN('Datos delta'!BU17,'Datos Protegidos'!$K17,PARTIDOS!BV$8),0)</f>
        <v>0</v>
      </c>
      <c r="CM17" s="7">
        <v>0</v>
      </c>
      <c r="CN17" s="19">
        <f>+IF('Datos delta'!BW17&gt;0,REASIGN('Datos delta'!BW17,'Datos Protegidos'!$K17,PARTIDOS!BX$8),0)</f>
        <v>0</v>
      </c>
      <c r="CO17" s="7">
        <v>0</v>
      </c>
      <c r="CP17" s="19">
        <f>+IF('Datos delta'!BY17&gt;0,REASIGN('Datos delta'!BY17,'Datos Protegidos'!$K17,PARTIDOS!BZ$8),0)</f>
        <v>0</v>
      </c>
      <c r="CQ17" s="7">
        <v>0</v>
      </c>
      <c r="CR17" s="19">
        <f>+IF('Datos delta'!CA17&gt;0,REASIGN('Datos delta'!CA17,'Datos Protegidos'!$K17,PARTIDOS!CB$8),0)</f>
        <v>0</v>
      </c>
      <c r="CS17" s="7">
        <v>0</v>
      </c>
      <c r="CT17" s="19">
        <f>+IF('Datos delta'!CC17&gt;0,REASIGN('Datos delta'!CC17,'Datos Protegidos'!$K17,PARTIDOS!CD$8),0)</f>
        <v>0</v>
      </c>
      <c r="CU17" s="7">
        <v>0</v>
      </c>
      <c r="CV17" s="19">
        <f>+IF('Datos delta'!CE17&gt;0,REASIGN('Datos delta'!CE17,'Datos Protegidos'!$K17,PARTIDOS!CF$8),0)</f>
        <v>0</v>
      </c>
      <c r="CW17" s="7">
        <v>0</v>
      </c>
      <c r="CX17" s="19">
        <f>+IF('Datos delta'!CG17&gt;0,REASIGN('Datos delta'!CG17,'Datos Protegidos'!$K17,PARTIDOS!CH$8),0)</f>
        <v>0</v>
      </c>
      <c r="CY17" s="7">
        <v>0</v>
      </c>
      <c r="CZ17" s="19">
        <f>+IF('Datos delta'!CI17&gt;0,REASIGN('Datos delta'!CI17,'Datos Protegidos'!$K17,PARTIDOS!CJ$8),0)</f>
        <v>0</v>
      </c>
      <c r="DA17" s="7">
        <v>0</v>
      </c>
      <c r="DB17" s="19">
        <f>+IF('Datos delta'!CK17&gt;0,REASIGN('Datos delta'!CK17,'Datos Protegidos'!$K17,PARTIDOS!CL$8),0)</f>
        <v>0</v>
      </c>
      <c r="DC17" s="7">
        <v>0</v>
      </c>
      <c r="DD17" s="19">
        <f>+IF('Datos delta'!CM17&gt;0,REASIGN('Datos delta'!CM17,'Datos Protegidos'!$K17,PARTIDOS!CN$8),0)</f>
        <v>0</v>
      </c>
      <c r="DE17" s="7">
        <v>0</v>
      </c>
      <c r="DF17" s="19">
        <f>+IF('Datos delta'!CO17&gt;0,REASIGN('Datos delta'!CO17,'Datos Protegidos'!$K17,PARTIDOS!CP$8),0)</f>
        <v>0</v>
      </c>
      <c r="DG17" s="7">
        <v>0</v>
      </c>
      <c r="DH17" s="19">
        <f>+IF('Datos delta'!CQ17&gt;0,REASIGN('Datos delta'!CQ17,'Datos Protegidos'!$K17,PARTIDOS!CR$8),0)</f>
        <v>0</v>
      </c>
      <c r="DI17" s="7">
        <v>0</v>
      </c>
      <c r="DJ17" s="19">
        <f>+IF('Datos delta'!CS17&gt;0,REASIGN('Datos delta'!CS17,'Datos Protegidos'!$K17,PARTIDOS!CT$8),0)</f>
        <v>125</v>
      </c>
      <c r="DK17" s="7">
        <v>0</v>
      </c>
      <c r="DL17" s="19">
        <f>+IF('Datos delta'!CU17&gt;0,REASIGN('Datos delta'!CU17,'Datos Protegidos'!$K17,PARTIDOS!CV$8),0)</f>
        <v>0</v>
      </c>
      <c r="DM17" s="7">
        <v>0</v>
      </c>
      <c r="DN17" s="19">
        <f>+IF('Datos delta'!CW17&gt;0,REASIGN('Datos delta'!CW17,'Datos Protegidos'!$K17,PARTIDOS!CX$8),0)</f>
        <v>0</v>
      </c>
      <c r="DO17" s="7">
        <v>0</v>
      </c>
      <c r="DP17" s="19">
        <f>+IF('Datos delta'!CY17&gt;0,REASIGN('Datos delta'!CY17,'Datos Protegidos'!$K17,PARTIDOS!CZ$8),0)</f>
        <v>0</v>
      </c>
      <c r="DQ17" s="7">
        <v>0</v>
      </c>
      <c r="DR17" s="19">
        <f>+IF('Datos delta'!DA17&gt;0,REASIGN('Datos delta'!DA17,'Datos Protegidos'!$K17,PARTIDOS!DB$8),0)</f>
        <v>0</v>
      </c>
      <c r="DS17" s="7">
        <v>0</v>
      </c>
      <c r="DT17" s="19">
        <f>+IF('Datos delta'!DC17&gt;0,REASIGN('Datos delta'!DC17,'Datos Protegidos'!$K17,PARTIDOS!DD$8),0)</f>
        <v>0</v>
      </c>
      <c r="DU17" s="7">
        <v>0</v>
      </c>
      <c r="DV17" s="19">
        <f>+IF('Datos delta'!DE17&gt;0,REASIGN('Datos delta'!DE17,'Datos Protegidos'!$K17,PARTIDOS!DF$8),0)</f>
        <v>0</v>
      </c>
      <c r="DW17" s="7">
        <v>0</v>
      </c>
      <c r="DX17" s="19">
        <f>+IF('Datos delta'!DG17&gt;0,REASIGN('Datos delta'!DG17,'Datos Protegidos'!$K17,PARTIDOS!DH$8),0)</f>
        <v>0</v>
      </c>
      <c r="DY17" s="7">
        <v>0</v>
      </c>
      <c r="DZ17" s="19">
        <f>+IF('Datos delta'!DI17&gt;0,REASIGN('Datos delta'!DI17,'Datos Protegidos'!$K17,PARTIDOS!DJ$8),0)</f>
        <v>0</v>
      </c>
      <c r="EA17" s="7">
        <v>0</v>
      </c>
      <c r="EB17" s="19">
        <f>+IF('Datos delta'!DK17&gt;0,REASIGN('Datos delta'!DK17,'Datos Protegidos'!$K17,PARTIDOS!DL$8),0)</f>
        <v>0</v>
      </c>
      <c r="EC17" s="7">
        <v>0</v>
      </c>
      <c r="ED17" s="19">
        <f>+IF('Datos delta'!DM17&gt;0,REASIGN('Datos delta'!DM17,'Datos Protegidos'!$K17,PARTIDOS!DN$8),0)</f>
        <v>0</v>
      </c>
      <c r="EE17" s="7">
        <v>0</v>
      </c>
      <c r="EF17" s="19">
        <f>+IF('Datos delta'!DO17&gt;0,REASIGN('Datos delta'!DO17,'Datos Protegidos'!$K17,PARTIDOS!DP$8),0)</f>
        <v>0</v>
      </c>
      <c r="EG17" s="7">
        <v>0</v>
      </c>
      <c r="EH17" s="19">
        <f>+IF('Datos delta'!DQ17&gt;0,REASIGN('Datos delta'!DQ17,'Datos Protegidos'!$K17,PARTIDOS!DR$8),0)</f>
        <v>0</v>
      </c>
      <c r="EI17" s="7">
        <v>0</v>
      </c>
      <c r="EJ17" s="19">
        <f>+IF('Datos delta'!DS17&gt;0,REASIGN('Datos delta'!DS17,'Datos Protegidos'!$K17,PARTIDOS!DT$8),0)</f>
        <v>0</v>
      </c>
      <c r="EK17" s="7">
        <v>0</v>
      </c>
      <c r="EL17" s="19">
        <f>+IF('Datos delta'!DU17&gt;0,REASIGN('Datos delta'!DU17,'Datos Protegidos'!$K17,PARTIDOS!DV$8),0)</f>
        <v>0</v>
      </c>
      <c r="EM17" s="7">
        <v>0</v>
      </c>
      <c r="EN17" s="19">
        <f>+IF('Datos delta'!DW17&gt;0,REASIGN('Datos delta'!DW17,'Datos Protegidos'!$K17,PARTIDOS!DX$8),0)</f>
        <v>0</v>
      </c>
      <c r="EO17" s="7">
        <v>0</v>
      </c>
      <c r="EP17" s="19">
        <f>+IF('Datos delta'!DY17&gt;0,REASIGN('Datos delta'!DY17,'Datos Protegidos'!$K17,PARTIDOS!DZ$8),0)</f>
        <v>0</v>
      </c>
      <c r="EQ17" s="7">
        <v>0</v>
      </c>
      <c r="ER17" s="19">
        <f>+IF('Datos delta'!EA17&gt;0,REASIGN('Datos delta'!EA17,'Datos Protegidos'!$K17,PARTIDOS!EB$8),0)</f>
        <v>0</v>
      </c>
      <c r="ES17" s="7">
        <v>0</v>
      </c>
      <c r="ET17" s="19">
        <f>+IF('Datos delta'!EC17&gt;0,REASIGN('Datos delta'!EC17,'Datos Protegidos'!$K17,PARTIDOS!ED$8),0)</f>
        <v>0</v>
      </c>
      <c r="EU17" s="7">
        <v>0</v>
      </c>
    </row>
    <row r="18" spans="1:151" x14ac:dyDescent="0.25">
      <c r="A18" s="7" t="s">
        <v>37</v>
      </c>
      <c r="B18" s="8">
        <v>2</v>
      </c>
      <c r="C18" s="7" t="s">
        <v>38</v>
      </c>
      <c r="D18" s="9">
        <v>388786</v>
      </c>
      <c r="E18">
        <v>519</v>
      </c>
      <c r="F18" s="1">
        <v>302443</v>
      </c>
      <c r="G18" s="1">
        <v>7553</v>
      </c>
      <c r="H18" s="1">
        <v>309996</v>
      </c>
      <c r="I18" s="1"/>
      <c r="J18" s="1"/>
      <c r="K18"/>
      <c r="L18" s="3">
        <f t="shared" si="1"/>
        <v>221914</v>
      </c>
      <c r="M18" s="3">
        <f t="shared" si="2"/>
        <v>219301</v>
      </c>
      <c r="N18" s="6">
        <f t="shared" si="0"/>
        <v>217479</v>
      </c>
      <c r="O18" s="1">
        <v>1822</v>
      </c>
      <c r="P18" s="1">
        <v>2613</v>
      </c>
      <c r="Q18" s="6">
        <f t="shared" si="3"/>
        <v>4</v>
      </c>
      <c r="R18" s="19">
        <f>+IF('Datos delta'!A18&gt;0,REASIGN('Datos delta'!A18,'Datos Protegidos'!$K18,PARTIDOS!B$8),0)</f>
        <v>74934</v>
      </c>
      <c r="S18" s="7">
        <v>2</v>
      </c>
      <c r="T18" s="19">
        <f>+IF('Datos delta'!C18&gt;0,REASIGN('Datos delta'!C18,'Datos Protegidos'!$K18,PARTIDOS!D$8),0)</f>
        <v>72768</v>
      </c>
      <c r="U18" s="7">
        <v>1</v>
      </c>
      <c r="V18" s="19">
        <f>+IF('Datos delta'!E18&gt;0,REASIGN('Datos delta'!E18,'Datos Protegidos'!$K18,PARTIDOS!F$8),0)</f>
        <v>45192</v>
      </c>
      <c r="W18" s="7">
        <v>1</v>
      </c>
      <c r="X18" s="19">
        <f>+IF('Datos delta'!G18&gt;0,REASIGN('Datos delta'!G18,'Datos Protegidos'!$K18,PARTIDOS!H$8),0)</f>
        <v>21809</v>
      </c>
      <c r="Y18" s="7">
        <v>0</v>
      </c>
      <c r="Z18" s="19">
        <f>+IF('Datos delta'!I18&gt;0,REASIGN('Datos delta'!I18,'Datos Protegidos'!$K18,PARTIDOS!J$8),0)</f>
        <v>0</v>
      </c>
      <c r="AA18" s="7">
        <v>0</v>
      </c>
      <c r="AB18" s="19">
        <f>+IF('Datos delta'!K18&gt;0,REASIGN('Datos delta'!K18,'Datos Protegidos'!$K18,PARTIDOS!L$8),0)</f>
        <v>0</v>
      </c>
      <c r="AC18" s="7">
        <v>0</v>
      </c>
      <c r="AD18" s="19">
        <f>+IF('Datos delta'!M18&gt;0,REASIGN('Datos delta'!M18,'Datos Protegidos'!$K18,PARTIDOS!N$8),0)</f>
        <v>0</v>
      </c>
      <c r="AE18" s="7">
        <v>0</v>
      </c>
      <c r="AF18" s="19">
        <f>+IF('Datos delta'!O18&gt;0,REASIGN('Datos delta'!O18,'Datos Protegidos'!$K18,PARTIDOS!P$8),0)</f>
        <v>0</v>
      </c>
      <c r="AG18" s="7">
        <v>0</v>
      </c>
      <c r="AH18" s="19">
        <f>+IF('Datos delta'!Q18&gt;0,REASIGN('Datos delta'!Q18,'Datos Protegidos'!$K18,PARTIDOS!R$8),0)</f>
        <v>0</v>
      </c>
      <c r="AI18" s="7">
        <v>0</v>
      </c>
      <c r="AJ18" s="19">
        <f>+IF('Datos delta'!S18&gt;0,REASIGN('Datos delta'!S18,'Datos Protegidos'!$K18,PARTIDOS!T$8),0)</f>
        <v>0</v>
      </c>
      <c r="AK18" s="7">
        <v>0</v>
      </c>
      <c r="AL18" s="19">
        <f>+IF('Datos delta'!U18&gt;0,REASIGN('Datos delta'!U18,'Datos Protegidos'!$K18,PARTIDOS!V$8),0)</f>
        <v>0</v>
      </c>
      <c r="AM18" s="7">
        <v>0</v>
      </c>
      <c r="AN18" s="19">
        <f>+IF('Datos delta'!W18&gt;0,REASIGN('Datos delta'!W18,'Datos Protegidos'!$K18,PARTIDOS!X$8),0)</f>
        <v>0</v>
      </c>
      <c r="AO18" s="7">
        <v>0</v>
      </c>
      <c r="AP18" s="19">
        <f>+IF('Datos delta'!Y18&gt;0,REASIGN('Datos delta'!Y18,'Datos Protegidos'!$K18,PARTIDOS!Z$8),0)</f>
        <v>0</v>
      </c>
      <c r="AQ18" s="7">
        <v>0</v>
      </c>
      <c r="AR18" s="19">
        <f>+IF('Datos delta'!AA18&gt;0,REASIGN('Datos delta'!AA18,'Datos Protegidos'!$K18,PARTIDOS!AB$8),0)</f>
        <v>0</v>
      </c>
      <c r="AS18" s="7">
        <v>0</v>
      </c>
      <c r="AT18" s="19">
        <f>+IF('Datos delta'!AC18&gt;0,REASIGN('Datos delta'!AC18,'Datos Protegidos'!$K18,PARTIDOS!AD$8),0)</f>
        <v>0</v>
      </c>
      <c r="AU18" s="7">
        <v>0</v>
      </c>
      <c r="AV18" s="19">
        <f>+IF('Datos delta'!AE18&gt;0,REASIGN('Datos delta'!AE18,'Datos Protegidos'!$K18,PARTIDOS!AF$8),0)</f>
        <v>0</v>
      </c>
      <c r="AW18" s="7">
        <v>0</v>
      </c>
      <c r="AX18" s="19">
        <f>+IF('Datos delta'!AG18&gt;0,REASIGN('Datos delta'!AG18,'Datos Protegidos'!$K18,PARTIDOS!AH$8),0)</f>
        <v>0</v>
      </c>
      <c r="AY18" s="7">
        <v>0</v>
      </c>
      <c r="AZ18" s="19">
        <f>+IF('Datos delta'!AI18&gt;0,REASIGN('Datos delta'!AI18,'Datos Protegidos'!$K18,PARTIDOS!AJ$8),0)</f>
        <v>0</v>
      </c>
      <c r="BA18" s="7">
        <v>0</v>
      </c>
      <c r="BB18" s="19">
        <f>+IF('Datos delta'!AK18&gt;0,REASIGN('Datos delta'!AK18,'Datos Protegidos'!$K18,PARTIDOS!AL$8),0)</f>
        <v>0</v>
      </c>
      <c r="BC18" s="7">
        <v>0</v>
      </c>
      <c r="BD18" s="19">
        <f>+IF('Datos delta'!AM18&gt;0,REASIGN('Datos delta'!AM18,'Datos Protegidos'!$K18,PARTIDOS!AN$8),0)</f>
        <v>1642</v>
      </c>
      <c r="BE18" s="7">
        <v>0</v>
      </c>
      <c r="BF18" s="19">
        <f>+IF('Datos delta'!AO18&gt;0,REASIGN('Datos delta'!AO18,'Datos Protegidos'!$K18,PARTIDOS!AP$8),0)</f>
        <v>0</v>
      </c>
      <c r="BG18" s="7">
        <v>0</v>
      </c>
      <c r="BH18" s="19">
        <f>+IF('Datos delta'!AQ18&gt;0,REASIGN('Datos delta'!AQ18,'Datos Protegidos'!$K18,PARTIDOS!AR$8),0)</f>
        <v>220</v>
      </c>
      <c r="BI18" s="7">
        <v>0</v>
      </c>
      <c r="BJ18" s="19">
        <f>+IF('Datos delta'!AS18&gt;0,REASIGN('Datos delta'!AS18,'Datos Protegidos'!$K18,PARTIDOS!AT$8),0)</f>
        <v>373</v>
      </c>
      <c r="BK18" s="7">
        <v>0</v>
      </c>
      <c r="BL18" s="19">
        <f>+IF('Datos delta'!AU18&gt;0,REASIGN('Datos delta'!AU18,'Datos Protegidos'!$K18,PARTIDOS!AV$8),0)</f>
        <v>0</v>
      </c>
      <c r="BM18" s="7">
        <v>0</v>
      </c>
      <c r="BN18" s="19">
        <f>+IF('Datos delta'!AW18&gt;0,REASIGN('Datos delta'!AW18,'Datos Protegidos'!$K18,PARTIDOS!AX$8),0)</f>
        <v>0</v>
      </c>
      <c r="BO18" s="7">
        <v>0</v>
      </c>
      <c r="BP18" s="19">
        <f>+IF('Datos delta'!AY18&gt;0,REASIGN('Datos delta'!AY18,'Datos Protegidos'!$K18,PARTIDOS!AZ$8),0)</f>
        <v>0</v>
      </c>
      <c r="BQ18" s="7">
        <v>0</v>
      </c>
      <c r="BR18" s="19">
        <f>+IF('Datos delta'!BA18&gt;0,REASIGN('Datos delta'!BA18,'Datos Protegidos'!$K18,PARTIDOS!BB$8),0)</f>
        <v>185</v>
      </c>
      <c r="BS18" s="7">
        <v>0</v>
      </c>
      <c r="BT18" s="19">
        <f>+IF('Datos delta'!BC18&gt;0,REASIGN('Datos delta'!BC18,'Datos Protegidos'!$K18,PARTIDOS!BD$8),0)</f>
        <v>160</v>
      </c>
      <c r="BU18" s="7">
        <v>0</v>
      </c>
      <c r="BV18" s="19">
        <f>+IF('Datos delta'!BE18&gt;0,REASIGN('Datos delta'!BE18,'Datos Protegidos'!$K18,PARTIDOS!BF$8),0)</f>
        <v>0</v>
      </c>
      <c r="BW18" s="7">
        <v>0</v>
      </c>
      <c r="BX18" s="19">
        <f>+IF('Datos delta'!BG18&gt;0,REASIGN('Datos delta'!BG18,'Datos Protegidos'!$K18,PARTIDOS!BH$8),0)</f>
        <v>0</v>
      </c>
      <c r="BY18" s="7">
        <v>0</v>
      </c>
      <c r="BZ18" s="19">
        <f>+IF('Datos delta'!BI18&gt;0,REASIGN('Datos delta'!BI18,'Datos Protegidos'!$K18,PARTIDOS!BJ$8),0)</f>
        <v>0</v>
      </c>
      <c r="CA18" s="7">
        <v>0</v>
      </c>
      <c r="CB18" s="19">
        <f>+IF('Datos delta'!BK18&gt;0,REASIGN('Datos delta'!BK18,'Datos Protegidos'!$K18,PARTIDOS!BL$8),0)</f>
        <v>0</v>
      </c>
      <c r="CC18" s="7">
        <v>0</v>
      </c>
      <c r="CD18" s="19">
        <f>+IF('Datos delta'!BM18&gt;0,REASIGN('Datos delta'!BM18,'Datos Protegidos'!$K18,PARTIDOS!BN$8),0)</f>
        <v>0</v>
      </c>
      <c r="CE18" s="7">
        <v>0</v>
      </c>
      <c r="CF18" s="19">
        <f>+IF('Datos delta'!BO18&gt;0,REASIGN('Datos delta'!BO18,'Datos Protegidos'!$K18,PARTIDOS!BP$8),0)</f>
        <v>0</v>
      </c>
      <c r="CG18" s="7">
        <v>0</v>
      </c>
      <c r="CH18" s="19">
        <f>+IF('Datos delta'!BQ18&gt;0,REASIGN('Datos delta'!BQ18,'Datos Protegidos'!$K18,PARTIDOS!BR$8),0)</f>
        <v>0</v>
      </c>
      <c r="CI18" s="7">
        <v>0</v>
      </c>
      <c r="CJ18" s="19">
        <f>+IF('Datos delta'!BS18&gt;0,REASIGN('Datos delta'!BS18,'Datos Protegidos'!$K18,PARTIDOS!BT$8),0)</f>
        <v>0</v>
      </c>
      <c r="CK18" s="7">
        <v>0</v>
      </c>
      <c r="CL18" s="19">
        <f>+IF('Datos delta'!BU18&gt;0,REASIGN('Datos delta'!BU18,'Datos Protegidos'!$K18,PARTIDOS!BV$8),0)</f>
        <v>0</v>
      </c>
      <c r="CM18" s="7">
        <v>0</v>
      </c>
      <c r="CN18" s="19">
        <f>+IF('Datos delta'!BW18&gt;0,REASIGN('Datos delta'!BW18,'Datos Protegidos'!$K18,PARTIDOS!BX$8),0)</f>
        <v>0</v>
      </c>
      <c r="CO18" s="7">
        <v>0</v>
      </c>
      <c r="CP18" s="19">
        <f>+IF('Datos delta'!BY18&gt;0,REASIGN('Datos delta'!BY18,'Datos Protegidos'!$K18,PARTIDOS!BZ$8),0)</f>
        <v>0</v>
      </c>
      <c r="CQ18" s="7">
        <v>0</v>
      </c>
      <c r="CR18" s="19">
        <f>+IF('Datos delta'!CA18&gt;0,REASIGN('Datos delta'!CA18,'Datos Protegidos'!$K18,PARTIDOS!CB$8),0)</f>
        <v>0</v>
      </c>
      <c r="CS18" s="7">
        <v>0</v>
      </c>
      <c r="CT18" s="19">
        <f>+IF('Datos delta'!CC18&gt;0,REASIGN('Datos delta'!CC18,'Datos Protegidos'!$K18,PARTIDOS!CD$8),0)</f>
        <v>0</v>
      </c>
      <c r="CU18" s="7">
        <v>0</v>
      </c>
      <c r="CV18" s="19">
        <f>+IF('Datos delta'!CE18&gt;0,REASIGN('Datos delta'!CE18,'Datos Protegidos'!$K18,PARTIDOS!CF$8),0)</f>
        <v>0</v>
      </c>
      <c r="CW18" s="7">
        <v>0</v>
      </c>
      <c r="CX18" s="19">
        <f>+IF('Datos delta'!CG18&gt;0,REASIGN('Datos delta'!CG18,'Datos Protegidos'!$K18,PARTIDOS!CH$8),0)</f>
        <v>0</v>
      </c>
      <c r="CY18" s="7">
        <v>0</v>
      </c>
      <c r="CZ18" s="19">
        <f>+IF('Datos delta'!CI18&gt;0,REASIGN('Datos delta'!CI18,'Datos Protegidos'!$K18,PARTIDOS!CJ$8),0)</f>
        <v>0</v>
      </c>
      <c r="DA18" s="7">
        <v>0</v>
      </c>
      <c r="DB18" s="19">
        <f>+IF('Datos delta'!CK18&gt;0,REASIGN('Datos delta'!CK18,'Datos Protegidos'!$K18,PARTIDOS!CL$8),0)</f>
        <v>0</v>
      </c>
      <c r="DC18" s="7">
        <v>0</v>
      </c>
      <c r="DD18" s="19">
        <f>+IF('Datos delta'!CM18&gt;0,REASIGN('Datos delta'!CM18,'Datos Protegidos'!$K18,PARTIDOS!CN$8),0)</f>
        <v>0</v>
      </c>
      <c r="DE18" s="7">
        <v>0</v>
      </c>
      <c r="DF18" s="19">
        <f>+IF('Datos delta'!CO18&gt;0,REASIGN('Datos delta'!CO18,'Datos Protegidos'!$K18,PARTIDOS!CP$8),0)</f>
        <v>0</v>
      </c>
      <c r="DG18" s="7">
        <v>0</v>
      </c>
      <c r="DH18" s="19">
        <f>+IF('Datos delta'!CQ18&gt;0,REASIGN('Datos delta'!CQ18,'Datos Protegidos'!$K18,PARTIDOS!CR$8),0)</f>
        <v>196</v>
      </c>
      <c r="DI18" s="7">
        <v>0</v>
      </c>
      <c r="DJ18" s="19">
        <f>+IF('Datos delta'!CS18&gt;0,REASIGN('Datos delta'!CS18,'Datos Protegidos'!$K18,PARTIDOS!CT$8),0)</f>
        <v>0</v>
      </c>
      <c r="DK18" s="7">
        <v>0</v>
      </c>
      <c r="DL18" s="19">
        <f>+IF('Datos delta'!CU18&gt;0,REASIGN('Datos delta'!CU18,'Datos Protegidos'!$K18,PARTIDOS!CV$8),0)</f>
        <v>0</v>
      </c>
      <c r="DM18" s="7">
        <v>0</v>
      </c>
      <c r="DN18" s="19">
        <f>+IF('Datos delta'!CW18&gt;0,REASIGN('Datos delta'!CW18,'Datos Protegidos'!$K18,PARTIDOS!CX$8),0)</f>
        <v>0</v>
      </c>
      <c r="DO18" s="7">
        <v>0</v>
      </c>
      <c r="DP18" s="19">
        <f>+IF('Datos delta'!CY18&gt;0,REASIGN('Datos delta'!CY18,'Datos Protegidos'!$K18,PARTIDOS!CZ$8),0)</f>
        <v>0</v>
      </c>
      <c r="DQ18" s="7">
        <v>0</v>
      </c>
      <c r="DR18" s="19">
        <f>+IF('Datos delta'!DA18&gt;0,REASIGN('Datos delta'!DA18,'Datos Protegidos'!$K18,PARTIDOS!DB$8),0)</f>
        <v>0</v>
      </c>
      <c r="DS18" s="7">
        <v>0</v>
      </c>
      <c r="DT18" s="19">
        <f>+IF('Datos delta'!DC18&gt;0,REASIGN('Datos delta'!DC18,'Datos Protegidos'!$K18,PARTIDOS!DD$8),0)</f>
        <v>0</v>
      </c>
      <c r="DU18" s="7">
        <v>0</v>
      </c>
      <c r="DV18" s="19">
        <f>+IF('Datos delta'!DE18&gt;0,REASIGN('Datos delta'!DE18,'Datos Protegidos'!$K18,PARTIDOS!DF$8),0)</f>
        <v>0</v>
      </c>
      <c r="DW18" s="7">
        <v>0</v>
      </c>
      <c r="DX18" s="19">
        <f>+IF('Datos delta'!DG18&gt;0,REASIGN('Datos delta'!DG18,'Datos Protegidos'!$K18,PARTIDOS!DH$8),0)</f>
        <v>0</v>
      </c>
      <c r="DY18" s="7">
        <v>0</v>
      </c>
      <c r="DZ18" s="19">
        <f>+IF('Datos delta'!DI18&gt;0,REASIGN('Datos delta'!DI18,'Datos Protegidos'!$K18,PARTIDOS!DJ$8),0)</f>
        <v>0</v>
      </c>
      <c r="EA18" s="7">
        <v>0</v>
      </c>
      <c r="EB18" s="19">
        <f>+IF('Datos delta'!DK18&gt;0,REASIGN('Datos delta'!DK18,'Datos Protegidos'!$K18,PARTIDOS!DL$8),0)</f>
        <v>0</v>
      </c>
      <c r="EC18" s="7">
        <v>0</v>
      </c>
      <c r="ED18" s="19">
        <f>+IF('Datos delta'!DM18&gt;0,REASIGN('Datos delta'!DM18,'Datos Protegidos'!$K18,PARTIDOS!DN$8),0)</f>
        <v>0</v>
      </c>
      <c r="EE18" s="7">
        <v>0</v>
      </c>
      <c r="EF18" s="19">
        <f>+IF('Datos delta'!DO18&gt;0,REASIGN('Datos delta'!DO18,'Datos Protegidos'!$K18,PARTIDOS!DP$8),0)</f>
        <v>0</v>
      </c>
      <c r="EG18" s="7">
        <v>0</v>
      </c>
      <c r="EH18" s="19">
        <f>+IF('Datos delta'!DQ18&gt;0,REASIGN('Datos delta'!DQ18,'Datos Protegidos'!$K18,PARTIDOS!DR$8),0)</f>
        <v>0</v>
      </c>
      <c r="EI18" s="7">
        <v>0</v>
      </c>
      <c r="EJ18" s="19">
        <f>+IF('Datos delta'!DS18&gt;0,REASIGN('Datos delta'!DS18,'Datos Protegidos'!$K18,PARTIDOS!DT$8),0)</f>
        <v>0</v>
      </c>
      <c r="EK18" s="7">
        <v>0</v>
      </c>
      <c r="EL18" s="19">
        <f>+IF('Datos delta'!DU18&gt;0,REASIGN('Datos delta'!DU18,'Datos Protegidos'!$K18,PARTIDOS!DV$8),0)</f>
        <v>0</v>
      </c>
      <c r="EM18" s="7">
        <v>0</v>
      </c>
      <c r="EN18" s="19">
        <f>+IF('Datos delta'!DW18&gt;0,REASIGN('Datos delta'!DW18,'Datos Protegidos'!$K18,PARTIDOS!DX$8),0)</f>
        <v>0</v>
      </c>
      <c r="EO18" s="7">
        <v>0</v>
      </c>
      <c r="EP18" s="19">
        <f>+IF('Datos delta'!DY18&gt;0,REASIGN('Datos delta'!DY18,'Datos Protegidos'!$K18,PARTIDOS!DZ$8),0)</f>
        <v>0</v>
      </c>
      <c r="EQ18" s="7">
        <v>0</v>
      </c>
      <c r="ER18" s="19">
        <f>+IF('Datos delta'!EA18&gt;0,REASIGN('Datos delta'!EA18,'Datos Protegidos'!$K18,PARTIDOS!EB$8),0)</f>
        <v>0</v>
      </c>
      <c r="ES18" s="7">
        <v>0</v>
      </c>
      <c r="ET18" s="19">
        <f>+IF('Datos delta'!EC18&gt;0,REASIGN('Datos delta'!EC18,'Datos Protegidos'!$K18,PARTIDOS!ED$8),0)</f>
        <v>0</v>
      </c>
      <c r="EU18" s="7">
        <v>0</v>
      </c>
    </row>
    <row r="19" spans="1:151" x14ac:dyDescent="0.25">
      <c r="A19" s="7" t="s">
        <v>37</v>
      </c>
      <c r="B19" s="8">
        <v>13</v>
      </c>
      <c r="C19" s="7" t="s">
        <v>39</v>
      </c>
      <c r="D19" s="9">
        <v>499100</v>
      </c>
      <c r="E19">
        <v>706</v>
      </c>
      <c r="F19" s="1">
        <v>389295</v>
      </c>
      <c r="G19" s="1">
        <v>6490</v>
      </c>
      <c r="H19" s="1">
        <v>395785</v>
      </c>
      <c r="I19" s="1"/>
      <c r="J19" s="1"/>
      <c r="K19"/>
      <c r="L19" s="3">
        <f t="shared" si="1"/>
        <v>278951</v>
      </c>
      <c r="M19" s="3">
        <f t="shared" si="2"/>
        <v>275075</v>
      </c>
      <c r="N19" s="6">
        <f t="shared" si="0"/>
        <v>272718</v>
      </c>
      <c r="O19" s="1">
        <v>2357</v>
      </c>
      <c r="P19" s="1">
        <v>3876</v>
      </c>
      <c r="Q19" s="6">
        <f t="shared" si="3"/>
        <v>5</v>
      </c>
      <c r="R19" s="19">
        <f>+IF('Datos delta'!A19&gt;0,REASIGN('Datos delta'!A19,'Datos Protegidos'!$K19,PARTIDOS!B$8),0)</f>
        <v>98481</v>
      </c>
      <c r="S19" s="7">
        <v>2</v>
      </c>
      <c r="T19" s="19">
        <f>+IF('Datos delta'!C19&gt;0,REASIGN('Datos delta'!C19,'Datos Protegidos'!$K19,PARTIDOS!D$8),0)</f>
        <v>91000</v>
      </c>
      <c r="U19" s="7">
        <v>2</v>
      </c>
      <c r="V19" s="19">
        <f>+IF('Datos delta'!E19&gt;0,REASIGN('Datos delta'!E19,'Datos Protegidos'!$K19,PARTIDOS!F$8),0)</f>
        <v>57171</v>
      </c>
      <c r="W19" s="7">
        <v>1</v>
      </c>
      <c r="X19" s="19">
        <f>+IF('Datos delta'!G19&gt;0,REASIGN('Datos delta'!G19,'Datos Protegidos'!$K19,PARTIDOS!H$8),0)</f>
        <v>23362</v>
      </c>
      <c r="Y19" s="7">
        <v>0</v>
      </c>
      <c r="Z19" s="19">
        <f>+IF('Datos delta'!I19&gt;0,REASIGN('Datos delta'!I19,'Datos Protegidos'!$K19,PARTIDOS!J$8),0)</f>
        <v>0</v>
      </c>
      <c r="AA19" s="7">
        <v>0</v>
      </c>
      <c r="AB19" s="19">
        <f>+IF('Datos delta'!K19&gt;0,REASIGN('Datos delta'!K19,'Datos Protegidos'!$K19,PARTIDOS!L$8),0)</f>
        <v>0</v>
      </c>
      <c r="AC19" s="7">
        <v>0</v>
      </c>
      <c r="AD19" s="19">
        <f>+IF('Datos delta'!M19&gt;0,REASIGN('Datos delta'!M19,'Datos Protegidos'!$K19,PARTIDOS!N$8),0)</f>
        <v>0</v>
      </c>
      <c r="AE19" s="7">
        <v>0</v>
      </c>
      <c r="AF19" s="19">
        <f>+IF('Datos delta'!O19&gt;0,REASIGN('Datos delta'!O19,'Datos Protegidos'!$K19,PARTIDOS!P$8),0)</f>
        <v>0</v>
      </c>
      <c r="AG19" s="7">
        <v>0</v>
      </c>
      <c r="AH19" s="19">
        <f>+IF('Datos delta'!Q19&gt;0,REASIGN('Datos delta'!Q19,'Datos Protegidos'!$K19,PARTIDOS!R$8),0)</f>
        <v>0</v>
      </c>
      <c r="AI19" s="7">
        <v>0</v>
      </c>
      <c r="AJ19" s="19">
        <f>+IF('Datos delta'!S19&gt;0,REASIGN('Datos delta'!S19,'Datos Protegidos'!$K19,PARTIDOS!T$8),0)</f>
        <v>0</v>
      </c>
      <c r="AK19" s="7">
        <v>0</v>
      </c>
      <c r="AL19" s="19">
        <f>+IF('Datos delta'!U19&gt;0,REASIGN('Datos delta'!U19,'Datos Protegidos'!$K19,PARTIDOS!V$8),0)</f>
        <v>0</v>
      </c>
      <c r="AM19" s="7">
        <v>0</v>
      </c>
      <c r="AN19" s="19">
        <f>+IF('Datos delta'!W19&gt;0,REASIGN('Datos delta'!W19,'Datos Protegidos'!$K19,PARTIDOS!X$8),0)</f>
        <v>0</v>
      </c>
      <c r="AO19" s="7">
        <v>0</v>
      </c>
      <c r="AP19" s="19">
        <f>+IF('Datos delta'!Y19&gt;0,REASIGN('Datos delta'!Y19,'Datos Protegidos'!$K19,PARTIDOS!Z$8),0)</f>
        <v>0</v>
      </c>
      <c r="AQ19" s="7">
        <v>0</v>
      </c>
      <c r="AR19" s="19">
        <f>+IF('Datos delta'!AA19&gt;0,REASIGN('Datos delta'!AA19,'Datos Protegidos'!$K19,PARTIDOS!AB$8),0)</f>
        <v>0</v>
      </c>
      <c r="AS19" s="7">
        <v>0</v>
      </c>
      <c r="AT19" s="19">
        <f>+IF('Datos delta'!AC19&gt;0,REASIGN('Datos delta'!AC19,'Datos Protegidos'!$K19,PARTIDOS!AD$8),0)</f>
        <v>0</v>
      </c>
      <c r="AU19" s="7">
        <v>0</v>
      </c>
      <c r="AV19" s="19">
        <f>+IF('Datos delta'!AE19&gt;0,REASIGN('Datos delta'!AE19,'Datos Protegidos'!$K19,PARTIDOS!AF$8),0)</f>
        <v>0</v>
      </c>
      <c r="AW19" s="7">
        <v>0</v>
      </c>
      <c r="AX19" s="19">
        <f>+IF('Datos delta'!AG19&gt;0,REASIGN('Datos delta'!AG19,'Datos Protegidos'!$K19,PARTIDOS!AH$8),0)</f>
        <v>0</v>
      </c>
      <c r="AY19" s="7">
        <v>0</v>
      </c>
      <c r="AZ19" s="19">
        <f>+IF('Datos delta'!AI19&gt;0,REASIGN('Datos delta'!AI19,'Datos Protegidos'!$K19,PARTIDOS!AJ$8),0)</f>
        <v>0</v>
      </c>
      <c r="BA19" s="7">
        <v>0</v>
      </c>
      <c r="BB19" s="19">
        <f>+IF('Datos delta'!AK19&gt;0,REASIGN('Datos delta'!AK19,'Datos Protegidos'!$K19,PARTIDOS!AL$8),0)</f>
        <v>0</v>
      </c>
      <c r="BC19" s="7">
        <v>0</v>
      </c>
      <c r="BD19" s="19">
        <f>+IF('Datos delta'!AM19&gt;0,REASIGN('Datos delta'!AM19,'Datos Protegidos'!$K19,PARTIDOS!AN$8),0)</f>
        <v>1779</v>
      </c>
      <c r="BE19" s="7">
        <v>0</v>
      </c>
      <c r="BF19" s="19">
        <f>+IF('Datos delta'!AO19&gt;0,REASIGN('Datos delta'!AO19,'Datos Protegidos'!$K19,PARTIDOS!AP$8),0)</f>
        <v>0</v>
      </c>
      <c r="BG19" s="7">
        <v>0</v>
      </c>
      <c r="BH19" s="19">
        <f>+IF('Datos delta'!AQ19&gt;0,REASIGN('Datos delta'!AQ19,'Datos Protegidos'!$K19,PARTIDOS!AR$8),0)</f>
        <v>444</v>
      </c>
      <c r="BI19" s="7">
        <v>0</v>
      </c>
      <c r="BJ19" s="19">
        <f>+IF('Datos delta'!AS19&gt;0,REASIGN('Datos delta'!AS19,'Datos Protegidos'!$K19,PARTIDOS!AT$8),0)</f>
        <v>481</v>
      </c>
      <c r="BK19" s="7">
        <v>0</v>
      </c>
      <c r="BL19" s="19">
        <f>+IF('Datos delta'!AU19&gt;0,REASIGN('Datos delta'!AU19,'Datos Protegidos'!$K19,PARTIDOS!AV$8),0)</f>
        <v>0</v>
      </c>
      <c r="BM19" s="7">
        <v>0</v>
      </c>
      <c r="BN19" s="19">
        <f>+IF('Datos delta'!AW19&gt;0,REASIGN('Datos delta'!AW19,'Datos Protegidos'!$K19,PARTIDOS!AX$8),0)</f>
        <v>0</v>
      </c>
      <c r="BO19" s="7">
        <v>0</v>
      </c>
      <c r="BP19" s="19">
        <f>+IF('Datos delta'!AY19&gt;0,REASIGN('Datos delta'!AY19,'Datos Protegidos'!$K19,PARTIDOS!AZ$8),0)</f>
        <v>0</v>
      </c>
      <c r="BQ19" s="7">
        <v>0</v>
      </c>
      <c r="BR19" s="19">
        <f>+IF('Datos delta'!BA19&gt;0,REASIGN('Datos delta'!BA19,'Datos Protegidos'!$K19,PARTIDOS!BB$8),0)</f>
        <v>0</v>
      </c>
      <c r="BS19" s="7">
        <v>0</v>
      </c>
      <c r="BT19" s="19">
        <f>+IF('Datos delta'!BC19&gt;0,REASIGN('Datos delta'!BC19,'Datos Protegidos'!$K19,PARTIDOS!BD$8),0)</f>
        <v>0</v>
      </c>
      <c r="BU19" s="7">
        <v>0</v>
      </c>
      <c r="BV19" s="19">
        <f>+IF('Datos delta'!BE19&gt;0,REASIGN('Datos delta'!BE19,'Datos Protegidos'!$K19,PARTIDOS!BF$8),0)</f>
        <v>0</v>
      </c>
      <c r="BW19" s="7">
        <v>0</v>
      </c>
      <c r="BX19" s="19">
        <f>+IF('Datos delta'!BG19&gt;0,REASIGN('Datos delta'!BG19,'Datos Protegidos'!$K19,PARTIDOS!BH$8),0)</f>
        <v>0</v>
      </c>
      <c r="BY19" s="7">
        <v>0</v>
      </c>
      <c r="BZ19" s="19">
        <f>+IF('Datos delta'!BI19&gt;0,REASIGN('Datos delta'!BI19,'Datos Protegidos'!$K19,PARTIDOS!BJ$8),0)</f>
        <v>0</v>
      </c>
      <c r="CA19" s="7">
        <v>0</v>
      </c>
      <c r="CB19" s="19">
        <f>+IF('Datos delta'!BK19&gt;0,REASIGN('Datos delta'!BK19,'Datos Protegidos'!$K19,PARTIDOS!BL$8),0)</f>
        <v>0</v>
      </c>
      <c r="CC19" s="7">
        <v>0</v>
      </c>
      <c r="CD19" s="19">
        <f>+IF('Datos delta'!BM19&gt;0,REASIGN('Datos delta'!BM19,'Datos Protegidos'!$K19,PARTIDOS!BN$8),0)</f>
        <v>0</v>
      </c>
      <c r="CE19" s="7">
        <v>0</v>
      </c>
      <c r="CF19" s="19">
        <f>+IF('Datos delta'!BO19&gt;0,REASIGN('Datos delta'!BO19,'Datos Protegidos'!$K19,PARTIDOS!BP$8),0)</f>
        <v>0</v>
      </c>
      <c r="CG19" s="7">
        <v>0</v>
      </c>
      <c r="CH19" s="19">
        <f>+IF('Datos delta'!BQ19&gt;0,REASIGN('Datos delta'!BQ19,'Datos Protegidos'!$K19,PARTIDOS!BR$8),0)</f>
        <v>0</v>
      </c>
      <c r="CI19" s="7">
        <v>0</v>
      </c>
      <c r="CJ19" s="19">
        <f>+IF('Datos delta'!BS19&gt;0,REASIGN('Datos delta'!BS19,'Datos Protegidos'!$K19,PARTIDOS!BT$8),0)</f>
        <v>0</v>
      </c>
      <c r="CK19" s="7">
        <v>0</v>
      </c>
      <c r="CL19" s="19">
        <f>+IF('Datos delta'!BU19&gt;0,REASIGN('Datos delta'!BU19,'Datos Protegidos'!$K19,PARTIDOS!BV$8),0)</f>
        <v>0</v>
      </c>
      <c r="CM19" s="7">
        <v>0</v>
      </c>
      <c r="CN19" s="19">
        <f>+IF('Datos delta'!BW19&gt;0,REASIGN('Datos delta'!BW19,'Datos Protegidos'!$K19,PARTIDOS!BX$8),0)</f>
        <v>0</v>
      </c>
      <c r="CO19" s="7">
        <v>0</v>
      </c>
      <c r="CP19" s="19">
        <f>+IF('Datos delta'!BY19&gt;0,REASIGN('Datos delta'!BY19,'Datos Protegidos'!$K19,PARTIDOS!BZ$8),0)</f>
        <v>0</v>
      </c>
      <c r="CQ19" s="7">
        <v>0</v>
      </c>
      <c r="CR19" s="19">
        <f>+IF('Datos delta'!CA19&gt;0,REASIGN('Datos delta'!CA19,'Datos Protegidos'!$K19,PARTIDOS!CB$8),0)</f>
        <v>0</v>
      </c>
      <c r="CS19" s="7">
        <v>0</v>
      </c>
      <c r="CT19" s="19">
        <f>+IF('Datos delta'!CC19&gt;0,REASIGN('Datos delta'!CC19,'Datos Protegidos'!$K19,PARTIDOS!CD$8),0)</f>
        <v>0</v>
      </c>
      <c r="CU19" s="7">
        <v>0</v>
      </c>
      <c r="CV19" s="19">
        <f>+IF('Datos delta'!CE19&gt;0,REASIGN('Datos delta'!CE19,'Datos Protegidos'!$K19,PARTIDOS!CF$8),0)</f>
        <v>0</v>
      </c>
      <c r="CW19" s="7">
        <v>0</v>
      </c>
      <c r="CX19" s="19">
        <f>+IF('Datos delta'!CG19&gt;0,REASIGN('Datos delta'!CG19,'Datos Protegidos'!$K19,PARTIDOS!CH$8),0)</f>
        <v>0</v>
      </c>
      <c r="CY19" s="7">
        <v>0</v>
      </c>
      <c r="CZ19" s="19">
        <f>+IF('Datos delta'!CI19&gt;0,REASIGN('Datos delta'!CI19,'Datos Protegidos'!$K19,PARTIDOS!CJ$8),0)</f>
        <v>0</v>
      </c>
      <c r="DA19" s="7">
        <v>0</v>
      </c>
      <c r="DB19" s="19">
        <f>+IF('Datos delta'!CK19&gt;0,REASIGN('Datos delta'!CK19,'Datos Protegidos'!$K19,PARTIDOS!CL$8),0)</f>
        <v>0</v>
      </c>
      <c r="DC19" s="7">
        <v>0</v>
      </c>
      <c r="DD19" s="19">
        <f>+IF('Datos delta'!CM19&gt;0,REASIGN('Datos delta'!CM19,'Datos Protegidos'!$K19,PARTIDOS!CN$8),0)</f>
        <v>0</v>
      </c>
      <c r="DE19" s="7">
        <v>0</v>
      </c>
      <c r="DF19" s="19">
        <f>+IF('Datos delta'!CO19&gt;0,REASIGN('Datos delta'!CO19,'Datos Protegidos'!$K19,PARTIDOS!CP$8),0)</f>
        <v>0</v>
      </c>
      <c r="DG19" s="7">
        <v>0</v>
      </c>
      <c r="DH19" s="19">
        <f>+IF('Datos delta'!CQ19&gt;0,REASIGN('Datos delta'!CQ19,'Datos Protegidos'!$K19,PARTIDOS!CR$8),0)</f>
        <v>0</v>
      </c>
      <c r="DI19" s="7">
        <v>0</v>
      </c>
      <c r="DJ19" s="19">
        <f>+IF('Datos delta'!CS19&gt;0,REASIGN('Datos delta'!CS19,'Datos Protegidos'!$K19,PARTIDOS!CT$8),0)</f>
        <v>0</v>
      </c>
      <c r="DK19" s="7">
        <v>0</v>
      </c>
      <c r="DL19" s="19">
        <f>+IF('Datos delta'!CU19&gt;0,REASIGN('Datos delta'!CU19,'Datos Protegidos'!$K19,PARTIDOS!CV$8),0)</f>
        <v>0</v>
      </c>
      <c r="DM19" s="7">
        <v>0</v>
      </c>
      <c r="DN19" s="19">
        <f>+IF('Datos delta'!CW19&gt;0,REASIGN('Datos delta'!CW19,'Datos Protegidos'!$K19,PARTIDOS!CX$8),0)</f>
        <v>0</v>
      </c>
      <c r="DO19" s="7">
        <v>0</v>
      </c>
      <c r="DP19" s="19">
        <f>+IF('Datos delta'!CY19&gt;0,REASIGN('Datos delta'!CY19,'Datos Protegidos'!$K19,PARTIDOS!CZ$8),0)</f>
        <v>0</v>
      </c>
      <c r="DQ19" s="7">
        <v>0</v>
      </c>
      <c r="DR19" s="19">
        <f>+IF('Datos delta'!DA19&gt;0,REASIGN('Datos delta'!DA19,'Datos Protegidos'!$K19,PARTIDOS!DB$8),0)</f>
        <v>0</v>
      </c>
      <c r="DS19" s="7">
        <v>0</v>
      </c>
      <c r="DT19" s="19">
        <f>+IF('Datos delta'!DC19&gt;0,REASIGN('Datos delta'!DC19,'Datos Protegidos'!$K19,PARTIDOS!DD$8),0)</f>
        <v>0</v>
      </c>
      <c r="DU19" s="7">
        <v>0</v>
      </c>
      <c r="DV19" s="19">
        <f>+IF('Datos delta'!DE19&gt;0,REASIGN('Datos delta'!DE19,'Datos Protegidos'!$K19,PARTIDOS!DF$8),0)</f>
        <v>0</v>
      </c>
      <c r="DW19" s="7">
        <v>0</v>
      </c>
      <c r="DX19" s="19">
        <f>+IF('Datos delta'!DG19&gt;0,REASIGN('Datos delta'!DG19,'Datos Protegidos'!$K19,PARTIDOS!DH$8),0)</f>
        <v>0</v>
      </c>
      <c r="DY19" s="7">
        <v>0</v>
      </c>
      <c r="DZ19" s="19">
        <f>+IF('Datos delta'!DI19&gt;0,REASIGN('Datos delta'!DI19,'Datos Protegidos'!$K19,PARTIDOS!DJ$8),0)</f>
        <v>0</v>
      </c>
      <c r="EA19" s="7">
        <v>0</v>
      </c>
      <c r="EB19" s="19">
        <f>+IF('Datos delta'!DK19&gt;0,REASIGN('Datos delta'!DK19,'Datos Protegidos'!$K19,PARTIDOS!DL$8),0)</f>
        <v>0</v>
      </c>
      <c r="EC19" s="7">
        <v>0</v>
      </c>
      <c r="ED19" s="19">
        <f>+IF('Datos delta'!DM19&gt;0,REASIGN('Datos delta'!DM19,'Datos Protegidos'!$K19,PARTIDOS!DN$8),0)</f>
        <v>0</v>
      </c>
      <c r="EE19" s="7">
        <v>0</v>
      </c>
      <c r="EF19" s="19">
        <f>+IF('Datos delta'!DO19&gt;0,REASIGN('Datos delta'!DO19,'Datos Protegidos'!$K19,PARTIDOS!DP$8),0)</f>
        <v>0</v>
      </c>
      <c r="EG19" s="7">
        <v>0</v>
      </c>
      <c r="EH19" s="19">
        <f>+IF('Datos delta'!DQ19&gt;0,REASIGN('Datos delta'!DQ19,'Datos Protegidos'!$K19,PARTIDOS!DR$8),0)</f>
        <v>0</v>
      </c>
      <c r="EI19" s="7">
        <v>0</v>
      </c>
      <c r="EJ19" s="19">
        <f>+IF('Datos delta'!DS19&gt;0,REASIGN('Datos delta'!DS19,'Datos Protegidos'!$K19,PARTIDOS!DT$8),0)</f>
        <v>0</v>
      </c>
      <c r="EK19" s="7">
        <v>0</v>
      </c>
      <c r="EL19" s="19">
        <f>+IF('Datos delta'!DU19&gt;0,REASIGN('Datos delta'!DU19,'Datos Protegidos'!$K19,PARTIDOS!DV$8),0)</f>
        <v>0</v>
      </c>
      <c r="EM19" s="7">
        <v>0</v>
      </c>
      <c r="EN19" s="19">
        <f>+IF('Datos delta'!DW19&gt;0,REASIGN('Datos delta'!DW19,'Datos Protegidos'!$K19,PARTIDOS!DX$8),0)</f>
        <v>0</v>
      </c>
      <c r="EO19" s="7">
        <v>0</v>
      </c>
      <c r="EP19" s="19">
        <f>+IF('Datos delta'!DY19&gt;0,REASIGN('Datos delta'!DY19,'Datos Protegidos'!$K19,PARTIDOS!DZ$8),0)</f>
        <v>0</v>
      </c>
      <c r="EQ19" s="7">
        <v>0</v>
      </c>
      <c r="ER19" s="19">
        <f>+IF('Datos delta'!EA19&gt;0,REASIGN('Datos delta'!EA19,'Datos Protegidos'!$K19,PARTIDOS!EB$8),0)</f>
        <v>0</v>
      </c>
      <c r="ES19" s="7">
        <v>0</v>
      </c>
      <c r="ET19" s="19">
        <f>+IF('Datos delta'!EC19&gt;0,REASIGN('Datos delta'!EC19,'Datos Protegidos'!$K19,PARTIDOS!ED$8),0)</f>
        <v>0</v>
      </c>
      <c r="EU19" s="7">
        <v>0</v>
      </c>
    </row>
    <row r="20" spans="1:151" x14ac:dyDescent="0.25">
      <c r="A20" s="7" t="s">
        <v>37</v>
      </c>
      <c r="B20" s="8">
        <v>16</v>
      </c>
      <c r="C20" s="7" t="s">
        <v>40</v>
      </c>
      <c r="D20" s="9">
        <v>197222</v>
      </c>
      <c r="E20">
        <v>383</v>
      </c>
      <c r="F20" s="1">
        <v>151282</v>
      </c>
      <c r="G20" s="1">
        <v>3159</v>
      </c>
      <c r="H20" s="1">
        <v>154441</v>
      </c>
      <c r="I20"/>
      <c r="J20" s="1"/>
      <c r="K20"/>
      <c r="L20" s="3">
        <f t="shared" si="1"/>
        <v>113513</v>
      </c>
      <c r="M20" s="3">
        <f t="shared" si="2"/>
        <v>112095</v>
      </c>
      <c r="N20" s="6">
        <f t="shared" si="0"/>
        <v>111093</v>
      </c>
      <c r="O20" s="1">
        <v>1002</v>
      </c>
      <c r="P20" s="1">
        <v>1418</v>
      </c>
      <c r="Q20" s="6">
        <f t="shared" si="3"/>
        <v>3</v>
      </c>
      <c r="R20" s="19">
        <f>+IF('Datos delta'!A20&gt;0,REASIGN('Datos delta'!A20,'Datos Protegidos'!$K20,PARTIDOS!B$8),0)</f>
        <v>43212</v>
      </c>
      <c r="S20" s="7">
        <v>2</v>
      </c>
      <c r="T20" s="19">
        <f>+IF('Datos delta'!C20&gt;0,REASIGN('Datos delta'!C20,'Datos Protegidos'!$K20,PARTIDOS!D$8),0)</f>
        <v>38470</v>
      </c>
      <c r="U20" s="7">
        <v>1</v>
      </c>
      <c r="V20" s="19">
        <f>+IF('Datos delta'!E20&gt;0,REASIGN('Datos delta'!E20,'Datos Protegidos'!$K20,PARTIDOS!F$8),0)</f>
        <v>20510</v>
      </c>
      <c r="W20" s="7">
        <v>0</v>
      </c>
      <c r="X20" s="19">
        <f>+IF('Datos delta'!G20&gt;0,REASIGN('Datos delta'!G20,'Datos Protegidos'!$K20,PARTIDOS!H$8),0)</f>
        <v>7905</v>
      </c>
      <c r="Y20" s="7">
        <v>0</v>
      </c>
      <c r="Z20" s="19">
        <f>+IF('Datos delta'!I20&gt;0,REASIGN('Datos delta'!I20,'Datos Protegidos'!$K20,PARTIDOS!J$8),0)</f>
        <v>0</v>
      </c>
      <c r="AA20" s="7">
        <v>0</v>
      </c>
      <c r="AB20" s="19">
        <f>+IF('Datos delta'!K20&gt;0,REASIGN('Datos delta'!K20,'Datos Protegidos'!$K20,PARTIDOS!L$8),0)</f>
        <v>0</v>
      </c>
      <c r="AC20" s="7">
        <v>0</v>
      </c>
      <c r="AD20" s="19">
        <f>+IF('Datos delta'!M20&gt;0,REASIGN('Datos delta'!M20,'Datos Protegidos'!$K20,PARTIDOS!N$8),0)</f>
        <v>0</v>
      </c>
      <c r="AE20" s="7">
        <v>0</v>
      </c>
      <c r="AF20" s="19">
        <f>+IF('Datos delta'!O20&gt;0,REASIGN('Datos delta'!O20,'Datos Protegidos'!$K20,PARTIDOS!P$8),0)</f>
        <v>0</v>
      </c>
      <c r="AG20" s="7">
        <v>0</v>
      </c>
      <c r="AH20" s="19">
        <f>+IF('Datos delta'!Q20&gt;0,REASIGN('Datos delta'!Q20,'Datos Protegidos'!$K20,PARTIDOS!R$8),0)</f>
        <v>0</v>
      </c>
      <c r="AI20" s="7">
        <v>0</v>
      </c>
      <c r="AJ20" s="19">
        <f>+IF('Datos delta'!S20&gt;0,REASIGN('Datos delta'!S20,'Datos Protegidos'!$K20,PARTIDOS!T$8),0)</f>
        <v>0</v>
      </c>
      <c r="AK20" s="7">
        <v>0</v>
      </c>
      <c r="AL20" s="19">
        <f>+IF('Datos delta'!U20&gt;0,REASIGN('Datos delta'!U20,'Datos Protegidos'!$K20,PARTIDOS!V$8),0)</f>
        <v>0</v>
      </c>
      <c r="AM20" s="7">
        <v>0</v>
      </c>
      <c r="AN20" s="19">
        <f>+IF('Datos delta'!W20&gt;0,REASIGN('Datos delta'!W20,'Datos Protegidos'!$K20,PARTIDOS!X$8),0)</f>
        <v>0</v>
      </c>
      <c r="AO20" s="7">
        <v>0</v>
      </c>
      <c r="AP20" s="19">
        <f>+IF('Datos delta'!Y20&gt;0,REASIGN('Datos delta'!Y20,'Datos Protegidos'!$K20,PARTIDOS!Z$8),0)</f>
        <v>0</v>
      </c>
      <c r="AQ20" s="7">
        <v>0</v>
      </c>
      <c r="AR20" s="19">
        <f>+IF('Datos delta'!AA20&gt;0,REASIGN('Datos delta'!AA20,'Datos Protegidos'!$K20,PARTIDOS!AB$8),0)</f>
        <v>0</v>
      </c>
      <c r="AS20" s="7">
        <v>0</v>
      </c>
      <c r="AT20" s="19">
        <f>+IF('Datos delta'!AC20&gt;0,REASIGN('Datos delta'!AC20,'Datos Protegidos'!$K20,PARTIDOS!AD$8),0)</f>
        <v>0</v>
      </c>
      <c r="AU20" s="7">
        <v>0</v>
      </c>
      <c r="AV20" s="19">
        <f>+IF('Datos delta'!AE20&gt;0,REASIGN('Datos delta'!AE20,'Datos Protegidos'!$K20,PARTIDOS!AF$8),0)</f>
        <v>0</v>
      </c>
      <c r="AW20" s="7">
        <v>0</v>
      </c>
      <c r="AX20" s="19">
        <f>+IF('Datos delta'!AG20&gt;0,REASIGN('Datos delta'!AG20,'Datos Protegidos'!$K20,PARTIDOS!AH$8),0)</f>
        <v>0</v>
      </c>
      <c r="AY20" s="7">
        <v>0</v>
      </c>
      <c r="AZ20" s="19">
        <f>+IF('Datos delta'!AI20&gt;0,REASIGN('Datos delta'!AI20,'Datos Protegidos'!$K20,PARTIDOS!AJ$8),0)</f>
        <v>0</v>
      </c>
      <c r="BA20" s="7">
        <v>0</v>
      </c>
      <c r="BB20" s="19">
        <f>+IF('Datos delta'!AK20&gt;0,REASIGN('Datos delta'!AK20,'Datos Protegidos'!$K20,PARTIDOS!AL$8),0)</f>
        <v>0</v>
      </c>
      <c r="BC20" s="7">
        <v>0</v>
      </c>
      <c r="BD20" s="19">
        <f>+IF('Datos delta'!AM20&gt;0,REASIGN('Datos delta'!AM20,'Datos Protegidos'!$K20,PARTIDOS!AN$8),0)</f>
        <v>542</v>
      </c>
      <c r="BE20" s="7">
        <v>0</v>
      </c>
      <c r="BF20" s="19">
        <f>+IF('Datos delta'!AO20&gt;0,REASIGN('Datos delta'!AO20,'Datos Protegidos'!$K20,PARTIDOS!AP$8),0)</f>
        <v>0</v>
      </c>
      <c r="BG20" s="7">
        <v>0</v>
      </c>
      <c r="BH20" s="19">
        <f>+IF('Datos delta'!AQ20&gt;0,REASIGN('Datos delta'!AQ20,'Datos Protegidos'!$K20,PARTIDOS!AR$8),0)</f>
        <v>124</v>
      </c>
      <c r="BI20" s="7">
        <v>0</v>
      </c>
      <c r="BJ20" s="19">
        <f>+IF('Datos delta'!AS20&gt;0,REASIGN('Datos delta'!AS20,'Datos Protegidos'!$K20,PARTIDOS!AT$8),0)</f>
        <v>128</v>
      </c>
      <c r="BK20" s="7">
        <v>0</v>
      </c>
      <c r="BL20" s="19">
        <f>+IF('Datos delta'!AU20&gt;0,REASIGN('Datos delta'!AU20,'Datos Protegidos'!$K20,PARTIDOS!AV$8),0)</f>
        <v>0</v>
      </c>
      <c r="BM20" s="7">
        <v>0</v>
      </c>
      <c r="BN20" s="19">
        <f>+IF('Datos delta'!AW20&gt;0,REASIGN('Datos delta'!AW20,'Datos Protegidos'!$K20,PARTIDOS!AX$8),0)</f>
        <v>0</v>
      </c>
      <c r="BO20" s="7">
        <v>0</v>
      </c>
      <c r="BP20" s="19">
        <f>+IF('Datos delta'!AY20&gt;0,REASIGN('Datos delta'!AY20,'Datos Protegidos'!$K20,PARTIDOS!AZ$8),0)</f>
        <v>0</v>
      </c>
      <c r="BQ20" s="7">
        <v>0</v>
      </c>
      <c r="BR20" s="19">
        <f>+IF('Datos delta'!BA20&gt;0,REASIGN('Datos delta'!BA20,'Datos Protegidos'!$K20,PARTIDOS!BB$8),0)</f>
        <v>87</v>
      </c>
      <c r="BS20" s="7">
        <v>0</v>
      </c>
      <c r="BT20" s="19">
        <f>+IF('Datos delta'!BC20&gt;0,REASIGN('Datos delta'!BC20,'Datos Protegidos'!$K20,PARTIDOS!BD$8),0)</f>
        <v>69</v>
      </c>
      <c r="BU20" s="7">
        <v>0</v>
      </c>
      <c r="BV20" s="19">
        <f>+IF('Datos delta'!BE20&gt;0,REASIGN('Datos delta'!BE20,'Datos Protegidos'!$K20,PARTIDOS!BF$8),0)</f>
        <v>0</v>
      </c>
      <c r="BW20" s="7">
        <v>0</v>
      </c>
      <c r="BX20" s="19">
        <f>+IF('Datos delta'!BG20&gt;0,REASIGN('Datos delta'!BG20,'Datos Protegidos'!$K20,PARTIDOS!BH$8),0)</f>
        <v>0</v>
      </c>
      <c r="BY20" s="7">
        <v>0</v>
      </c>
      <c r="BZ20" s="19">
        <f>+IF('Datos delta'!BI20&gt;0,REASIGN('Datos delta'!BI20,'Datos Protegidos'!$K20,PARTIDOS!BJ$8),0)</f>
        <v>0</v>
      </c>
      <c r="CA20" s="7">
        <v>0</v>
      </c>
      <c r="CB20" s="19">
        <f>+IF('Datos delta'!BK20&gt;0,REASIGN('Datos delta'!BK20,'Datos Protegidos'!$K20,PARTIDOS!BL$8),0)</f>
        <v>0</v>
      </c>
      <c r="CC20" s="7">
        <v>0</v>
      </c>
      <c r="CD20" s="19">
        <f>+IF('Datos delta'!BM20&gt;0,REASIGN('Datos delta'!BM20,'Datos Protegidos'!$K20,PARTIDOS!BN$8),0)</f>
        <v>0</v>
      </c>
      <c r="CE20" s="7">
        <v>0</v>
      </c>
      <c r="CF20" s="19">
        <f>+IF('Datos delta'!BO20&gt;0,REASIGN('Datos delta'!BO20,'Datos Protegidos'!$K20,PARTIDOS!BP$8),0)</f>
        <v>0</v>
      </c>
      <c r="CG20" s="7">
        <v>0</v>
      </c>
      <c r="CH20" s="19">
        <f>+IF('Datos delta'!BQ20&gt;0,REASIGN('Datos delta'!BQ20,'Datos Protegidos'!$K20,PARTIDOS!BR$8),0)</f>
        <v>0</v>
      </c>
      <c r="CI20" s="7">
        <v>0</v>
      </c>
      <c r="CJ20" s="19">
        <f>+IF('Datos delta'!BS20&gt;0,REASIGN('Datos delta'!BS20,'Datos Protegidos'!$K20,PARTIDOS!BT$8),0)</f>
        <v>0</v>
      </c>
      <c r="CK20" s="7">
        <v>0</v>
      </c>
      <c r="CL20" s="19">
        <f>+IF('Datos delta'!BU20&gt;0,REASIGN('Datos delta'!BU20,'Datos Protegidos'!$K20,PARTIDOS!BV$8),0)</f>
        <v>0</v>
      </c>
      <c r="CM20" s="7">
        <v>0</v>
      </c>
      <c r="CN20" s="19">
        <f>+IF('Datos delta'!BW20&gt;0,REASIGN('Datos delta'!BW20,'Datos Protegidos'!$K20,PARTIDOS!BX$8),0)</f>
        <v>0</v>
      </c>
      <c r="CO20" s="7">
        <v>0</v>
      </c>
      <c r="CP20" s="19">
        <f>+IF('Datos delta'!BY20&gt;0,REASIGN('Datos delta'!BY20,'Datos Protegidos'!$K20,PARTIDOS!BZ$8),0)</f>
        <v>0</v>
      </c>
      <c r="CQ20" s="7">
        <v>0</v>
      </c>
      <c r="CR20" s="19">
        <f>+IF('Datos delta'!CA20&gt;0,REASIGN('Datos delta'!CA20,'Datos Protegidos'!$K20,PARTIDOS!CB$8),0)</f>
        <v>0</v>
      </c>
      <c r="CS20" s="7">
        <v>0</v>
      </c>
      <c r="CT20" s="19">
        <f>+IF('Datos delta'!CC20&gt;0,REASIGN('Datos delta'!CC20,'Datos Protegidos'!$K20,PARTIDOS!CD$8),0)</f>
        <v>0</v>
      </c>
      <c r="CU20" s="7">
        <v>0</v>
      </c>
      <c r="CV20" s="19">
        <f>+IF('Datos delta'!CE20&gt;0,REASIGN('Datos delta'!CE20,'Datos Protegidos'!$K20,PARTIDOS!CF$8),0)</f>
        <v>0</v>
      </c>
      <c r="CW20" s="7">
        <v>0</v>
      </c>
      <c r="CX20" s="19">
        <f>+IF('Datos delta'!CG20&gt;0,REASIGN('Datos delta'!CG20,'Datos Protegidos'!$K20,PARTIDOS!CH$8),0)</f>
        <v>0</v>
      </c>
      <c r="CY20" s="7">
        <v>0</v>
      </c>
      <c r="CZ20" s="19">
        <f>+IF('Datos delta'!CI20&gt;0,REASIGN('Datos delta'!CI20,'Datos Protegidos'!$K20,PARTIDOS!CJ$8),0)</f>
        <v>0</v>
      </c>
      <c r="DA20" s="7">
        <v>0</v>
      </c>
      <c r="DB20" s="19">
        <f>+IF('Datos delta'!CK20&gt;0,REASIGN('Datos delta'!CK20,'Datos Protegidos'!$K20,PARTIDOS!CL$8),0)</f>
        <v>0</v>
      </c>
      <c r="DC20" s="7">
        <v>0</v>
      </c>
      <c r="DD20" s="19">
        <f>+IF('Datos delta'!CM20&gt;0,REASIGN('Datos delta'!CM20,'Datos Protegidos'!$K20,PARTIDOS!CN$8),0)</f>
        <v>0</v>
      </c>
      <c r="DE20" s="7">
        <v>0</v>
      </c>
      <c r="DF20" s="19">
        <f>+IF('Datos delta'!CO20&gt;0,REASIGN('Datos delta'!CO20,'Datos Protegidos'!$K20,PARTIDOS!CP$8),0)</f>
        <v>0</v>
      </c>
      <c r="DG20" s="7">
        <v>0</v>
      </c>
      <c r="DH20" s="19">
        <f>+IF('Datos delta'!CQ20&gt;0,REASIGN('Datos delta'!CQ20,'Datos Protegidos'!$K20,PARTIDOS!CR$8),0)</f>
        <v>0</v>
      </c>
      <c r="DI20" s="7">
        <v>0</v>
      </c>
      <c r="DJ20" s="19">
        <f>+IF('Datos delta'!CS20&gt;0,REASIGN('Datos delta'!CS20,'Datos Protegidos'!$K20,PARTIDOS!CT$8),0)</f>
        <v>46</v>
      </c>
      <c r="DK20" s="7">
        <v>0</v>
      </c>
      <c r="DL20" s="19">
        <f>+IF('Datos delta'!CU20&gt;0,REASIGN('Datos delta'!CU20,'Datos Protegidos'!$K20,PARTIDOS!CV$8),0)</f>
        <v>0</v>
      </c>
      <c r="DM20" s="7">
        <v>0</v>
      </c>
      <c r="DN20" s="19">
        <f>+IF('Datos delta'!CW20&gt;0,REASIGN('Datos delta'!CW20,'Datos Protegidos'!$K20,PARTIDOS!CX$8),0)</f>
        <v>0</v>
      </c>
      <c r="DO20" s="7">
        <v>0</v>
      </c>
      <c r="DP20" s="19">
        <f>+IF('Datos delta'!CY20&gt;0,REASIGN('Datos delta'!CY20,'Datos Protegidos'!$K20,PARTIDOS!CZ$8),0)</f>
        <v>0</v>
      </c>
      <c r="DQ20" s="7">
        <v>0</v>
      </c>
      <c r="DR20" s="19">
        <f>+IF('Datos delta'!DA20&gt;0,REASIGN('Datos delta'!DA20,'Datos Protegidos'!$K20,PARTIDOS!DB$8),0)</f>
        <v>0</v>
      </c>
      <c r="DS20" s="7">
        <v>0</v>
      </c>
      <c r="DT20" s="19">
        <f>+IF('Datos delta'!DC20&gt;0,REASIGN('Datos delta'!DC20,'Datos Protegidos'!$K20,PARTIDOS!DD$8),0)</f>
        <v>0</v>
      </c>
      <c r="DU20" s="7">
        <v>0</v>
      </c>
      <c r="DV20" s="19">
        <f>+IF('Datos delta'!DE20&gt;0,REASIGN('Datos delta'!DE20,'Datos Protegidos'!$K20,PARTIDOS!DF$8),0)</f>
        <v>0</v>
      </c>
      <c r="DW20" s="7">
        <v>0</v>
      </c>
      <c r="DX20" s="19">
        <f>+IF('Datos delta'!DG20&gt;0,REASIGN('Datos delta'!DG20,'Datos Protegidos'!$K20,PARTIDOS!DH$8),0)</f>
        <v>0</v>
      </c>
      <c r="DY20" s="7">
        <v>0</v>
      </c>
      <c r="DZ20" s="19">
        <f>+IF('Datos delta'!DI20&gt;0,REASIGN('Datos delta'!DI20,'Datos Protegidos'!$K20,PARTIDOS!DJ$8),0)</f>
        <v>0</v>
      </c>
      <c r="EA20" s="7">
        <v>0</v>
      </c>
      <c r="EB20" s="19">
        <f>+IF('Datos delta'!DK20&gt;0,REASIGN('Datos delta'!DK20,'Datos Protegidos'!$K20,PARTIDOS!DL$8),0)</f>
        <v>0</v>
      </c>
      <c r="EC20" s="7">
        <v>0</v>
      </c>
      <c r="ED20" s="19">
        <f>+IF('Datos delta'!DM20&gt;0,REASIGN('Datos delta'!DM20,'Datos Protegidos'!$K20,PARTIDOS!DN$8),0)</f>
        <v>0</v>
      </c>
      <c r="EE20" s="7">
        <v>0</v>
      </c>
      <c r="EF20" s="19">
        <f>+IF('Datos delta'!DO20&gt;0,REASIGN('Datos delta'!DO20,'Datos Protegidos'!$K20,PARTIDOS!DP$8),0)</f>
        <v>0</v>
      </c>
      <c r="EG20" s="7">
        <v>0</v>
      </c>
      <c r="EH20" s="19">
        <f>+IF('Datos delta'!DQ20&gt;0,REASIGN('Datos delta'!DQ20,'Datos Protegidos'!$K20,PARTIDOS!DR$8),0)</f>
        <v>0</v>
      </c>
      <c r="EI20" s="7">
        <v>0</v>
      </c>
      <c r="EJ20" s="19">
        <f>+IF('Datos delta'!DS20&gt;0,REASIGN('Datos delta'!DS20,'Datos Protegidos'!$K20,PARTIDOS!DT$8),0)</f>
        <v>0</v>
      </c>
      <c r="EK20" s="7">
        <v>0</v>
      </c>
      <c r="EL20" s="19">
        <f>+IF('Datos delta'!DU20&gt;0,REASIGN('Datos delta'!DU20,'Datos Protegidos'!$K20,PARTIDOS!DV$8),0)</f>
        <v>0</v>
      </c>
      <c r="EM20" s="7">
        <v>0</v>
      </c>
      <c r="EN20" s="19">
        <f>+IF('Datos delta'!DW20&gt;0,REASIGN('Datos delta'!DW20,'Datos Protegidos'!$K20,PARTIDOS!DX$8),0)</f>
        <v>0</v>
      </c>
      <c r="EO20" s="7">
        <v>0</v>
      </c>
      <c r="EP20" s="19">
        <f>+IF('Datos delta'!DY20&gt;0,REASIGN('Datos delta'!DY20,'Datos Protegidos'!$K20,PARTIDOS!DZ$8),0)</f>
        <v>0</v>
      </c>
      <c r="EQ20" s="7">
        <v>0</v>
      </c>
      <c r="ER20" s="19">
        <f>+IF('Datos delta'!EA20&gt;0,REASIGN('Datos delta'!EA20,'Datos Protegidos'!$K20,PARTIDOS!EB$8),0)</f>
        <v>0</v>
      </c>
      <c r="ES20" s="7">
        <v>0</v>
      </c>
      <c r="ET20" s="19">
        <f>+IF('Datos delta'!EC20&gt;0,REASIGN('Datos delta'!EC20,'Datos Protegidos'!$K20,PARTIDOS!ED$8),0)</f>
        <v>0</v>
      </c>
      <c r="EU20" s="7">
        <v>0</v>
      </c>
    </row>
    <row r="21" spans="1:151" x14ac:dyDescent="0.25">
      <c r="A21" s="7" t="s">
        <v>37</v>
      </c>
      <c r="B21" s="8">
        <v>19</v>
      </c>
      <c r="C21" s="7" t="s">
        <v>41</v>
      </c>
      <c r="D21" s="9">
        <v>254308</v>
      </c>
      <c r="E21">
        <v>523</v>
      </c>
      <c r="F21" s="1">
        <v>182810</v>
      </c>
      <c r="G21" s="1">
        <v>4561</v>
      </c>
      <c r="H21" s="1">
        <v>187371</v>
      </c>
      <c r="I21"/>
      <c r="J21" s="1"/>
      <c r="K21"/>
      <c r="L21" s="3">
        <f t="shared" si="1"/>
        <v>136829</v>
      </c>
      <c r="M21" s="3">
        <f t="shared" si="2"/>
        <v>135187</v>
      </c>
      <c r="N21" s="6">
        <f t="shared" si="0"/>
        <v>134039</v>
      </c>
      <c r="O21" s="1">
        <v>1148</v>
      </c>
      <c r="P21" s="1">
        <v>1642</v>
      </c>
      <c r="Q21" s="6">
        <f t="shared" si="3"/>
        <v>3</v>
      </c>
      <c r="R21" s="19">
        <f>+IF('Datos delta'!A21&gt;0,REASIGN('Datos delta'!A21,'Datos Protegidos'!$K21,PARTIDOS!B$8),0)</f>
        <v>44241</v>
      </c>
      <c r="S21" s="7">
        <v>1</v>
      </c>
      <c r="T21" s="19">
        <f>+IF('Datos delta'!C21&gt;0,REASIGN('Datos delta'!C21,'Datos Protegidos'!$K21,PARTIDOS!D$8),0)</f>
        <v>39186</v>
      </c>
      <c r="U21" s="7">
        <v>1</v>
      </c>
      <c r="V21" s="19">
        <f>+IF('Datos delta'!E21&gt;0,REASIGN('Datos delta'!E21,'Datos Protegidos'!$K21,PARTIDOS!F$8),0)</f>
        <v>32316</v>
      </c>
      <c r="W21" s="7">
        <v>1</v>
      </c>
      <c r="X21" s="19">
        <f>+IF('Datos delta'!G21&gt;0,REASIGN('Datos delta'!G21,'Datos Protegidos'!$K21,PARTIDOS!H$8),0)</f>
        <v>15641</v>
      </c>
      <c r="Y21" s="7">
        <v>0</v>
      </c>
      <c r="Z21" s="19">
        <f>+IF('Datos delta'!I21&gt;0,REASIGN('Datos delta'!I21,'Datos Protegidos'!$K21,PARTIDOS!J$8),0)</f>
        <v>0</v>
      </c>
      <c r="AA21" s="7">
        <v>0</v>
      </c>
      <c r="AB21" s="19">
        <f>+IF('Datos delta'!K21&gt;0,REASIGN('Datos delta'!K21,'Datos Protegidos'!$K21,PARTIDOS!L$8),0)</f>
        <v>0</v>
      </c>
      <c r="AC21" s="7">
        <v>0</v>
      </c>
      <c r="AD21" s="19">
        <f>+IF('Datos delta'!M21&gt;0,REASIGN('Datos delta'!M21,'Datos Protegidos'!$K21,PARTIDOS!N$8),0)</f>
        <v>0</v>
      </c>
      <c r="AE21" s="7">
        <v>0</v>
      </c>
      <c r="AF21" s="19">
        <f>+IF('Datos delta'!O21&gt;0,REASIGN('Datos delta'!O21,'Datos Protegidos'!$K21,PARTIDOS!P$8),0)</f>
        <v>0</v>
      </c>
      <c r="AG21" s="7">
        <v>0</v>
      </c>
      <c r="AH21" s="19">
        <f>+IF('Datos delta'!Q21&gt;0,REASIGN('Datos delta'!Q21,'Datos Protegidos'!$K21,PARTIDOS!R$8),0)</f>
        <v>0</v>
      </c>
      <c r="AI21" s="7">
        <v>0</v>
      </c>
      <c r="AJ21" s="19">
        <f>+IF('Datos delta'!S21&gt;0,REASIGN('Datos delta'!S21,'Datos Protegidos'!$K21,PARTIDOS!T$8),0)</f>
        <v>0</v>
      </c>
      <c r="AK21" s="7">
        <v>0</v>
      </c>
      <c r="AL21" s="19">
        <f>+IF('Datos delta'!U21&gt;0,REASIGN('Datos delta'!U21,'Datos Protegidos'!$K21,PARTIDOS!V$8),0)</f>
        <v>0</v>
      </c>
      <c r="AM21" s="7">
        <v>0</v>
      </c>
      <c r="AN21" s="19">
        <f>+IF('Datos delta'!W21&gt;0,REASIGN('Datos delta'!W21,'Datos Protegidos'!$K21,PARTIDOS!X$8),0)</f>
        <v>0</v>
      </c>
      <c r="AO21" s="7">
        <v>0</v>
      </c>
      <c r="AP21" s="19">
        <f>+IF('Datos delta'!Y21&gt;0,REASIGN('Datos delta'!Y21,'Datos Protegidos'!$K21,PARTIDOS!Z$8),0)</f>
        <v>0</v>
      </c>
      <c r="AQ21" s="7">
        <v>0</v>
      </c>
      <c r="AR21" s="19">
        <f>+IF('Datos delta'!AA21&gt;0,REASIGN('Datos delta'!AA21,'Datos Protegidos'!$K21,PARTIDOS!AB$8),0)</f>
        <v>0</v>
      </c>
      <c r="AS21" s="7">
        <v>0</v>
      </c>
      <c r="AT21" s="19">
        <f>+IF('Datos delta'!AC21&gt;0,REASIGN('Datos delta'!AC21,'Datos Protegidos'!$K21,PARTIDOS!AD$8),0)</f>
        <v>0</v>
      </c>
      <c r="AU21" s="7">
        <v>0</v>
      </c>
      <c r="AV21" s="19">
        <f>+IF('Datos delta'!AE21&gt;0,REASIGN('Datos delta'!AE21,'Datos Protegidos'!$K21,PARTIDOS!AF$8),0)</f>
        <v>0</v>
      </c>
      <c r="AW21" s="7">
        <v>0</v>
      </c>
      <c r="AX21" s="19">
        <f>+IF('Datos delta'!AG21&gt;0,REASIGN('Datos delta'!AG21,'Datos Protegidos'!$K21,PARTIDOS!AH$8),0)</f>
        <v>0</v>
      </c>
      <c r="AY21" s="7">
        <v>0</v>
      </c>
      <c r="AZ21" s="19">
        <f>+IF('Datos delta'!AI21&gt;0,REASIGN('Datos delta'!AI21,'Datos Protegidos'!$K21,PARTIDOS!AJ$8),0)</f>
        <v>0</v>
      </c>
      <c r="BA21" s="7">
        <v>0</v>
      </c>
      <c r="BB21" s="19">
        <f>+IF('Datos delta'!AK21&gt;0,REASIGN('Datos delta'!AK21,'Datos Protegidos'!$K21,PARTIDOS!AL$8),0)</f>
        <v>0</v>
      </c>
      <c r="BC21" s="7">
        <v>0</v>
      </c>
      <c r="BD21" s="19">
        <f>+IF('Datos delta'!AM21&gt;0,REASIGN('Datos delta'!AM21,'Datos Protegidos'!$K21,PARTIDOS!AN$8),0)</f>
        <v>1259</v>
      </c>
      <c r="BE21" s="7">
        <v>0</v>
      </c>
      <c r="BF21" s="19">
        <f>+IF('Datos delta'!AO21&gt;0,REASIGN('Datos delta'!AO21,'Datos Protegidos'!$K21,PARTIDOS!AP$8),0)</f>
        <v>0</v>
      </c>
      <c r="BG21" s="7">
        <v>0</v>
      </c>
      <c r="BH21" s="19">
        <f>+IF('Datos delta'!AQ21&gt;0,REASIGN('Datos delta'!AQ21,'Datos Protegidos'!$K21,PARTIDOS!AR$8),0)</f>
        <v>285</v>
      </c>
      <c r="BI21" s="7">
        <v>0</v>
      </c>
      <c r="BJ21" s="19">
        <f>+IF('Datos delta'!AS21&gt;0,REASIGN('Datos delta'!AS21,'Datos Protegidos'!$K21,PARTIDOS!AT$8),0)</f>
        <v>282</v>
      </c>
      <c r="BK21" s="7">
        <v>0</v>
      </c>
      <c r="BL21" s="19">
        <f>+IF('Datos delta'!AU21&gt;0,REASIGN('Datos delta'!AU21,'Datos Protegidos'!$K21,PARTIDOS!AV$8),0)</f>
        <v>0</v>
      </c>
      <c r="BM21" s="7">
        <v>0</v>
      </c>
      <c r="BN21" s="19">
        <f>+IF('Datos delta'!AW21&gt;0,REASIGN('Datos delta'!AW21,'Datos Protegidos'!$K21,PARTIDOS!AX$8),0)</f>
        <v>0</v>
      </c>
      <c r="BO21" s="7">
        <v>0</v>
      </c>
      <c r="BP21" s="19">
        <f>+IF('Datos delta'!AY21&gt;0,REASIGN('Datos delta'!AY21,'Datos Protegidos'!$K21,PARTIDOS!AZ$8),0)</f>
        <v>0</v>
      </c>
      <c r="BQ21" s="7">
        <v>0</v>
      </c>
      <c r="BR21" s="19">
        <f>+IF('Datos delta'!BA21&gt;0,REASIGN('Datos delta'!BA21,'Datos Protegidos'!$K21,PARTIDOS!BB$8),0)</f>
        <v>91</v>
      </c>
      <c r="BS21" s="7">
        <v>0</v>
      </c>
      <c r="BT21" s="19">
        <f>+IF('Datos delta'!BC21&gt;0,REASIGN('Datos delta'!BC21,'Datos Protegidos'!$K21,PARTIDOS!BD$8),0)</f>
        <v>111</v>
      </c>
      <c r="BU21" s="7">
        <v>0</v>
      </c>
      <c r="BV21" s="19">
        <f>+IF('Datos delta'!BE21&gt;0,REASIGN('Datos delta'!BE21,'Datos Protegidos'!$K21,PARTIDOS!BF$8),0)</f>
        <v>0</v>
      </c>
      <c r="BW21" s="7">
        <v>0</v>
      </c>
      <c r="BX21" s="19">
        <f>+IF('Datos delta'!BG21&gt;0,REASIGN('Datos delta'!BG21,'Datos Protegidos'!$K21,PARTIDOS!BH$8),0)</f>
        <v>0</v>
      </c>
      <c r="BY21" s="7">
        <v>0</v>
      </c>
      <c r="BZ21" s="19">
        <f>+IF('Datos delta'!BI21&gt;0,REASIGN('Datos delta'!BI21,'Datos Protegidos'!$K21,PARTIDOS!BJ$8),0)</f>
        <v>204</v>
      </c>
      <c r="CA21" s="7">
        <v>0</v>
      </c>
      <c r="CB21" s="19">
        <f>+IF('Datos delta'!BK21&gt;0,REASIGN('Datos delta'!BK21,'Datos Protegidos'!$K21,PARTIDOS!BL$8),0)</f>
        <v>0</v>
      </c>
      <c r="CC21" s="7">
        <v>0</v>
      </c>
      <c r="CD21" s="19">
        <f>+IF('Datos delta'!BM21&gt;0,REASIGN('Datos delta'!BM21,'Datos Protegidos'!$K21,PARTIDOS!BN$8),0)</f>
        <v>0</v>
      </c>
      <c r="CE21" s="7">
        <v>0</v>
      </c>
      <c r="CF21" s="19">
        <f>+IF('Datos delta'!BO21&gt;0,REASIGN('Datos delta'!BO21,'Datos Protegidos'!$K21,PARTIDOS!BP$8),0)</f>
        <v>0</v>
      </c>
      <c r="CG21" s="7">
        <v>0</v>
      </c>
      <c r="CH21" s="19">
        <f>+IF('Datos delta'!BQ21&gt;0,REASIGN('Datos delta'!BQ21,'Datos Protegidos'!$K21,PARTIDOS!BR$8),0)</f>
        <v>0</v>
      </c>
      <c r="CI21" s="7">
        <v>0</v>
      </c>
      <c r="CJ21" s="19">
        <f>+IF('Datos delta'!BS21&gt;0,REASIGN('Datos delta'!BS21,'Datos Protegidos'!$K21,PARTIDOS!BT$8),0)</f>
        <v>0</v>
      </c>
      <c r="CK21" s="7">
        <v>0</v>
      </c>
      <c r="CL21" s="19">
        <f>+IF('Datos delta'!BU21&gt;0,REASIGN('Datos delta'!BU21,'Datos Protegidos'!$K21,PARTIDOS!BV$8),0)</f>
        <v>0</v>
      </c>
      <c r="CM21" s="7">
        <v>0</v>
      </c>
      <c r="CN21" s="19">
        <f>+IF('Datos delta'!BW21&gt;0,REASIGN('Datos delta'!BW21,'Datos Protegidos'!$K21,PARTIDOS!BX$8),0)</f>
        <v>0</v>
      </c>
      <c r="CO21" s="7">
        <v>0</v>
      </c>
      <c r="CP21" s="19">
        <f>+IF('Datos delta'!BY21&gt;0,REASIGN('Datos delta'!BY21,'Datos Protegidos'!$K21,PARTIDOS!BZ$8),0)</f>
        <v>0</v>
      </c>
      <c r="CQ21" s="7">
        <v>0</v>
      </c>
      <c r="CR21" s="19">
        <f>+IF('Datos delta'!CA21&gt;0,REASIGN('Datos delta'!CA21,'Datos Protegidos'!$K21,PARTIDOS!CB$8),0)</f>
        <v>0</v>
      </c>
      <c r="CS21" s="7">
        <v>0</v>
      </c>
      <c r="CT21" s="19">
        <f>+IF('Datos delta'!CC21&gt;0,REASIGN('Datos delta'!CC21,'Datos Protegidos'!$K21,PARTIDOS!CD$8),0)</f>
        <v>0</v>
      </c>
      <c r="CU21" s="7">
        <v>0</v>
      </c>
      <c r="CV21" s="19">
        <f>+IF('Datos delta'!CE21&gt;0,REASIGN('Datos delta'!CE21,'Datos Protegidos'!$K21,PARTIDOS!CF$8),0)</f>
        <v>0</v>
      </c>
      <c r="CW21" s="7">
        <v>0</v>
      </c>
      <c r="CX21" s="19">
        <f>+IF('Datos delta'!CG21&gt;0,REASIGN('Datos delta'!CG21,'Datos Protegidos'!$K21,PARTIDOS!CH$8),0)</f>
        <v>0</v>
      </c>
      <c r="CY21" s="7">
        <v>0</v>
      </c>
      <c r="CZ21" s="19">
        <f>+IF('Datos delta'!CI21&gt;0,REASIGN('Datos delta'!CI21,'Datos Protegidos'!$K21,PARTIDOS!CJ$8),0)</f>
        <v>0</v>
      </c>
      <c r="DA21" s="7">
        <v>0</v>
      </c>
      <c r="DB21" s="19">
        <f>+IF('Datos delta'!CK21&gt;0,REASIGN('Datos delta'!CK21,'Datos Protegidos'!$K21,PARTIDOS!CL$8),0)</f>
        <v>0</v>
      </c>
      <c r="DC21" s="7">
        <v>0</v>
      </c>
      <c r="DD21" s="19">
        <f>+IF('Datos delta'!CM21&gt;0,REASIGN('Datos delta'!CM21,'Datos Protegidos'!$K21,PARTIDOS!CN$8),0)</f>
        <v>0</v>
      </c>
      <c r="DE21" s="7">
        <v>0</v>
      </c>
      <c r="DF21" s="19">
        <f>+IF('Datos delta'!CO21&gt;0,REASIGN('Datos delta'!CO21,'Datos Protegidos'!$K21,PARTIDOS!CP$8),0)</f>
        <v>0</v>
      </c>
      <c r="DG21" s="7">
        <v>0</v>
      </c>
      <c r="DH21" s="19">
        <f>+IF('Datos delta'!CQ21&gt;0,REASIGN('Datos delta'!CQ21,'Datos Protegidos'!$K21,PARTIDOS!CR$8),0)</f>
        <v>232</v>
      </c>
      <c r="DI21" s="7">
        <v>0</v>
      </c>
      <c r="DJ21" s="19">
        <f>+IF('Datos delta'!CS21&gt;0,REASIGN('Datos delta'!CS21,'Datos Protegidos'!$K21,PARTIDOS!CT$8),0)</f>
        <v>0</v>
      </c>
      <c r="DK21" s="7">
        <v>0</v>
      </c>
      <c r="DL21" s="19">
        <f>+IF('Datos delta'!CU21&gt;0,REASIGN('Datos delta'!CU21,'Datos Protegidos'!$K21,PARTIDOS!CV$8),0)</f>
        <v>0</v>
      </c>
      <c r="DM21" s="7">
        <v>0</v>
      </c>
      <c r="DN21" s="19">
        <f>+IF('Datos delta'!CW21&gt;0,REASIGN('Datos delta'!CW21,'Datos Protegidos'!$K21,PARTIDOS!CX$8),0)</f>
        <v>0</v>
      </c>
      <c r="DO21" s="7">
        <v>0</v>
      </c>
      <c r="DP21" s="19">
        <f>+IF('Datos delta'!CY21&gt;0,REASIGN('Datos delta'!CY21,'Datos Protegidos'!$K21,PARTIDOS!CZ$8),0)</f>
        <v>0</v>
      </c>
      <c r="DQ21" s="7">
        <v>0</v>
      </c>
      <c r="DR21" s="19">
        <f>+IF('Datos delta'!DA21&gt;0,REASIGN('Datos delta'!DA21,'Datos Protegidos'!$K21,PARTIDOS!DB$8),0)</f>
        <v>0</v>
      </c>
      <c r="DS21" s="7">
        <v>0</v>
      </c>
      <c r="DT21" s="19">
        <f>+IF('Datos delta'!DC21&gt;0,REASIGN('Datos delta'!DC21,'Datos Protegidos'!$K21,PARTIDOS!DD$8),0)</f>
        <v>0</v>
      </c>
      <c r="DU21" s="7">
        <v>0</v>
      </c>
      <c r="DV21" s="19">
        <f>+IF('Datos delta'!DE21&gt;0,REASIGN('Datos delta'!DE21,'Datos Protegidos'!$K21,PARTIDOS!DF$8),0)</f>
        <v>0</v>
      </c>
      <c r="DW21" s="7">
        <v>0</v>
      </c>
      <c r="DX21" s="19">
        <f>+IF('Datos delta'!DG21&gt;0,REASIGN('Datos delta'!DG21,'Datos Protegidos'!$K21,PARTIDOS!DH$8),0)</f>
        <v>191</v>
      </c>
      <c r="DY21" s="7">
        <v>0</v>
      </c>
      <c r="DZ21" s="19">
        <f>+IF('Datos delta'!DI21&gt;0,REASIGN('Datos delta'!DI21,'Datos Protegidos'!$K21,PARTIDOS!DJ$8),0)</f>
        <v>0</v>
      </c>
      <c r="EA21" s="7">
        <v>0</v>
      </c>
      <c r="EB21" s="19">
        <f>+IF('Datos delta'!DK21&gt;0,REASIGN('Datos delta'!DK21,'Datos Protegidos'!$K21,PARTIDOS!DL$8),0)</f>
        <v>0</v>
      </c>
      <c r="EC21" s="7">
        <v>0</v>
      </c>
      <c r="ED21" s="19">
        <f>+IF('Datos delta'!DM21&gt;0,REASIGN('Datos delta'!DM21,'Datos Protegidos'!$K21,PARTIDOS!DN$8),0)</f>
        <v>0</v>
      </c>
      <c r="EE21" s="7">
        <v>0</v>
      </c>
      <c r="EF21" s="19">
        <f>+IF('Datos delta'!DO21&gt;0,REASIGN('Datos delta'!DO21,'Datos Protegidos'!$K21,PARTIDOS!DP$8),0)</f>
        <v>0</v>
      </c>
      <c r="EG21" s="7">
        <v>0</v>
      </c>
      <c r="EH21" s="19">
        <f>+IF('Datos delta'!DQ21&gt;0,REASIGN('Datos delta'!DQ21,'Datos Protegidos'!$K21,PARTIDOS!DR$8),0)</f>
        <v>0</v>
      </c>
      <c r="EI21" s="7">
        <v>0</v>
      </c>
      <c r="EJ21" s="19">
        <f>+IF('Datos delta'!DS21&gt;0,REASIGN('Datos delta'!DS21,'Datos Protegidos'!$K21,PARTIDOS!DT$8),0)</f>
        <v>0</v>
      </c>
      <c r="EK21" s="7">
        <v>0</v>
      </c>
      <c r="EL21" s="19">
        <f>+IF('Datos delta'!DU21&gt;0,REASIGN('Datos delta'!DU21,'Datos Protegidos'!$K21,PARTIDOS!DV$8),0)</f>
        <v>0</v>
      </c>
      <c r="EM21" s="7">
        <v>0</v>
      </c>
      <c r="EN21" s="19">
        <f>+IF('Datos delta'!DW21&gt;0,REASIGN('Datos delta'!DW21,'Datos Protegidos'!$K21,PARTIDOS!DX$8),0)</f>
        <v>0</v>
      </c>
      <c r="EO21" s="7">
        <v>0</v>
      </c>
      <c r="EP21" s="19">
        <f>+IF('Datos delta'!DY21&gt;0,REASIGN('Datos delta'!DY21,'Datos Protegidos'!$K21,PARTIDOS!DZ$8),0)</f>
        <v>0</v>
      </c>
      <c r="EQ21" s="7">
        <v>0</v>
      </c>
      <c r="ER21" s="19">
        <f>+IF('Datos delta'!EA21&gt;0,REASIGN('Datos delta'!EA21,'Datos Protegidos'!$K21,PARTIDOS!EB$8),0)</f>
        <v>0</v>
      </c>
      <c r="ES21" s="7">
        <v>0</v>
      </c>
      <c r="ET21" s="19">
        <f>+IF('Datos delta'!EC21&gt;0,REASIGN('Datos delta'!EC21,'Datos Protegidos'!$K21,PARTIDOS!ED$8),0)</f>
        <v>0</v>
      </c>
      <c r="EU21" s="7">
        <v>0</v>
      </c>
    </row>
    <row r="22" spans="1:151" x14ac:dyDescent="0.25">
      <c r="A22" s="7" t="s">
        <v>37</v>
      </c>
      <c r="B22" s="8">
        <v>45</v>
      </c>
      <c r="C22" s="7" t="s">
        <v>42</v>
      </c>
      <c r="D22" s="9">
        <v>687391</v>
      </c>
      <c r="E22">
        <v>926</v>
      </c>
      <c r="F22" s="1">
        <v>514083</v>
      </c>
      <c r="G22" s="1">
        <v>11669</v>
      </c>
      <c r="H22" s="1">
        <v>525752</v>
      </c>
      <c r="I22" s="1"/>
      <c r="J22" s="1"/>
      <c r="K22" s="1"/>
      <c r="L22" s="3">
        <f t="shared" si="1"/>
        <v>377296</v>
      </c>
      <c r="M22" s="3">
        <f t="shared" si="2"/>
        <v>372151</v>
      </c>
      <c r="N22" s="6">
        <f t="shared" si="0"/>
        <v>369490</v>
      </c>
      <c r="O22" s="1">
        <v>2661</v>
      </c>
      <c r="P22" s="1">
        <v>5145</v>
      </c>
      <c r="Q22" s="6">
        <f t="shared" si="3"/>
        <v>6</v>
      </c>
      <c r="R22" s="19">
        <f>+IF('Datos delta'!A22&gt;0,REASIGN('Datos delta'!A22,'Datos Protegidos'!$K22,PARTIDOS!B$8),0)</f>
        <v>124583</v>
      </c>
      <c r="S22" s="7">
        <v>2</v>
      </c>
      <c r="T22" s="19">
        <f>+IF('Datos delta'!C22&gt;0,REASIGN('Datos delta'!C22,'Datos Protegidos'!$K22,PARTIDOS!D$8),0)</f>
        <v>116161</v>
      </c>
      <c r="U22" s="7">
        <v>2</v>
      </c>
      <c r="V22" s="19">
        <f>+IF('Datos delta'!E22&gt;0,REASIGN('Datos delta'!E22,'Datos Protegidos'!$K22,PARTIDOS!F$8),0)</f>
        <v>87769</v>
      </c>
      <c r="W22" s="7">
        <v>2</v>
      </c>
      <c r="X22" s="19">
        <f>+IF('Datos delta'!G22&gt;0,REASIGN('Datos delta'!G22,'Datos Protegidos'!$K22,PARTIDOS!H$8),0)</f>
        <v>36578</v>
      </c>
      <c r="Y22" s="7">
        <v>0</v>
      </c>
      <c r="Z22" s="19">
        <f>+IF('Datos delta'!I22&gt;0,REASIGN('Datos delta'!I22,'Datos Protegidos'!$K22,PARTIDOS!J$8),0)</f>
        <v>0</v>
      </c>
      <c r="AA22" s="7">
        <v>0</v>
      </c>
      <c r="AB22" s="19">
        <f>+IF('Datos delta'!K22&gt;0,REASIGN('Datos delta'!K22,'Datos Protegidos'!$K22,PARTIDOS!L$8),0)</f>
        <v>0</v>
      </c>
      <c r="AC22" s="7">
        <v>0</v>
      </c>
      <c r="AD22" s="19">
        <f>+IF('Datos delta'!M22&gt;0,REASIGN('Datos delta'!M22,'Datos Protegidos'!$K22,PARTIDOS!N$8),0)</f>
        <v>0</v>
      </c>
      <c r="AE22" s="7">
        <v>0</v>
      </c>
      <c r="AF22" s="19">
        <f>+IF('Datos delta'!O22&gt;0,REASIGN('Datos delta'!O22,'Datos Protegidos'!$K22,PARTIDOS!P$8),0)</f>
        <v>0</v>
      </c>
      <c r="AG22" s="7">
        <v>0</v>
      </c>
      <c r="AH22" s="19">
        <f>+IF('Datos delta'!Q22&gt;0,REASIGN('Datos delta'!Q22,'Datos Protegidos'!$K22,PARTIDOS!R$8),0)</f>
        <v>0</v>
      </c>
      <c r="AI22" s="7">
        <v>0</v>
      </c>
      <c r="AJ22" s="19">
        <f>+IF('Datos delta'!S22&gt;0,REASIGN('Datos delta'!S22,'Datos Protegidos'!$K22,PARTIDOS!T$8),0)</f>
        <v>0</v>
      </c>
      <c r="AK22" s="7">
        <v>0</v>
      </c>
      <c r="AL22" s="19">
        <f>+IF('Datos delta'!U22&gt;0,REASIGN('Datos delta'!U22,'Datos Protegidos'!$K22,PARTIDOS!V$8),0)</f>
        <v>0</v>
      </c>
      <c r="AM22" s="7">
        <v>0</v>
      </c>
      <c r="AN22" s="19">
        <f>+IF('Datos delta'!W22&gt;0,REASIGN('Datos delta'!W22,'Datos Protegidos'!$K22,PARTIDOS!X$8),0)</f>
        <v>0</v>
      </c>
      <c r="AO22" s="7">
        <v>0</v>
      </c>
      <c r="AP22" s="19">
        <f>+IF('Datos delta'!Y22&gt;0,REASIGN('Datos delta'!Y22,'Datos Protegidos'!$K22,PARTIDOS!Z$8),0)</f>
        <v>0</v>
      </c>
      <c r="AQ22" s="7">
        <v>0</v>
      </c>
      <c r="AR22" s="19">
        <f>+IF('Datos delta'!AA22&gt;0,REASIGN('Datos delta'!AA22,'Datos Protegidos'!$K22,PARTIDOS!AB$8),0)</f>
        <v>0</v>
      </c>
      <c r="AS22" s="7">
        <v>0</v>
      </c>
      <c r="AT22" s="19">
        <f>+IF('Datos delta'!AC22&gt;0,REASIGN('Datos delta'!AC22,'Datos Protegidos'!$K22,PARTIDOS!AD$8),0)</f>
        <v>0</v>
      </c>
      <c r="AU22" s="7">
        <v>0</v>
      </c>
      <c r="AV22" s="19">
        <f>+IF('Datos delta'!AE22&gt;0,REASIGN('Datos delta'!AE22,'Datos Protegidos'!$K22,PARTIDOS!AF$8),0)</f>
        <v>0</v>
      </c>
      <c r="AW22" s="7">
        <v>0</v>
      </c>
      <c r="AX22" s="19">
        <f>+IF('Datos delta'!AG22&gt;0,REASIGN('Datos delta'!AG22,'Datos Protegidos'!$K22,PARTIDOS!AH$8),0)</f>
        <v>0</v>
      </c>
      <c r="AY22" s="7">
        <v>0</v>
      </c>
      <c r="AZ22" s="19">
        <f>+IF('Datos delta'!AI22&gt;0,REASIGN('Datos delta'!AI22,'Datos Protegidos'!$K22,PARTIDOS!AJ$8),0)</f>
        <v>0</v>
      </c>
      <c r="BA22" s="7">
        <v>0</v>
      </c>
      <c r="BB22" s="19">
        <f>+IF('Datos delta'!AK22&gt;0,REASIGN('Datos delta'!AK22,'Datos Protegidos'!$K22,PARTIDOS!AL$8),0)</f>
        <v>0</v>
      </c>
      <c r="BC22" s="7">
        <v>0</v>
      </c>
      <c r="BD22" s="19">
        <f>+IF('Datos delta'!AM22&gt;0,REASIGN('Datos delta'!AM22,'Datos Protegidos'!$K22,PARTIDOS!AN$8),0)</f>
        <v>2666</v>
      </c>
      <c r="BE22" s="7">
        <v>0</v>
      </c>
      <c r="BF22" s="19">
        <f>+IF('Datos delta'!AO22&gt;0,REASIGN('Datos delta'!AO22,'Datos Protegidos'!$K22,PARTIDOS!AP$8),0)</f>
        <v>0</v>
      </c>
      <c r="BG22" s="7">
        <v>0</v>
      </c>
      <c r="BH22" s="19">
        <f>+IF('Datos delta'!AQ22&gt;0,REASIGN('Datos delta'!AQ22,'Datos Protegidos'!$K22,PARTIDOS!AR$8),0)</f>
        <v>553</v>
      </c>
      <c r="BI22" s="7">
        <v>0</v>
      </c>
      <c r="BJ22" s="19">
        <f>+IF('Datos delta'!AS22&gt;0,REASIGN('Datos delta'!AS22,'Datos Protegidos'!$K22,PARTIDOS!AT$8),0)</f>
        <v>657</v>
      </c>
      <c r="BK22" s="7">
        <v>0</v>
      </c>
      <c r="BL22" s="19">
        <f>+IF('Datos delta'!AU22&gt;0,REASIGN('Datos delta'!AU22,'Datos Protegidos'!$K22,PARTIDOS!AV$8),0)</f>
        <v>0</v>
      </c>
      <c r="BM22" s="7">
        <v>0</v>
      </c>
      <c r="BN22" s="19">
        <f>+IF('Datos delta'!AW22&gt;0,REASIGN('Datos delta'!AW22,'Datos Protegidos'!$K22,PARTIDOS!AX$8),0)</f>
        <v>0</v>
      </c>
      <c r="BO22" s="7">
        <v>0</v>
      </c>
      <c r="BP22" s="19">
        <f>+IF('Datos delta'!AY22&gt;0,REASIGN('Datos delta'!AY22,'Datos Protegidos'!$K22,PARTIDOS!AZ$8),0)</f>
        <v>0</v>
      </c>
      <c r="BQ22" s="7">
        <v>0</v>
      </c>
      <c r="BR22" s="19">
        <f>+IF('Datos delta'!BA22&gt;0,REASIGN('Datos delta'!BA22,'Datos Protegidos'!$K22,PARTIDOS!BB$8),0)</f>
        <v>296</v>
      </c>
      <c r="BS22" s="7">
        <v>0</v>
      </c>
      <c r="BT22" s="19">
        <f>+IF('Datos delta'!BC22&gt;0,REASIGN('Datos delta'!BC22,'Datos Protegidos'!$K22,PARTIDOS!BD$8),0)</f>
        <v>227</v>
      </c>
      <c r="BU22" s="7">
        <v>0</v>
      </c>
      <c r="BV22" s="19">
        <f>+IF('Datos delta'!BE22&gt;0,REASIGN('Datos delta'!BE22,'Datos Protegidos'!$K22,PARTIDOS!BF$8),0)</f>
        <v>0</v>
      </c>
      <c r="BW22" s="7">
        <v>0</v>
      </c>
      <c r="BX22" s="19">
        <f>+IF('Datos delta'!BG22&gt;0,REASIGN('Datos delta'!BG22,'Datos Protegidos'!$K22,PARTIDOS!BH$8),0)</f>
        <v>0</v>
      </c>
      <c r="BY22" s="7">
        <v>0</v>
      </c>
      <c r="BZ22" s="19">
        <f>+IF('Datos delta'!BI22&gt;0,REASIGN('Datos delta'!BI22,'Datos Protegidos'!$K22,PARTIDOS!BJ$8),0)</f>
        <v>0</v>
      </c>
      <c r="CA22" s="7">
        <v>0</v>
      </c>
      <c r="CB22" s="19">
        <f>+IF('Datos delta'!BK22&gt;0,REASIGN('Datos delta'!BK22,'Datos Protegidos'!$K22,PARTIDOS!BL$8),0)</f>
        <v>0</v>
      </c>
      <c r="CC22" s="7">
        <v>0</v>
      </c>
      <c r="CD22" s="19">
        <f>+IF('Datos delta'!BM22&gt;0,REASIGN('Datos delta'!BM22,'Datos Protegidos'!$K22,PARTIDOS!BN$8),0)</f>
        <v>0</v>
      </c>
      <c r="CE22" s="7">
        <v>0</v>
      </c>
      <c r="CF22" s="19">
        <f>+IF('Datos delta'!BO22&gt;0,REASIGN('Datos delta'!BO22,'Datos Protegidos'!$K22,PARTIDOS!BP$8),0)</f>
        <v>0</v>
      </c>
      <c r="CG22" s="7">
        <v>0</v>
      </c>
      <c r="CH22" s="19">
        <f>+IF('Datos delta'!BQ22&gt;0,REASIGN('Datos delta'!BQ22,'Datos Protegidos'!$K22,PARTIDOS!BR$8),0)</f>
        <v>0</v>
      </c>
      <c r="CI22" s="7">
        <v>0</v>
      </c>
      <c r="CJ22" s="19">
        <f>+IF('Datos delta'!BS22&gt;0,REASIGN('Datos delta'!BS22,'Datos Protegidos'!$K22,PARTIDOS!BT$8),0)</f>
        <v>0</v>
      </c>
      <c r="CK22" s="7">
        <v>0</v>
      </c>
      <c r="CL22" s="19">
        <f>+IF('Datos delta'!BU22&gt;0,REASIGN('Datos delta'!BU22,'Datos Protegidos'!$K22,PARTIDOS!BV$8),0)</f>
        <v>0</v>
      </c>
      <c r="CM22" s="7">
        <v>0</v>
      </c>
      <c r="CN22" s="19">
        <f>+IF('Datos delta'!BW22&gt;0,REASIGN('Datos delta'!BW22,'Datos Protegidos'!$K22,PARTIDOS!BX$8),0)</f>
        <v>0</v>
      </c>
      <c r="CO22" s="7">
        <v>0</v>
      </c>
      <c r="CP22" s="19">
        <f>+IF('Datos delta'!BY22&gt;0,REASIGN('Datos delta'!BY22,'Datos Protegidos'!$K22,PARTIDOS!BZ$8),0)</f>
        <v>0</v>
      </c>
      <c r="CQ22" s="7">
        <v>0</v>
      </c>
      <c r="CR22" s="19">
        <f>+IF('Datos delta'!CA22&gt;0,REASIGN('Datos delta'!CA22,'Datos Protegidos'!$K22,PARTIDOS!CB$8),0)</f>
        <v>0</v>
      </c>
      <c r="CS22" s="7">
        <v>0</v>
      </c>
      <c r="CT22" s="19">
        <f>+IF('Datos delta'!CC22&gt;0,REASIGN('Datos delta'!CC22,'Datos Protegidos'!$K22,PARTIDOS!CD$8),0)</f>
        <v>0</v>
      </c>
      <c r="CU22" s="7">
        <v>0</v>
      </c>
      <c r="CV22" s="19">
        <f>+IF('Datos delta'!CE22&gt;0,REASIGN('Datos delta'!CE22,'Datos Protegidos'!$K22,PARTIDOS!CF$8),0)</f>
        <v>0</v>
      </c>
      <c r="CW22" s="7">
        <v>0</v>
      </c>
      <c r="CX22" s="19">
        <f>+IF('Datos delta'!CG22&gt;0,REASIGN('Datos delta'!CG22,'Datos Protegidos'!$K22,PARTIDOS!CH$8),0)</f>
        <v>0</v>
      </c>
      <c r="CY22" s="7">
        <v>0</v>
      </c>
      <c r="CZ22" s="19">
        <f>+IF('Datos delta'!CI22&gt;0,REASIGN('Datos delta'!CI22,'Datos Protegidos'!$K22,PARTIDOS!CJ$8),0)</f>
        <v>0</v>
      </c>
      <c r="DA22" s="7">
        <v>0</v>
      </c>
      <c r="DB22" s="19">
        <f>+IF('Datos delta'!CK22&gt;0,REASIGN('Datos delta'!CK22,'Datos Protegidos'!$K22,PARTIDOS!CL$8),0)</f>
        <v>0</v>
      </c>
      <c r="DC22" s="7">
        <v>0</v>
      </c>
      <c r="DD22" s="19">
        <f>+IF('Datos delta'!CM22&gt;0,REASIGN('Datos delta'!CM22,'Datos Protegidos'!$K22,PARTIDOS!CN$8),0)</f>
        <v>0</v>
      </c>
      <c r="DE22" s="7">
        <v>0</v>
      </c>
      <c r="DF22" s="19">
        <f>+IF('Datos delta'!CO22&gt;0,REASIGN('Datos delta'!CO22,'Datos Protegidos'!$K22,PARTIDOS!CP$8),0)</f>
        <v>0</v>
      </c>
      <c r="DG22" s="7">
        <v>0</v>
      </c>
      <c r="DH22" s="19">
        <f>+IF('Datos delta'!CQ22&gt;0,REASIGN('Datos delta'!CQ22,'Datos Protegidos'!$K22,PARTIDOS!CR$8),0)</f>
        <v>0</v>
      </c>
      <c r="DI22" s="7">
        <v>0</v>
      </c>
      <c r="DJ22" s="19">
        <f>+IF('Datos delta'!CS22&gt;0,REASIGN('Datos delta'!CS22,'Datos Protegidos'!$K22,PARTIDOS!CT$8),0)</f>
        <v>0</v>
      </c>
      <c r="DK22" s="7">
        <v>0</v>
      </c>
      <c r="DL22" s="19">
        <f>+IF('Datos delta'!CU22&gt;0,REASIGN('Datos delta'!CU22,'Datos Protegidos'!$K22,PARTIDOS!CV$8),0)</f>
        <v>0</v>
      </c>
      <c r="DM22" s="7">
        <v>0</v>
      </c>
      <c r="DN22" s="19">
        <f>+IF('Datos delta'!CW22&gt;0,REASIGN('Datos delta'!CW22,'Datos Protegidos'!$K22,PARTIDOS!CX$8),0)</f>
        <v>0</v>
      </c>
      <c r="DO22" s="7">
        <v>0</v>
      </c>
      <c r="DP22" s="19">
        <f>+IF('Datos delta'!CY22&gt;0,REASIGN('Datos delta'!CY22,'Datos Protegidos'!$K22,PARTIDOS!CZ$8),0)</f>
        <v>0</v>
      </c>
      <c r="DQ22" s="7">
        <v>0</v>
      </c>
      <c r="DR22" s="19">
        <f>+IF('Datos delta'!DA22&gt;0,REASIGN('Datos delta'!DA22,'Datos Protegidos'!$K22,PARTIDOS!DB$8),0)</f>
        <v>0</v>
      </c>
      <c r="DS22" s="7">
        <v>0</v>
      </c>
      <c r="DT22" s="19">
        <f>+IF('Datos delta'!DC22&gt;0,REASIGN('Datos delta'!DC22,'Datos Protegidos'!$K22,PARTIDOS!DD$8),0)</f>
        <v>0</v>
      </c>
      <c r="DU22" s="7">
        <v>0</v>
      </c>
      <c r="DV22" s="19">
        <f>+IF('Datos delta'!DE22&gt;0,REASIGN('Datos delta'!DE22,'Datos Protegidos'!$K22,PARTIDOS!DF$8),0)</f>
        <v>0</v>
      </c>
      <c r="DW22" s="7">
        <v>0</v>
      </c>
      <c r="DX22" s="19">
        <f>+IF('Datos delta'!DG22&gt;0,REASIGN('Datos delta'!DG22,'Datos Protegidos'!$K22,PARTIDOS!DH$8),0)</f>
        <v>0</v>
      </c>
      <c r="DY22" s="7">
        <v>0</v>
      </c>
      <c r="DZ22" s="19">
        <f>+IF('Datos delta'!DI22&gt;0,REASIGN('Datos delta'!DI22,'Datos Protegidos'!$K22,PARTIDOS!DJ$8),0)</f>
        <v>0</v>
      </c>
      <c r="EA22" s="7">
        <v>0</v>
      </c>
      <c r="EB22" s="19">
        <f>+IF('Datos delta'!DK22&gt;0,REASIGN('Datos delta'!DK22,'Datos Protegidos'!$K22,PARTIDOS!DL$8),0)</f>
        <v>0</v>
      </c>
      <c r="EC22" s="7">
        <v>0</v>
      </c>
      <c r="ED22" s="19">
        <f>+IF('Datos delta'!DM22&gt;0,REASIGN('Datos delta'!DM22,'Datos Protegidos'!$K22,PARTIDOS!DN$8),0)</f>
        <v>0</v>
      </c>
      <c r="EE22" s="7">
        <v>0</v>
      </c>
      <c r="EF22" s="19">
        <f>+IF('Datos delta'!DO22&gt;0,REASIGN('Datos delta'!DO22,'Datos Protegidos'!$K22,PARTIDOS!DP$8),0)</f>
        <v>0</v>
      </c>
      <c r="EG22" s="7">
        <v>0</v>
      </c>
      <c r="EH22" s="19">
        <f>+IF('Datos delta'!DQ22&gt;0,REASIGN('Datos delta'!DQ22,'Datos Protegidos'!$K22,PARTIDOS!DR$8),0)</f>
        <v>0</v>
      </c>
      <c r="EI22" s="7">
        <v>0</v>
      </c>
      <c r="EJ22" s="19">
        <f>+IF('Datos delta'!DS22&gt;0,REASIGN('Datos delta'!DS22,'Datos Protegidos'!$K22,PARTIDOS!DT$8),0)</f>
        <v>0</v>
      </c>
      <c r="EK22" s="7">
        <v>0</v>
      </c>
      <c r="EL22" s="19">
        <f>+IF('Datos delta'!DU22&gt;0,REASIGN('Datos delta'!DU22,'Datos Protegidos'!$K22,PARTIDOS!DV$8),0)</f>
        <v>0</v>
      </c>
      <c r="EM22" s="7">
        <v>0</v>
      </c>
      <c r="EN22" s="19">
        <f>+IF('Datos delta'!DW22&gt;0,REASIGN('Datos delta'!DW22,'Datos Protegidos'!$K22,PARTIDOS!DX$8),0)</f>
        <v>0</v>
      </c>
      <c r="EO22" s="7">
        <v>0</v>
      </c>
      <c r="EP22" s="19">
        <f>+IF('Datos delta'!DY22&gt;0,REASIGN('Datos delta'!DY22,'Datos Protegidos'!$K22,PARTIDOS!DZ$8),0)</f>
        <v>0</v>
      </c>
      <c r="EQ22" s="7">
        <v>0</v>
      </c>
      <c r="ER22" s="19">
        <f>+IF('Datos delta'!EA22&gt;0,REASIGN('Datos delta'!EA22,'Datos Protegidos'!$K22,PARTIDOS!EB$8),0)</f>
        <v>0</v>
      </c>
      <c r="ES22" s="7">
        <v>0</v>
      </c>
      <c r="ET22" s="19">
        <f>+IF('Datos delta'!EC22&gt;0,REASIGN('Datos delta'!EC22,'Datos Protegidos'!$K22,PARTIDOS!ED$8),0)</f>
        <v>0</v>
      </c>
      <c r="EU22" s="7">
        <v>0</v>
      </c>
    </row>
    <row r="23" spans="1:151" x14ac:dyDescent="0.25">
      <c r="A23" s="7" t="s">
        <v>43</v>
      </c>
      <c r="B23" s="8">
        <v>5</v>
      </c>
      <c r="C23" s="7" t="s">
        <v>44</v>
      </c>
      <c r="D23" s="9">
        <v>158498</v>
      </c>
      <c r="E23">
        <v>357</v>
      </c>
      <c r="F23" s="1">
        <v>128640</v>
      </c>
      <c r="G23" s="1">
        <v>8077</v>
      </c>
      <c r="H23" s="1">
        <v>136717</v>
      </c>
      <c r="I23"/>
      <c r="J23" s="1"/>
      <c r="K23"/>
      <c r="L23" s="3">
        <f t="shared" si="1"/>
        <v>96673</v>
      </c>
      <c r="M23" s="3">
        <f t="shared" si="2"/>
        <v>95376</v>
      </c>
      <c r="N23" s="6">
        <f t="shared" si="0"/>
        <v>94621</v>
      </c>
      <c r="O23">
        <v>755</v>
      </c>
      <c r="P23" s="1">
        <v>1297</v>
      </c>
      <c r="Q23" s="6">
        <f t="shared" si="3"/>
        <v>3</v>
      </c>
      <c r="R23" s="19">
        <f>+IF('Datos delta'!A23&gt;0,REASIGN('Datos delta'!A23,'Datos Protegidos'!$K23,PARTIDOS!B$8),0)</f>
        <v>26308</v>
      </c>
      <c r="S23" s="7">
        <v>1</v>
      </c>
      <c r="T23" s="19">
        <f>+IF('Datos delta'!C23&gt;0,REASIGN('Datos delta'!C23,'Datos Protegidos'!$K23,PARTIDOS!D$8),0)</f>
        <v>38072</v>
      </c>
      <c r="U23" s="7">
        <v>1</v>
      </c>
      <c r="V23" s="19">
        <f>+IF('Datos delta'!E23&gt;0,REASIGN('Datos delta'!E23,'Datos Protegidos'!$K23,PARTIDOS!F$8),0)</f>
        <v>17659</v>
      </c>
      <c r="W23" s="7">
        <v>1</v>
      </c>
      <c r="X23" s="19">
        <f>+IF('Datos delta'!G23&gt;0,REASIGN('Datos delta'!G23,'Datos Protegidos'!$K23,PARTIDOS!H$8),0)</f>
        <v>6361</v>
      </c>
      <c r="Y23" s="7">
        <v>0</v>
      </c>
      <c r="Z23" s="19">
        <f>+IF('Datos delta'!I23&gt;0,REASIGN('Datos delta'!I23,'Datos Protegidos'!$K23,PARTIDOS!J$8),0)</f>
        <v>0</v>
      </c>
      <c r="AA23" s="7">
        <v>0</v>
      </c>
      <c r="AB23" s="19">
        <f>+IF('Datos delta'!K23&gt;0,REASIGN('Datos delta'!K23,'Datos Protegidos'!$K23,PARTIDOS!L$8),0)</f>
        <v>0</v>
      </c>
      <c r="AC23" s="7">
        <v>0</v>
      </c>
      <c r="AD23" s="19">
        <f>+IF('Datos delta'!M23&gt;0,REASIGN('Datos delta'!M23,'Datos Protegidos'!$K23,PARTIDOS!N$8),0)</f>
        <v>0</v>
      </c>
      <c r="AE23" s="7">
        <v>0</v>
      </c>
      <c r="AF23" s="19">
        <f>+IF('Datos delta'!O23&gt;0,REASIGN('Datos delta'!O23,'Datos Protegidos'!$K23,PARTIDOS!P$8),0)</f>
        <v>0</v>
      </c>
      <c r="AG23" s="7">
        <v>0</v>
      </c>
      <c r="AH23" s="19">
        <f>+IF('Datos delta'!Q23&gt;0,REASIGN('Datos delta'!Q23,'Datos Protegidos'!$K23,PARTIDOS!R$8),0)</f>
        <v>0</v>
      </c>
      <c r="AI23" s="7">
        <v>0</v>
      </c>
      <c r="AJ23" s="19">
        <f>+IF('Datos delta'!S23&gt;0,REASIGN('Datos delta'!S23,'Datos Protegidos'!$K23,PARTIDOS!T$8),0)</f>
        <v>0</v>
      </c>
      <c r="AK23" s="7">
        <v>0</v>
      </c>
      <c r="AL23" s="19">
        <f>+IF('Datos delta'!U23&gt;0,REASIGN('Datos delta'!U23,'Datos Protegidos'!$K23,PARTIDOS!V$8),0)</f>
        <v>0</v>
      </c>
      <c r="AM23" s="7">
        <v>0</v>
      </c>
      <c r="AN23" s="19">
        <f>+IF('Datos delta'!W23&gt;0,REASIGN('Datos delta'!W23,'Datos Protegidos'!$K23,PARTIDOS!X$8),0)</f>
        <v>0</v>
      </c>
      <c r="AO23" s="7">
        <v>0</v>
      </c>
      <c r="AP23" s="19">
        <f>+IF('Datos delta'!Y23&gt;0,REASIGN('Datos delta'!Y23,'Datos Protegidos'!$K23,PARTIDOS!Z$8),0)</f>
        <v>0</v>
      </c>
      <c r="AQ23" s="7">
        <v>0</v>
      </c>
      <c r="AR23" s="19">
        <f>+IF('Datos delta'!AA23&gt;0,REASIGN('Datos delta'!AA23,'Datos Protegidos'!$K23,PARTIDOS!AB$8),0)</f>
        <v>0</v>
      </c>
      <c r="AS23" s="7">
        <v>0</v>
      </c>
      <c r="AT23" s="19">
        <f>+IF('Datos delta'!AC23&gt;0,REASIGN('Datos delta'!AC23,'Datos Protegidos'!$K23,PARTIDOS!AD$8),0)</f>
        <v>0</v>
      </c>
      <c r="AU23" s="7">
        <v>0</v>
      </c>
      <c r="AV23" s="19">
        <f>+IF('Datos delta'!AE23&gt;0,REASIGN('Datos delta'!AE23,'Datos Protegidos'!$K23,PARTIDOS!AF$8),0)</f>
        <v>0</v>
      </c>
      <c r="AW23" s="7">
        <v>0</v>
      </c>
      <c r="AX23" s="19">
        <f>+IF('Datos delta'!AG23&gt;0,REASIGN('Datos delta'!AG23,'Datos Protegidos'!$K23,PARTIDOS!AH$8),0)</f>
        <v>0</v>
      </c>
      <c r="AY23" s="7">
        <v>0</v>
      </c>
      <c r="AZ23" s="19">
        <f>+IF('Datos delta'!AI23&gt;0,REASIGN('Datos delta'!AI23,'Datos Protegidos'!$K23,PARTIDOS!AJ$8),0)</f>
        <v>0</v>
      </c>
      <c r="BA23" s="7">
        <v>0</v>
      </c>
      <c r="BB23" s="19">
        <f>+IF('Datos delta'!AK23&gt;0,REASIGN('Datos delta'!AK23,'Datos Protegidos'!$K23,PARTIDOS!AL$8),0)</f>
        <v>0</v>
      </c>
      <c r="BC23" s="7">
        <v>0</v>
      </c>
      <c r="BD23" s="19">
        <f>+IF('Datos delta'!AM23&gt;0,REASIGN('Datos delta'!AM23,'Datos Protegidos'!$K23,PARTIDOS!AN$8),0)</f>
        <v>429</v>
      </c>
      <c r="BE23" s="7">
        <v>0</v>
      </c>
      <c r="BF23" s="19">
        <f>+IF('Datos delta'!AO23&gt;0,REASIGN('Datos delta'!AO23,'Datos Protegidos'!$K23,PARTIDOS!AP$8),0)</f>
        <v>0</v>
      </c>
      <c r="BG23" s="7">
        <v>0</v>
      </c>
      <c r="BH23" s="19">
        <f>+IF('Datos delta'!AQ23&gt;0,REASIGN('Datos delta'!AQ23,'Datos Protegidos'!$K23,PARTIDOS!AR$8),0)</f>
        <v>104</v>
      </c>
      <c r="BI23" s="7">
        <v>0</v>
      </c>
      <c r="BJ23" s="19">
        <f>+IF('Datos delta'!AS23&gt;0,REASIGN('Datos delta'!AS23,'Datos Protegidos'!$K23,PARTIDOS!AT$8),0)</f>
        <v>101</v>
      </c>
      <c r="BK23" s="7">
        <v>0</v>
      </c>
      <c r="BL23" s="19">
        <f>+IF('Datos delta'!AU23&gt;0,REASIGN('Datos delta'!AU23,'Datos Protegidos'!$K23,PARTIDOS!AV$8),0)</f>
        <v>0</v>
      </c>
      <c r="BM23" s="7">
        <v>0</v>
      </c>
      <c r="BN23" s="19">
        <f>+IF('Datos delta'!AW23&gt;0,REASIGN('Datos delta'!AW23,'Datos Protegidos'!$K23,PARTIDOS!AX$8),0)</f>
        <v>0</v>
      </c>
      <c r="BO23" s="7">
        <v>0</v>
      </c>
      <c r="BP23" s="19">
        <f>+IF('Datos delta'!AY23&gt;0,REASIGN('Datos delta'!AY23,'Datos Protegidos'!$K23,PARTIDOS!AZ$8),0)</f>
        <v>0</v>
      </c>
      <c r="BQ23" s="7">
        <v>0</v>
      </c>
      <c r="BR23" s="19">
        <f>+IF('Datos delta'!BA23&gt;0,REASIGN('Datos delta'!BA23,'Datos Protegidos'!$K23,PARTIDOS!BB$8),0)</f>
        <v>0</v>
      </c>
      <c r="BS23" s="7">
        <v>0</v>
      </c>
      <c r="BT23" s="19">
        <f>+IF('Datos delta'!BC23&gt;0,REASIGN('Datos delta'!BC23,'Datos Protegidos'!$K23,PARTIDOS!BD$8),0)</f>
        <v>106</v>
      </c>
      <c r="BU23" s="7">
        <v>0</v>
      </c>
      <c r="BV23" s="19">
        <f>+IF('Datos delta'!BE23&gt;0,REASIGN('Datos delta'!BE23,'Datos Protegidos'!$K23,PARTIDOS!BF$8),0)</f>
        <v>0</v>
      </c>
      <c r="BW23" s="7">
        <v>0</v>
      </c>
      <c r="BX23" s="19">
        <f>+IF('Datos delta'!BG23&gt;0,REASIGN('Datos delta'!BG23,'Datos Protegidos'!$K23,PARTIDOS!BH$8),0)</f>
        <v>0</v>
      </c>
      <c r="BY23" s="7">
        <v>0</v>
      </c>
      <c r="BZ23" s="19">
        <f>+IF('Datos delta'!BI23&gt;0,REASIGN('Datos delta'!BI23,'Datos Protegidos'!$K23,PARTIDOS!BJ$8),0)</f>
        <v>0</v>
      </c>
      <c r="CA23" s="7">
        <v>0</v>
      </c>
      <c r="CB23" s="19">
        <f>+IF('Datos delta'!BK23&gt;0,REASIGN('Datos delta'!BK23,'Datos Protegidos'!$K23,PARTIDOS!BL$8),0)</f>
        <v>0</v>
      </c>
      <c r="CC23" s="7">
        <v>0</v>
      </c>
      <c r="CD23" s="19">
        <f>+IF('Datos delta'!BM23&gt;0,REASIGN('Datos delta'!BM23,'Datos Protegidos'!$K23,PARTIDOS!BN$8),0)</f>
        <v>0</v>
      </c>
      <c r="CE23" s="7">
        <v>0</v>
      </c>
      <c r="CF23" s="19">
        <f>+IF('Datos delta'!BO23&gt;0,REASIGN('Datos delta'!BO23,'Datos Protegidos'!$K23,PARTIDOS!BP$8),0)</f>
        <v>0</v>
      </c>
      <c r="CG23" s="7">
        <v>0</v>
      </c>
      <c r="CH23" s="19">
        <f>+IF('Datos delta'!BQ23&gt;0,REASIGN('Datos delta'!BQ23,'Datos Protegidos'!$K23,PARTIDOS!BR$8),0)</f>
        <v>5388</v>
      </c>
      <c r="CI23" s="7">
        <v>0</v>
      </c>
      <c r="CJ23" s="19">
        <f>+IF('Datos delta'!BS23&gt;0,REASIGN('Datos delta'!BS23,'Datos Protegidos'!$K23,PARTIDOS!BT$8),0)</f>
        <v>0</v>
      </c>
      <c r="CK23" s="7">
        <v>0</v>
      </c>
      <c r="CL23" s="19">
        <f>+IF('Datos delta'!BU23&gt;0,REASIGN('Datos delta'!BU23,'Datos Protegidos'!$K23,PARTIDOS!BV$8),0)</f>
        <v>0</v>
      </c>
      <c r="CM23" s="7">
        <v>0</v>
      </c>
      <c r="CN23" s="19">
        <f>+IF('Datos delta'!BW23&gt;0,REASIGN('Datos delta'!BW23,'Datos Protegidos'!$K23,PARTIDOS!BX$8),0)</f>
        <v>0</v>
      </c>
      <c r="CO23" s="7">
        <v>0</v>
      </c>
      <c r="CP23" s="19">
        <f>+IF('Datos delta'!BY23&gt;0,REASIGN('Datos delta'!BY23,'Datos Protegidos'!$K23,PARTIDOS!BZ$8),0)</f>
        <v>0</v>
      </c>
      <c r="CQ23" s="7">
        <v>0</v>
      </c>
      <c r="CR23" s="19">
        <f>+IF('Datos delta'!CA23&gt;0,REASIGN('Datos delta'!CA23,'Datos Protegidos'!$K23,PARTIDOS!CB$8),0)</f>
        <v>0</v>
      </c>
      <c r="CS23" s="7">
        <v>0</v>
      </c>
      <c r="CT23" s="19">
        <f>+IF('Datos delta'!CC23&gt;0,REASIGN('Datos delta'!CC23,'Datos Protegidos'!$K23,PARTIDOS!CD$8),0)</f>
        <v>0</v>
      </c>
      <c r="CU23" s="7">
        <v>0</v>
      </c>
      <c r="CV23" s="19">
        <f>+IF('Datos delta'!CE23&gt;0,REASIGN('Datos delta'!CE23,'Datos Protegidos'!$K23,PARTIDOS!CF$8),0)</f>
        <v>0</v>
      </c>
      <c r="CW23" s="7">
        <v>0</v>
      </c>
      <c r="CX23" s="19">
        <f>+IF('Datos delta'!CG23&gt;0,REASIGN('Datos delta'!CG23,'Datos Protegidos'!$K23,PARTIDOS!CH$8),0)</f>
        <v>0</v>
      </c>
      <c r="CY23" s="7">
        <v>0</v>
      </c>
      <c r="CZ23" s="19">
        <f>+IF('Datos delta'!CI23&gt;0,REASIGN('Datos delta'!CI23,'Datos Protegidos'!$K23,PARTIDOS!CJ$8),0)</f>
        <v>0</v>
      </c>
      <c r="DA23" s="7">
        <v>0</v>
      </c>
      <c r="DB23" s="19">
        <f>+IF('Datos delta'!CK23&gt;0,REASIGN('Datos delta'!CK23,'Datos Protegidos'!$K23,PARTIDOS!CL$8),0)</f>
        <v>0</v>
      </c>
      <c r="DC23" s="7">
        <v>0</v>
      </c>
      <c r="DD23" s="19">
        <f>+IF('Datos delta'!CM23&gt;0,REASIGN('Datos delta'!CM23,'Datos Protegidos'!$K23,PARTIDOS!CN$8),0)</f>
        <v>0</v>
      </c>
      <c r="DE23" s="7">
        <v>0</v>
      </c>
      <c r="DF23" s="19">
        <f>+IF('Datos delta'!CO23&gt;0,REASIGN('Datos delta'!CO23,'Datos Protegidos'!$K23,PARTIDOS!CP$8),0)</f>
        <v>0</v>
      </c>
      <c r="DG23" s="7">
        <v>0</v>
      </c>
      <c r="DH23" s="19">
        <f>+IF('Datos delta'!CQ23&gt;0,REASIGN('Datos delta'!CQ23,'Datos Protegidos'!$K23,PARTIDOS!CR$8),0)</f>
        <v>0</v>
      </c>
      <c r="DI23" s="7">
        <v>0</v>
      </c>
      <c r="DJ23" s="19">
        <f>+IF('Datos delta'!CS23&gt;0,REASIGN('Datos delta'!CS23,'Datos Protegidos'!$K23,PARTIDOS!CT$8),0)</f>
        <v>31</v>
      </c>
      <c r="DK23" s="7">
        <v>0</v>
      </c>
      <c r="DL23" s="19">
        <f>+IF('Datos delta'!CU23&gt;0,REASIGN('Datos delta'!CU23,'Datos Protegidos'!$K23,PARTIDOS!CV$8),0)</f>
        <v>0</v>
      </c>
      <c r="DM23" s="7">
        <v>0</v>
      </c>
      <c r="DN23" s="19">
        <f>+IF('Datos delta'!CW23&gt;0,REASIGN('Datos delta'!CW23,'Datos Protegidos'!$K23,PARTIDOS!CX$8),0)</f>
        <v>0</v>
      </c>
      <c r="DO23" s="7">
        <v>0</v>
      </c>
      <c r="DP23" s="19">
        <f>+IF('Datos delta'!CY23&gt;0,REASIGN('Datos delta'!CY23,'Datos Protegidos'!$K23,PARTIDOS!CZ$8),0)</f>
        <v>0</v>
      </c>
      <c r="DQ23" s="7">
        <v>0</v>
      </c>
      <c r="DR23" s="19">
        <f>+IF('Datos delta'!DA23&gt;0,REASIGN('Datos delta'!DA23,'Datos Protegidos'!$K23,PARTIDOS!DB$8),0)</f>
        <v>0</v>
      </c>
      <c r="DS23" s="7">
        <v>0</v>
      </c>
      <c r="DT23" s="19">
        <f>+IF('Datos delta'!DC23&gt;0,REASIGN('Datos delta'!DC23,'Datos Protegidos'!$K23,PARTIDOS!DD$8),0)</f>
        <v>0</v>
      </c>
      <c r="DU23" s="7">
        <v>0</v>
      </c>
      <c r="DV23" s="19">
        <f>+IF('Datos delta'!DE23&gt;0,REASIGN('Datos delta'!DE23,'Datos Protegidos'!$K23,PARTIDOS!DF$8),0)</f>
        <v>0</v>
      </c>
      <c r="DW23" s="7">
        <v>0</v>
      </c>
      <c r="DX23" s="19">
        <f>+IF('Datos delta'!DG23&gt;0,REASIGN('Datos delta'!DG23,'Datos Protegidos'!$K23,PARTIDOS!DH$8),0)</f>
        <v>62</v>
      </c>
      <c r="DY23" s="7">
        <v>0</v>
      </c>
      <c r="DZ23" s="19">
        <f>+IF('Datos delta'!DI23&gt;0,REASIGN('Datos delta'!DI23,'Datos Protegidos'!$K23,PARTIDOS!DJ$8),0)</f>
        <v>0</v>
      </c>
      <c r="EA23" s="7">
        <v>0</v>
      </c>
      <c r="EB23" s="19">
        <f>+IF('Datos delta'!DK23&gt;0,REASIGN('Datos delta'!DK23,'Datos Protegidos'!$K23,PARTIDOS!DL$8),0)</f>
        <v>0</v>
      </c>
      <c r="EC23" s="7">
        <v>0</v>
      </c>
      <c r="ED23" s="19">
        <f>+IF('Datos delta'!DM23&gt;0,REASIGN('Datos delta'!DM23,'Datos Protegidos'!$K23,PARTIDOS!DN$8),0)</f>
        <v>0</v>
      </c>
      <c r="EE23" s="7">
        <v>0</v>
      </c>
      <c r="EF23" s="19">
        <f>+IF('Datos delta'!DO23&gt;0,REASIGN('Datos delta'!DO23,'Datos Protegidos'!$K23,PARTIDOS!DP$8),0)</f>
        <v>0</v>
      </c>
      <c r="EG23" s="7">
        <v>0</v>
      </c>
      <c r="EH23" s="19">
        <f>+IF('Datos delta'!DQ23&gt;0,REASIGN('Datos delta'!DQ23,'Datos Protegidos'!$K23,PARTIDOS!DR$8),0)</f>
        <v>0</v>
      </c>
      <c r="EI23" s="7">
        <v>0</v>
      </c>
      <c r="EJ23" s="19">
        <f>+IF('Datos delta'!DS23&gt;0,REASIGN('Datos delta'!DS23,'Datos Protegidos'!$K23,PARTIDOS!DT$8),0)</f>
        <v>0</v>
      </c>
      <c r="EK23" s="7">
        <v>0</v>
      </c>
      <c r="EL23" s="19">
        <f>+IF('Datos delta'!DU23&gt;0,REASIGN('Datos delta'!DU23,'Datos Protegidos'!$K23,PARTIDOS!DV$8),0)</f>
        <v>0</v>
      </c>
      <c r="EM23" s="7">
        <v>0</v>
      </c>
      <c r="EN23" s="19">
        <f>+IF('Datos delta'!DW23&gt;0,REASIGN('Datos delta'!DW23,'Datos Protegidos'!$K23,PARTIDOS!DX$8),0)</f>
        <v>0</v>
      </c>
      <c r="EO23" s="7">
        <v>0</v>
      </c>
      <c r="EP23" s="19">
        <f>+IF('Datos delta'!DY23&gt;0,REASIGN('Datos delta'!DY23,'Datos Protegidos'!$K23,PARTIDOS!DZ$8),0)</f>
        <v>0</v>
      </c>
      <c r="EQ23" s="7">
        <v>0</v>
      </c>
      <c r="ER23" s="19">
        <f>+IF('Datos delta'!EA23&gt;0,REASIGN('Datos delta'!EA23,'Datos Protegidos'!$K23,PARTIDOS!EB$8),0)</f>
        <v>0</v>
      </c>
      <c r="ES23" s="7">
        <v>0</v>
      </c>
      <c r="ET23" s="19">
        <f>+IF('Datos delta'!EC23&gt;0,REASIGN('Datos delta'!EC23,'Datos Protegidos'!$K23,PARTIDOS!ED$8),0)</f>
        <v>0</v>
      </c>
      <c r="EU23" s="7">
        <v>0</v>
      </c>
    </row>
    <row r="24" spans="1:151" x14ac:dyDescent="0.25">
      <c r="A24" s="7" t="s">
        <v>43</v>
      </c>
      <c r="B24" s="8">
        <v>9</v>
      </c>
      <c r="C24" s="7" t="s">
        <v>45</v>
      </c>
      <c r="D24" s="9">
        <v>357070</v>
      </c>
      <c r="E24">
        <v>733</v>
      </c>
      <c r="F24" s="1">
        <v>281066</v>
      </c>
      <c r="G24" s="1">
        <v>17923</v>
      </c>
      <c r="H24" s="1">
        <v>298989</v>
      </c>
      <c r="I24" s="1"/>
      <c r="J24" s="1"/>
      <c r="K24" s="1"/>
      <c r="L24" s="3">
        <f t="shared" si="1"/>
        <v>206172</v>
      </c>
      <c r="M24" s="3">
        <f t="shared" si="2"/>
        <v>203479</v>
      </c>
      <c r="N24" s="6">
        <f t="shared" si="0"/>
        <v>200853</v>
      </c>
      <c r="O24" s="1">
        <v>2626</v>
      </c>
      <c r="P24" s="1">
        <v>2693</v>
      </c>
      <c r="Q24" s="6">
        <f t="shared" si="3"/>
        <v>4</v>
      </c>
      <c r="R24" s="19">
        <f>+IF('Datos delta'!A24&gt;0,REASIGN('Datos delta'!A24,'Datos Protegidos'!$K24,PARTIDOS!B$8),0)</f>
        <v>69012</v>
      </c>
      <c r="S24" s="7">
        <v>2</v>
      </c>
      <c r="T24" s="19">
        <f>+IF('Datos delta'!C24&gt;0,REASIGN('Datos delta'!C24,'Datos Protegidos'!$K24,PARTIDOS!D$8),0)</f>
        <v>75423</v>
      </c>
      <c r="U24" s="7">
        <v>2</v>
      </c>
      <c r="V24" s="19">
        <f>+IF('Datos delta'!E24&gt;0,REASIGN('Datos delta'!E24,'Datos Protegidos'!$K24,PARTIDOS!F$8),0)</f>
        <v>30170</v>
      </c>
      <c r="W24" s="7">
        <v>0</v>
      </c>
      <c r="X24" s="19">
        <f>+IF('Datos delta'!G24&gt;0,REASIGN('Datos delta'!G24,'Datos Protegidos'!$K24,PARTIDOS!H$8),0)</f>
        <v>23160</v>
      </c>
      <c r="Y24" s="7">
        <v>0</v>
      </c>
      <c r="Z24" s="19">
        <f>+IF('Datos delta'!I24&gt;0,REASIGN('Datos delta'!I24,'Datos Protegidos'!$K24,PARTIDOS!J$8),0)</f>
        <v>0</v>
      </c>
      <c r="AA24" s="7">
        <v>0</v>
      </c>
      <c r="AB24" s="19">
        <f>+IF('Datos delta'!K24&gt;0,REASIGN('Datos delta'!K24,'Datos Protegidos'!$K24,PARTIDOS!L$8),0)</f>
        <v>0</v>
      </c>
      <c r="AC24" s="7">
        <v>0</v>
      </c>
      <c r="AD24" s="19">
        <f>+IF('Datos delta'!M24&gt;0,REASIGN('Datos delta'!M24,'Datos Protegidos'!$K24,PARTIDOS!N$8),0)</f>
        <v>0</v>
      </c>
      <c r="AE24" s="7">
        <v>0</v>
      </c>
      <c r="AF24" s="19">
        <f>+IF('Datos delta'!O24&gt;0,REASIGN('Datos delta'!O24,'Datos Protegidos'!$K24,PARTIDOS!P$8),0)</f>
        <v>0</v>
      </c>
      <c r="AG24" s="7">
        <v>0</v>
      </c>
      <c r="AH24" s="19">
        <f>+IF('Datos delta'!Q24&gt;0,REASIGN('Datos delta'!Q24,'Datos Protegidos'!$K24,PARTIDOS!R$8),0)</f>
        <v>0</v>
      </c>
      <c r="AI24" s="7">
        <v>0</v>
      </c>
      <c r="AJ24" s="19">
        <f>+IF('Datos delta'!S24&gt;0,REASIGN('Datos delta'!S24,'Datos Protegidos'!$K24,PARTIDOS!T$8),0)</f>
        <v>0</v>
      </c>
      <c r="AK24" s="7">
        <v>0</v>
      </c>
      <c r="AL24" s="19">
        <f>+IF('Datos delta'!U24&gt;0,REASIGN('Datos delta'!U24,'Datos Protegidos'!$K24,PARTIDOS!V$8),0)</f>
        <v>0</v>
      </c>
      <c r="AM24" s="7">
        <v>0</v>
      </c>
      <c r="AN24" s="19">
        <f>+IF('Datos delta'!W24&gt;0,REASIGN('Datos delta'!W24,'Datos Protegidos'!$K24,PARTIDOS!X$8),0)</f>
        <v>0</v>
      </c>
      <c r="AO24" s="7">
        <v>0</v>
      </c>
      <c r="AP24" s="19">
        <f>+IF('Datos delta'!Y24&gt;0,REASIGN('Datos delta'!Y24,'Datos Protegidos'!$K24,PARTIDOS!Z$8),0)</f>
        <v>0</v>
      </c>
      <c r="AQ24" s="7">
        <v>0</v>
      </c>
      <c r="AR24" s="19">
        <f>+IF('Datos delta'!AA24&gt;0,REASIGN('Datos delta'!AA24,'Datos Protegidos'!$K24,PARTIDOS!AB$8),0)</f>
        <v>0</v>
      </c>
      <c r="AS24" s="7">
        <v>0</v>
      </c>
      <c r="AT24" s="19">
        <f>+IF('Datos delta'!AC24&gt;0,REASIGN('Datos delta'!AC24,'Datos Protegidos'!$K24,PARTIDOS!AD$8),0)</f>
        <v>0</v>
      </c>
      <c r="AU24" s="7">
        <v>0</v>
      </c>
      <c r="AV24" s="19">
        <f>+IF('Datos delta'!AE24&gt;0,REASIGN('Datos delta'!AE24,'Datos Protegidos'!$K24,PARTIDOS!AF$8),0)</f>
        <v>0</v>
      </c>
      <c r="AW24" s="7">
        <v>0</v>
      </c>
      <c r="AX24" s="19">
        <f>+IF('Datos delta'!AG24&gt;0,REASIGN('Datos delta'!AG24,'Datos Protegidos'!$K24,PARTIDOS!AH$8),0)</f>
        <v>0</v>
      </c>
      <c r="AY24" s="7">
        <v>0</v>
      </c>
      <c r="AZ24" s="19">
        <f>+IF('Datos delta'!AI24&gt;0,REASIGN('Datos delta'!AI24,'Datos Protegidos'!$K24,PARTIDOS!AJ$8),0)</f>
        <v>0</v>
      </c>
      <c r="BA24" s="7">
        <v>0</v>
      </c>
      <c r="BB24" s="19">
        <f>+IF('Datos delta'!AK24&gt;0,REASIGN('Datos delta'!AK24,'Datos Protegidos'!$K24,PARTIDOS!AL$8),0)</f>
        <v>0</v>
      </c>
      <c r="BC24" s="7">
        <v>0</v>
      </c>
      <c r="BD24" s="19">
        <f>+IF('Datos delta'!AM24&gt;0,REASIGN('Datos delta'!AM24,'Datos Protegidos'!$K24,PARTIDOS!AN$8),0)</f>
        <v>1407</v>
      </c>
      <c r="BE24" s="7">
        <v>0</v>
      </c>
      <c r="BF24" s="19">
        <f>+IF('Datos delta'!AO24&gt;0,REASIGN('Datos delta'!AO24,'Datos Protegidos'!$K24,PARTIDOS!AP$8),0)</f>
        <v>0</v>
      </c>
      <c r="BG24" s="7">
        <v>0</v>
      </c>
      <c r="BH24" s="19">
        <f>+IF('Datos delta'!AQ24&gt;0,REASIGN('Datos delta'!AQ24,'Datos Protegidos'!$K24,PARTIDOS!AR$8),0)</f>
        <v>641</v>
      </c>
      <c r="BI24" s="7">
        <v>0</v>
      </c>
      <c r="BJ24" s="19">
        <f>+IF('Datos delta'!AS24&gt;0,REASIGN('Datos delta'!AS24,'Datos Protegidos'!$K24,PARTIDOS!AT$8),0)</f>
        <v>616</v>
      </c>
      <c r="BK24" s="7">
        <v>0</v>
      </c>
      <c r="BL24" s="19">
        <f>+IF('Datos delta'!AU24&gt;0,REASIGN('Datos delta'!AU24,'Datos Protegidos'!$K24,PARTIDOS!AV$8),0)</f>
        <v>0</v>
      </c>
      <c r="BM24" s="7">
        <v>0</v>
      </c>
      <c r="BN24" s="19">
        <f>+IF('Datos delta'!AW24&gt;0,REASIGN('Datos delta'!AW24,'Datos Protegidos'!$K24,PARTIDOS!AX$8),0)</f>
        <v>0</v>
      </c>
      <c r="BO24" s="7">
        <v>0</v>
      </c>
      <c r="BP24" s="19">
        <f>+IF('Datos delta'!AY24&gt;0,REASIGN('Datos delta'!AY24,'Datos Protegidos'!$K24,PARTIDOS!AZ$8),0)</f>
        <v>0</v>
      </c>
      <c r="BQ24" s="7">
        <v>0</v>
      </c>
      <c r="BR24" s="19">
        <f>+IF('Datos delta'!BA24&gt;0,REASIGN('Datos delta'!BA24,'Datos Protegidos'!$K24,PARTIDOS!BB$8),0)</f>
        <v>0</v>
      </c>
      <c r="BS24" s="7">
        <v>0</v>
      </c>
      <c r="BT24" s="19">
        <f>+IF('Datos delta'!BC24&gt;0,REASIGN('Datos delta'!BC24,'Datos Protegidos'!$K24,PARTIDOS!BD$8),0)</f>
        <v>424</v>
      </c>
      <c r="BU24" s="7">
        <v>0</v>
      </c>
      <c r="BV24" s="19">
        <f>+IF('Datos delta'!BE24&gt;0,REASIGN('Datos delta'!BE24,'Datos Protegidos'!$K24,PARTIDOS!BF$8),0)</f>
        <v>0</v>
      </c>
      <c r="BW24" s="7">
        <v>0</v>
      </c>
      <c r="BX24" s="19">
        <f>+IF('Datos delta'!BG24&gt;0,REASIGN('Datos delta'!BG24,'Datos Protegidos'!$K24,PARTIDOS!BH$8),0)</f>
        <v>0</v>
      </c>
      <c r="BY24" s="7">
        <v>0</v>
      </c>
      <c r="BZ24" s="19">
        <f>+IF('Datos delta'!BI24&gt;0,REASIGN('Datos delta'!BI24,'Datos Protegidos'!$K24,PARTIDOS!BJ$8),0)</f>
        <v>0</v>
      </c>
      <c r="CA24" s="7">
        <v>0</v>
      </c>
      <c r="CB24" s="19">
        <f>+IF('Datos delta'!BK24&gt;0,REASIGN('Datos delta'!BK24,'Datos Protegidos'!$K24,PARTIDOS!BL$8),0)</f>
        <v>0</v>
      </c>
      <c r="CC24" s="7">
        <v>0</v>
      </c>
      <c r="CD24" s="19">
        <f>+IF('Datos delta'!BM24&gt;0,REASIGN('Datos delta'!BM24,'Datos Protegidos'!$K24,PARTIDOS!BN$8),0)</f>
        <v>0</v>
      </c>
      <c r="CE24" s="7">
        <v>0</v>
      </c>
      <c r="CF24" s="19">
        <f>+IF('Datos delta'!BO24&gt;0,REASIGN('Datos delta'!BO24,'Datos Protegidos'!$K24,PARTIDOS!BP$8),0)</f>
        <v>0</v>
      </c>
      <c r="CG24" s="7">
        <v>0</v>
      </c>
      <c r="CH24" s="19">
        <f>+IF('Datos delta'!BQ24&gt;0,REASIGN('Datos delta'!BQ24,'Datos Protegidos'!$K24,PARTIDOS!BR$8),0)</f>
        <v>0</v>
      </c>
      <c r="CI24" s="7">
        <v>0</v>
      </c>
      <c r="CJ24" s="19">
        <f>+IF('Datos delta'!BS24&gt;0,REASIGN('Datos delta'!BS24,'Datos Protegidos'!$K24,PARTIDOS!BT$8),0)</f>
        <v>0</v>
      </c>
      <c r="CK24" s="7">
        <v>0</v>
      </c>
      <c r="CL24" s="19">
        <f>+IF('Datos delta'!BU24&gt;0,REASIGN('Datos delta'!BU24,'Datos Protegidos'!$K24,PARTIDOS!BV$8),0)</f>
        <v>0</v>
      </c>
      <c r="CM24" s="7">
        <v>0</v>
      </c>
      <c r="CN24" s="19">
        <f>+IF('Datos delta'!BW24&gt;0,REASIGN('Datos delta'!BW24,'Datos Protegidos'!$K24,PARTIDOS!BX$8),0)</f>
        <v>0</v>
      </c>
      <c r="CO24" s="7">
        <v>0</v>
      </c>
      <c r="CP24" s="19">
        <f>+IF('Datos delta'!BY24&gt;0,REASIGN('Datos delta'!BY24,'Datos Protegidos'!$K24,PARTIDOS!BZ$8),0)</f>
        <v>0</v>
      </c>
      <c r="CQ24" s="7">
        <v>0</v>
      </c>
      <c r="CR24" s="19">
        <f>+IF('Datos delta'!CA24&gt;0,REASIGN('Datos delta'!CA24,'Datos Protegidos'!$K24,PARTIDOS!CB$8),0)</f>
        <v>0</v>
      </c>
      <c r="CS24" s="7">
        <v>0</v>
      </c>
      <c r="CT24" s="19">
        <f>+IF('Datos delta'!CC24&gt;0,REASIGN('Datos delta'!CC24,'Datos Protegidos'!$K24,PARTIDOS!CD$8),0)</f>
        <v>0</v>
      </c>
      <c r="CU24" s="7">
        <v>0</v>
      </c>
      <c r="CV24" s="19">
        <f>+IF('Datos delta'!CE24&gt;0,REASIGN('Datos delta'!CE24,'Datos Protegidos'!$K24,PARTIDOS!CF$8),0)</f>
        <v>0</v>
      </c>
      <c r="CW24" s="7">
        <v>0</v>
      </c>
      <c r="CX24" s="19">
        <f>+IF('Datos delta'!CG24&gt;0,REASIGN('Datos delta'!CG24,'Datos Protegidos'!$K24,PARTIDOS!CH$8),0)</f>
        <v>0</v>
      </c>
      <c r="CY24" s="7">
        <v>0</v>
      </c>
      <c r="CZ24" s="19">
        <f>+IF('Datos delta'!CI24&gt;0,REASIGN('Datos delta'!CI24,'Datos Protegidos'!$K24,PARTIDOS!CJ$8),0)</f>
        <v>0</v>
      </c>
      <c r="DA24" s="7">
        <v>0</v>
      </c>
      <c r="DB24" s="19">
        <f>+IF('Datos delta'!CK24&gt;0,REASIGN('Datos delta'!CK24,'Datos Protegidos'!$K24,PARTIDOS!CL$8),0)</f>
        <v>0</v>
      </c>
      <c r="DC24" s="7">
        <v>0</v>
      </c>
      <c r="DD24" s="19">
        <f>+IF('Datos delta'!CM24&gt;0,REASIGN('Datos delta'!CM24,'Datos Protegidos'!$K24,PARTIDOS!CN$8),0)</f>
        <v>0</v>
      </c>
      <c r="DE24" s="7">
        <v>0</v>
      </c>
      <c r="DF24" s="19">
        <f>+IF('Datos delta'!CO24&gt;0,REASIGN('Datos delta'!CO24,'Datos Protegidos'!$K24,PARTIDOS!CP$8),0)</f>
        <v>0</v>
      </c>
      <c r="DG24" s="7">
        <v>0</v>
      </c>
      <c r="DH24" s="19">
        <f>+IF('Datos delta'!CQ24&gt;0,REASIGN('Datos delta'!CQ24,'Datos Protegidos'!$K24,PARTIDOS!CR$8),0)</f>
        <v>0</v>
      </c>
      <c r="DI24" s="7">
        <v>0</v>
      </c>
      <c r="DJ24" s="19">
        <f>+IF('Datos delta'!CS24&gt;0,REASIGN('Datos delta'!CS24,'Datos Protegidos'!$K24,PARTIDOS!CT$8),0)</f>
        <v>0</v>
      </c>
      <c r="DK24" s="7">
        <v>0</v>
      </c>
      <c r="DL24" s="19">
        <f>+IF('Datos delta'!CU24&gt;0,REASIGN('Datos delta'!CU24,'Datos Protegidos'!$K24,PARTIDOS!CV$8),0)</f>
        <v>0</v>
      </c>
      <c r="DM24" s="7">
        <v>0</v>
      </c>
      <c r="DN24" s="19">
        <f>+IF('Datos delta'!CW24&gt;0,REASIGN('Datos delta'!CW24,'Datos Protegidos'!$K24,PARTIDOS!CX$8),0)</f>
        <v>0</v>
      </c>
      <c r="DO24" s="7">
        <v>0</v>
      </c>
      <c r="DP24" s="19">
        <f>+IF('Datos delta'!CY24&gt;0,REASIGN('Datos delta'!CY24,'Datos Protegidos'!$K24,PARTIDOS!CZ$8),0)</f>
        <v>0</v>
      </c>
      <c r="DQ24" s="7">
        <v>0</v>
      </c>
      <c r="DR24" s="19">
        <f>+IF('Datos delta'!DA24&gt;0,REASIGN('Datos delta'!DA24,'Datos Protegidos'!$K24,PARTIDOS!DB$8),0)</f>
        <v>0</v>
      </c>
      <c r="DS24" s="7">
        <v>0</v>
      </c>
      <c r="DT24" s="19">
        <f>+IF('Datos delta'!DC24&gt;0,REASIGN('Datos delta'!DC24,'Datos Protegidos'!$K24,PARTIDOS!DD$8),0)</f>
        <v>0</v>
      </c>
      <c r="DU24" s="7">
        <v>0</v>
      </c>
      <c r="DV24" s="19">
        <f>+IF('Datos delta'!DE24&gt;0,REASIGN('Datos delta'!DE24,'Datos Protegidos'!$K24,PARTIDOS!DF$8),0)</f>
        <v>0</v>
      </c>
      <c r="DW24" s="7">
        <v>0</v>
      </c>
      <c r="DX24" s="19">
        <f>+IF('Datos delta'!DG24&gt;0,REASIGN('Datos delta'!DG24,'Datos Protegidos'!$K24,PARTIDOS!DH$8),0)</f>
        <v>0</v>
      </c>
      <c r="DY24" s="7">
        <v>0</v>
      </c>
      <c r="DZ24" s="19">
        <f>+IF('Datos delta'!DI24&gt;0,REASIGN('Datos delta'!DI24,'Datos Protegidos'!$K24,PARTIDOS!DJ$8),0)</f>
        <v>0</v>
      </c>
      <c r="EA24" s="7">
        <v>0</v>
      </c>
      <c r="EB24" s="19">
        <f>+IF('Datos delta'!DK24&gt;0,REASIGN('Datos delta'!DK24,'Datos Protegidos'!$K24,PARTIDOS!DL$8),0)</f>
        <v>0</v>
      </c>
      <c r="EC24" s="7">
        <v>0</v>
      </c>
      <c r="ED24" s="19">
        <f>+IF('Datos delta'!DM24&gt;0,REASIGN('Datos delta'!DM24,'Datos Protegidos'!$K24,PARTIDOS!DN$8),0)</f>
        <v>0</v>
      </c>
      <c r="EE24" s="7">
        <v>0</v>
      </c>
      <c r="EF24" s="19">
        <f>+IF('Datos delta'!DO24&gt;0,REASIGN('Datos delta'!DO24,'Datos Protegidos'!$K24,PARTIDOS!DP$8),0)</f>
        <v>0</v>
      </c>
      <c r="EG24" s="7">
        <v>0</v>
      </c>
      <c r="EH24" s="19">
        <f>+IF('Datos delta'!DQ24&gt;0,REASIGN('Datos delta'!DQ24,'Datos Protegidos'!$K24,PARTIDOS!DR$8),0)</f>
        <v>0</v>
      </c>
      <c r="EI24" s="7">
        <v>0</v>
      </c>
      <c r="EJ24" s="19">
        <f>+IF('Datos delta'!DS24&gt;0,REASIGN('Datos delta'!DS24,'Datos Protegidos'!$K24,PARTIDOS!DT$8),0)</f>
        <v>0</v>
      </c>
      <c r="EK24" s="7">
        <v>0</v>
      </c>
      <c r="EL24" s="19">
        <f>+IF('Datos delta'!DU24&gt;0,REASIGN('Datos delta'!DU24,'Datos Protegidos'!$K24,PARTIDOS!DV$8),0)</f>
        <v>0</v>
      </c>
      <c r="EM24" s="7">
        <v>0</v>
      </c>
      <c r="EN24" s="19">
        <f>+IF('Datos delta'!DW24&gt;0,REASIGN('Datos delta'!DW24,'Datos Protegidos'!$K24,PARTIDOS!DX$8),0)</f>
        <v>0</v>
      </c>
      <c r="EO24" s="7">
        <v>0</v>
      </c>
      <c r="EP24" s="19">
        <f>+IF('Datos delta'!DY24&gt;0,REASIGN('Datos delta'!DY24,'Datos Protegidos'!$K24,PARTIDOS!DZ$8),0)</f>
        <v>0</v>
      </c>
      <c r="EQ24" s="7">
        <v>0</v>
      </c>
      <c r="ER24" s="19">
        <f>+IF('Datos delta'!EA24&gt;0,REASIGN('Datos delta'!EA24,'Datos Protegidos'!$K24,PARTIDOS!EB$8),0)</f>
        <v>0</v>
      </c>
      <c r="ES24" s="7">
        <v>0</v>
      </c>
      <c r="ET24" s="19">
        <f>+IF('Datos delta'!EC24&gt;0,REASIGN('Datos delta'!EC24,'Datos Protegidos'!$K24,PARTIDOS!ED$8),0)</f>
        <v>0</v>
      </c>
      <c r="EU24" s="7">
        <v>0</v>
      </c>
    </row>
    <row r="25" spans="1:151" x14ac:dyDescent="0.25">
      <c r="A25" s="7" t="s">
        <v>43</v>
      </c>
      <c r="B25" s="8">
        <v>24</v>
      </c>
      <c r="C25" s="7" t="s">
        <v>46</v>
      </c>
      <c r="D25" s="9">
        <v>463746</v>
      </c>
      <c r="E25">
        <v>729</v>
      </c>
      <c r="F25" s="1">
        <v>384892</v>
      </c>
      <c r="G25" s="1">
        <v>47181</v>
      </c>
      <c r="H25" s="1">
        <v>432073</v>
      </c>
      <c r="I25" s="1"/>
      <c r="J25" s="1"/>
      <c r="K25" s="1"/>
      <c r="L25" s="3">
        <f t="shared" si="1"/>
        <v>272071</v>
      </c>
      <c r="M25" s="3">
        <f t="shared" si="2"/>
        <v>269039</v>
      </c>
      <c r="N25" s="6">
        <f t="shared" si="0"/>
        <v>266329</v>
      </c>
      <c r="O25" s="1">
        <v>2710</v>
      </c>
      <c r="P25" s="1">
        <v>3032</v>
      </c>
      <c r="Q25" s="6">
        <f t="shared" si="3"/>
        <v>4</v>
      </c>
      <c r="R25" s="19">
        <f>+IF('Datos delta'!A25&gt;0,REASIGN('Datos delta'!A25,'Datos Protegidos'!$K25,PARTIDOS!B$8),0)</f>
        <v>93963</v>
      </c>
      <c r="S25" s="7">
        <v>2</v>
      </c>
      <c r="T25" s="19">
        <f>+IF('Datos delta'!C25&gt;0,REASIGN('Datos delta'!C25,'Datos Protegidos'!$K25,PARTIDOS!D$8),0)</f>
        <v>89549</v>
      </c>
      <c r="U25" s="7">
        <v>1</v>
      </c>
      <c r="V25" s="19">
        <f>+IF('Datos delta'!E25&gt;0,REASIGN('Datos delta'!E25,'Datos Protegidos'!$K25,PARTIDOS!F$8),0)</f>
        <v>41701</v>
      </c>
      <c r="W25" s="7">
        <v>1</v>
      </c>
      <c r="X25" s="19">
        <f>+IF('Datos delta'!G25&gt;0,REASIGN('Datos delta'!G25,'Datos Protegidos'!$K25,PARTIDOS!H$8),0)</f>
        <v>28851</v>
      </c>
      <c r="Y25" s="7">
        <v>0</v>
      </c>
      <c r="Z25" s="19">
        <f>+IF('Datos delta'!I25&gt;0,REASIGN('Datos delta'!I25,'Datos Protegidos'!$K25,PARTIDOS!J$8),0)</f>
        <v>0</v>
      </c>
      <c r="AA25" s="7">
        <v>0</v>
      </c>
      <c r="AB25" s="19">
        <f>+IF('Datos delta'!K25&gt;0,REASIGN('Datos delta'!K25,'Datos Protegidos'!$K25,PARTIDOS!L$8),0)</f>
        <v>0</v>
      </c>
      <c r="AC25" s="7">
        <v>0</v>
      </c>
      <c r="AD25" s="19">
        <f>+IF('Datos delta'!M25&gt;0,REASIGN('Datos delta'!M25,'Datos Protegidos'!$K25,PARTIDOS!N$8),0)</f>
        <v>0</v>
      </c>
      <c r="AE25" s="7">
        <v>0</v>
      </c>
      <c r="AF25" s="19">
        <f>+IF('Datos delta'!O25&gt;0,REASIGN('Datos delta'!O25,'Datos Protegidos'!$K25,PARTIDOS!P$8),0)</f>
        <v>0</v>
      </c>
      <c r="AG25" s="7">
        <v>0</v>
      </c>
      <c r="AH25" s="19">
        <f>+IF('Datos delta'!Q25&gt;0,REASIGN('Datos delta'!Q25,'Datos Protegidos'!$K25,PARTIDOS!R$8),0)</f>
        <v>0</v>
      </c>
      <c r="AI25" s="7">
        <v>0</v>
      </c>
      <c r="AJ25" s="19">
        <f>+IF('Datos delta'!S25&gt;0,REASIGN('Datos delta'!S25,'Datos Protegidos'!$K25,PARTIDOS!T$8),0)</f>
        <v>0</v>
      </c>
      <c r="AK25" s="7">
        <v>0</v>
      </c>
      <c r="AL25" s="19">
        <f>+IF('Datos delta'!U25&gt;0,REASIGN('Datos delta'!U25,'Datos Protegidos'!$K25,PARTIDOS!V$8),0)</f>
        <v>0</v>
      </c>
      <c r="AM25" s="7">
        <v>0</v>
      </c>
      <c r="AN25" s="19">
        <f>+IF('Datos delta'!W25&gt;0,REASIGN('Datos delta'!W25,'Datos Protegidos'!$K25,PARTIDOS!X$8),0)</f>
        <v>0</v>
      </c>
      <c r="AO25" s="7">
        <v>0</v>
      </c>
      <c r="AP25" s="19">
        <f>+IF('Datos delta'!Y25&gt;0,REASIGN('Datos delta'!Y25,'Datos Protegidos'!$K25,PARTIDOS!Z$8),0)</f>
        <v>0</v>
      </c>
      <c r="AQ25" s="7">
        <v>0</v>
      </c>
      <c r="AR25" s="19">
        <f>+IF('Datos delta'!AA25&gt;0,REASIGN('Datos delta'!AA25,'Datos Protegidos'!$K25,PARTIDOS!AB$8),0)</f>
        <v>0</v>
      </c>
      <c r="AS25" s="7">
        <v>0</v>
      </c>
      <c r="AT25" s="19">
        <f>+IF('Datos delta'!AC25&gt;0,REASIGN('Datos delta'!AC25,'Datos Protegidos'!$K25,PARTIDOS!AD$8),0)</f>
        <v>0</v>
      </c>
      <c r="AU25" s="7">
        <v>0</v>
      </c>
      <c r="AV25" s="19">
        <f>+IF('Datos delta'!AE25&gt;0,REASIGN('Datos delta'!AE25,'Datos Protegidos'!$K25,PARTIDOS!AF$8),0)</f>
        <v>0</v>
      </c>
      <c r="AW25" s="7">
        <v>0</v>
      </c>
      <c r="AX25" s="19">
        <f>+IF('Datos delta'!AG25&gt;0,REASIGN('Datos delta'!AG25,'Datos Protegidos'!$K25,PARTIDOS!AH$8),0)</f>
        <v>0</v>
      </c>
      <c r="AY25" s="7">
        <v>0</v>
      </c>
      <c r="AZ25" s="19">
        <f>+IF('Datos delta'!AI25&gt;0,REASIGN('Datos delta'!AI25,'Datos Protegidos'!$K25,PARTIDOS!AJ$8),0)</f>
        <v>0</v>
      </c>
      <c r="BA25" s="7">
        <v>0</v>
      </c>
      <c r="BB25" s="19">
        <f>+IF('Datos delta'!AK25&gt;0,REASIGN('Datos delta'!AK25,'Datos Protegidos'!$K25,PARTIDOS!AL$8),0)</f>
        <v>0</v>
      </c>
      <c r="BC25" s="7">
        <v>0</v>
      </c>
      <c r="BD25" s="19">
        <f>+IF('Datos delta'!AM25&gt;0,REASIGN('Datos delta'!AM25,'Datos Protegidos'!$K25,PARTIDOS!AN$8),0)</f>
        <v>1497</v>
      </c>
      <c r="BE25" s="7">
        <v>0</v>
      </c>
      <c r="BF25" s="19">
        <f>+IF('Datos delta'!AO25&gt;0,REASIGN('Datos delta'!AO25,'Datos Protegidos'!$K25,PARTIDOS!AP$8),0)</f>
        <v>0</v>
      </c>
      <c r="BG25" s="7">
        <v>0</v>
      </c>
      <c r="BH25" s="19">
        <f>+IF('Datos delta'!AQ25&gt;0,REASIGN('Datos delta'!AQ25,'Datos Protegidos'!$K25,PARTIDOS!AR$8),0)</f>
        <v>177</v>
      </c>
      <c r="BI25" s="7">
        <v>0</v>
      </c>
      <c r="BJ25" s="19">
        <f>+IF('Datos delta'!AS25&gt;0,REASIGN('Datos delta'!AS25,'Datos Protegidos'!$K25,PARTIDOS!AT$8),0)</f>
        <v>315</v>
      </c>
      <c r="BK25" s="7">
        <v>0</v>
      </c>
      <c r="BL25" s="19">
        <f>+IF('Datos delta'!AU25&gt;0,REASIGN('Datos delta'!AU25,'Datos Protegidos'!$K25,PARTIDOS!AV$8),0)</f>
        <v>0</v>
      </c>
      <c r="BM25" s="7">
        <v>0</v>
      </c>
      <c r="BN25" s="19">
        <f>+IF('Datos delta'!AW25&gt;0,REASIGN('Datos delta'!AW25,'Datos Protegidos'!$K25,PARTIDOS!AX$8),0)</f>
        <v>0</v>
      </c>
      <c r="BO25" s="7">
        <v>0</v>
      </c>
      <c r="BP25" s="19">
        <f>+IF('Datos delta'!AY25&gt;0,REASIGN('Datos delta'!AY25,'Datos Protegidos'!$K25,PARTIDOS!AZ$8),0)</f>
        <v>0</v>
      </c>
      <c r="BQ25" s="7">
        <v>0</v>
      </c>
      <c r="BR25" s="19">
        <f>+IF('Datos delta'!BA25&gt;0,REASIGN('Datos delta'!BA25,'Datos Protegidos'!$K25,PARTIDOS!BB$8),0)</f>
        <v>0</v>
      </c>
      <c r="BS25" s="7">
        <v>0</v>
      </c>
      <c r="BT25" s="19">
        <f>+IF('Datos delta'!BC25&gt;0,REASIGN('Datos delta'!BC25,'Datos Protegidos'!$K25,PARTIDOS!BD$8),0)</f>
        <v>397</v>
      </c>
      <c r="BU25" s="7">
        <v>0</v>
      </c>
      <c r="BV25" s="19">
        <f>+IF('Datos delta'!BE25&gt;0,REASIGN('Datos delta'!BE25,'Datos Protegidos'!$K25,PARTIDOS!BF$8),0)</f>
        <v>0</v>
      </c>
      <c r="BW25" s="7">
        <v>0</v>
      </c>
      <c r="BX25" s="19">
        <f>+IF('Datos delta'!BG25&gt;0,REASIGN('Datos delta'!BG25,'Datos Protegidos'!$K25,PARTIDOS!BH$8),0)</f>
        <v>9540</v>
      </c>
      <c r="BY25" s="7">
        <v>0</v>
      </c>
      <c r="BZ25" s="19">
        <f>+IF('Datos delta'!BI25&gt;0,REASIGN('Datos delta'!BI25,'Datos Protegidos'!$K25,PARTIDOS!BJ$8),0)</f>
        <v>0</v>
      </c>
      <c r="CA25" s="7">
        <v>0</v>
      </c>
      <c r="CB25" s="19">
        <f>+IF('Datos delta'!BK25&gt;0,REASIGN('Datos delta'!BK25,'Datos Protegidos'!$K25,PARTIDOS!BL$8),0)</f>
        <v>0</v>
      </c>
      <c r="CC25" s="7">
        <v>0</v>
      </c>
      <c r="CD25" s="19">
        <f>+IF('Datos delta'!BM25&gt;0,REASIGN('Datos delta'!BM25,'Datos Protegidos'!$K25,PARTIDOS!BN$8),0)</f>
        <v>0</v>
      </c>
      <c r="CE25" s="7">
        <v>0</v>
      </c>
      <c r="CF25" s="19">
        <f>+IF('Datos delta'!BO25&gt;0,REASIGN('Datos delta'!BO25,'Datos Protegidos'!$K25,PARTIDOS!BP$8),0)</f>
        <v>0</v>
      </c>
      <c r="CG25" s="7">
        <v>0</v>
      </c>
      <c r="CH25" s="19">
        <f>+IF('Datos delta'!BQ25&gt;0,REASIGN('Datos delta'!BQ25,'Datos Protegidos'!$K25,PARTIDOS!BR$8),0)</f>
        <v>0</v>
      </c>
      <c r="CI25" s="7">
        <v>0</v>
      </c>
      <c r="CJ25" s="19">
        <f>+IF('Datos delta'!BS25&gt;0,REASIGN('Datos delta'!BS25,'Datos Protegidos'!$K25,PARTIDOS!BT$8),0)</f>
        <v>0</v>
      </c>
      <c r="CK25" s="7">
        <v>0</v>
      </c>
      <c r="CL25" s="19">
        <f>+IF('Datos delta'!BU25&gt;0,REASIGN('Datos delta'!BU25,'Datos Protegidos'!$K25,PARTIDOS!BV$8),0)</f>
        <v>0</v>
      </c>
      <c r="CM25" s="7">
        <v>0</v>
      </c>
      <c r="CN25" s="19">
        <f>+IF('Datos delta'!BW25&gt;0,REASIGN('Datos delta'!BW25,'Datos Protegidos'!$K25,PARTIDOS!BX$8),0)</f>
        <v>0</v>
      </c>
      <c r="CO25" s="7">
        <v>0</v>
      </c>
      <c r="CP25" s="19">
        <f>+IF('Datos delta'!BY25&gt;0,REASIGN('Datos delta'!BY25,'Datos Protegidos'!$K25,PARTIDOS!BZ$8),0)</f>
        <v>0</v>
      </c>
      <c r="CQ25" s="7">
        <v>0</v>
      </c>
      <c r="CR25" s="19">
        <f>+IF('Datos delta'!CA25&gt;0,REASIGN('Datos delta'!CA25,'Datos Protegidos'!$K25,PARTIDOS!CB$8),0)</f>
        <v>0</v>
      </c>
      <c r="CS25" s="7">
        <v>0</v>
      </c>
      <c r="CT25" s="19">
        <f>+IF('Datos delta'!CC25&gt;0,REASIGN('Datos delta'!CC25,'Datos Protegidos'!$K25,PARTIDOS!CD$8),0)</f>
        <v>0</v>
      </c>
      <c r="CU25" s="7">
        <v>0</v>
      </c>
      <c r="CV25" s="19">
        <f>+IF('Datos delta'!CE25&gt;0,REASIGN('Datos delta'!CE25,'Datos Protegidos'!$K25,PARTIDOS!CF$8),0)</f>
        <v>0</v>
      </c>
      <c r="CW25" s="7">
        <v>0</v>
      </c>
      <c r="CX25" s="19">
        <f>+IF('Datos delta'!CG25&gt;0,REASIGN('Datos delta'!CG25,'Datos Protegidos'!$K25,PARTIDOS!CH$8),0)</f>
        <v>0</v>
      </c>
      <c r="CY25" s="7">
        <v>0</v>
      </c>
      <c r="CZ25" s="19">
        <f>+IF('Datos delta'!CI25&gt;0,REASIGN('Datos delta'!CI25,'Datos Protegidos'!$K25,PARTIDOS!CJ$8),0)</f>
        <v>0</v>
      </c>
      <c r="DA25" s="7">
        <v>0</v>
      </c>
      <c r="DB25" s="19">
        <f>+IF('Datos delta'!CK25&gt;0,REASIGN('Datos delta'!CK25,'Datos Protegidos'!$K25,PARTIDOS!CL$8),0)</f>
        <v>0</v>
      </c>
      <c r="DC25" s="7">
        <v>0</v>
      </c>
      <c r="DD25" s="19">
        <f>+IF('Datos delta'!CM25&gt;0,REASIGN('Datos delta'!CM25,'Datos Protegidos'!$K25,PARTIDOS!CN$8),0)</f>
        <v>0</v>
      </c>
      <c r="DE25" s="7">
        <v>0</v>
      </c>
      <c r="DF25" s="19">
        <f>+IF('Datos delta'!CO25&gt;0,REASIGN('Datos delta'!CO25,'Datos Protegidos'!$K25,PARTIDOS!CP$8),0)</f>
        <v>0</v>
      </c>
      <c r="DG25" s="7">
        <v>0</v>
      </c>
      <c r="DH25" s="19">
        <f>+IF('Datos delta'!CQ25&gt;0,REASIGN('Datos delta'!CQ25,'Datos Protegidos'!$K25,PARTIDOS!CR$8),0)</f>
        <v>0</v>
      </c>
      <c r="DI25" s="7">
        <v>0</v>
      </c>
      <c r="DJ25" s="19">
        <f>+IF('Datos delta'!CS25&gt;0,REASIGN('Datos delta'!CS25,'Datos Protegidos'!$K25,PARTIDOS!CT$8),0)</f>
        <v>0</v>
      </c>
      <c r="DK25" s="7">
        <v>0</v>
      </c>
      <c r="DL25" s="19">
        <f>+IF('Datos delta'!CU25&gt;0,REASIGN('Datos delta'!CU25,'Datos Protegidos'!$K25,PARTIDOS!CV$8),0)</f>
        <v>0</v>
      </c>
      <c r="DM25" s="7">
        <v>0</v>
      </c>
      <c r="DN25" s="19">
        <f>+IF('Datos delta'!CW25&gt;0,REASIGN('Datos delta'!CW25,'Datos Protegidos'!$K25,PARTIDOS!CX$8),0)</f>
        <v>0</v>
      </c>
      <c r="DO25" s="7">
        <v>0</v>
      </c>
      <c r="DP25" s="19">
        <f>+IF('Datos delta'!CY25&gt;0,REASIGN('Datos delta'!CY25,'Datos Protegidos'!$K25,PARTIDOS!CZ$8),0)</f>
        <v>339</v>
      </c>
      <c r="DQ25" s="7">
        <v>0</v>
      </c>
      <c r="DR25" s="19">
        <f>+IF('Datos delta'!DA25&gt;0,REASIGN('Datos delta'!DA25,'Datos Protegidos'!$K25,PARTIDOS!DB$8),0)</f>
        <v>0</v>
      </c>
      <c r="DS25" s="7">
        <v>0</v>
      </c>
      <c r="DT25" s="19">
        <f>+IF('Datos delta'!DC25&gt;0,REASIGN('Datos delta'!DC25,'Datos Protegidos'!$K25,PARTIDOS!DD$8),0)</f>
        <v>0</v>
      </c>
      <c r="DU25" s="7">
        <v>0</v>
      </c>
      <c r="DV25" s="19">
        <f>+IF('Datos delta'!DE25&gt;0,REASIGN('Datos delta'!DE25,'Datos Protegidos'!$K25,PARTIDOS!DF$8),0)</f>
        <v>0</v>
      </c>
      <c r="DW25" s="7">
        <v>0</v>
      </c>
      <c r="DX25" s="19">
        <f>+IF('Datos delta'!DG25&gt;0,REASIGN('Datos delta'!DG25,'Datos Protegidos'!$K25,PARTIDOS!DH$8),0)</f>
        <v>0</v>
      </c>
      <c r="DY25" s="7">
        <v>0</v>
      </c>
      <c r="DZ25" s="19">
        <f>+IF('Datos delta'!DI25&gt;0,REASIGN('Datos delta'!DI25,'Datos Protegidos'!$K25,PARTIDOS!DJ$8),0)</f>
        <v>0</v>
      </c>
      <c r="EA25" s="7">
        <v>0</v>
      </c>
      <c r="EB25" s="19">
        <f>+IF('Datos delta'!DK25&gt;0,REASIGN('Datos delta'!DK25,'Datos Protegidos'!$K25,PARTIDOS!DL$8),0)</f>
        <v>0</v>
      </c>
      <c r="EC25" s="7">
        <v>0</v>
      </c>
      <c r="ED25" s="19">
        <f>+IF('Datos delta'!DM25&gt;0,REASIGN('Datos delta'!DM25,'Datos Protegidos'!$K25,PARTIDOS!DN$8),0)</f>
        <v>0</v>
      </c>
      <c r="EE25" s="7">
        <v>0</v>
      </c>
      <c r="EF25" s="19">
        <f>+IF('Datos delta'!DO25&gt;0,REASIGN('Datos delta'!DO25,'Datos Protegidos'!$K25,PARTIDOS!DP$8),0)</f>
        <v>0</v>
      </c>
      <c r="EG25" s="7">
        <v>0</v>
      </c>
      <c r="EH25" s="19">
        <f>+IF('Datos delta'!DQ25&gt;0,REASIGN('Datos delta'!DQ25,'Datos Protegidos'!$K25,PARTIDOS!DR$8),0)</f>
        <v>0</v>
      </c>
      <c r="EI25" s="7">
        <v>0</v>
      </c>
      <c r="EJ25" s="19">
        <f>+IF('Datos delta'!DS25&gt;0,REASIGN('Datos delta'!DS25,'Datos Protegidos'!$K25,PARTIDOS!DT$8),0)</f>
        <v>0</v>
      </c>
      <c r="EK25" s="7">
        <v>0</v>
      </c>
      <c r="EL25" s="19">
        <f>+IF('Datos delta'!DU25&gt;0,REASIGN('Datos delta'!DU25,'Datos Protegidos'!$K25,PARTIDOS!DV$8),0)</f>
        <v>0</v>
      </c>
      <c r="EM25" s="7">
        <v>0</v>
      </c>
      <c r="EN25" s="19">
        <f>+IF('Datos delta'!DW25&gt;0,REASIGN('Datos delta'!DW25,'Datos Protegidos'!$K25,PARTIDOS!DX$8),0)</f>
        <v>0</v>
      </c>
      <c r="EO25" s="7">
        <v>0</v>
      </c>
      <c r="EP25" s="19">
        <f>+IF('Datos delta'!DY25&gt;0,REASIGN('Datos delta'!DY25,'Datos Protegidos'!$K25,PARTIDOS!DZ$8),0)</f>
        <v>0</v>
      </c>
      <c r="EQ25" s="7">
        <v>0</v>
      </c>
      <c r="ER25" s="19">
        <f>+IF('Datos delta'!EA25&gt;0,REASIGN('Datos delta'!EA25,'Datos Protegidos'!$K25,PARTIDOS!EB$8),0)</f>
        <v>0</v>
      </c>
      <c r="ES25" s="7">
        <v>0</v>
      </c>
      <c r="ET25" s="19">
        <f>+IF('Datos delta'!EC25&gt;0,REASIGN('Datos delta'!EC25,'Datos Protegidos'!$K25,PARTIDOS!ED$8),0)</f>
        <v>0</v>
      </c>
      <c r="EU25" s="7">
        <v>0</v>
      </c>
    </row>
    <row r="26" spans="1:151" x14ac:dyDescent="0.25">
      <c r="A26" s="7" t="s">
        <v>43</v>
      </c>
      <c r="B26" s="8">
        <v>34</v>
      </c>
      <c r="C26" s="7" t="s">
        <v>47</v>
      </c>
      <c r="D26" s="9">
        <v>162035</v>
      </c>
      <c r="E26">
        <v>324</v>
      </c>
      <c r="F26" s="1">
        <v>133955</v>
      </c>
      <c r="G26" s="1">
        <v>7366</v>
      </c>
      <c r="H26" s="1">
        <v>141321</v>
      </c>
      <c r="I26"/>
      <c r="J26" s="1"/>
      <c r="K26"/>
      <c r="L26" s="3">
        <f t="shared" si="1"/>
        <v>99380</v>
      </c>
      <c r="M26" s="3">
        <f t="shared" si="2"/>
        <v>98130</v>
      </c>
      <c r="N26" s="6">
        <f t="shared" si="0"/>
        <v>97115</v>
      </c>
      <c r="O26" s="1">
        <v>1015</v>
      </c>
      <c r="P26" s="1">
        <v>1250</v>
      </c>
      <c r="Q26" s="6">
        <f t="shared" si="3"/>
        <v>3</v>
      </c>
      <c r="R26" s="19">
        <f>+IF('Datos delta'!A26&gt;0,REASIGN('Datos delta'!A26,'Datos Protegidos'!$K26,PARTIDOS!B$8),0)</f>
        <v>34032</v>
      </c>
      <c r="S26" s="7">
        <v>1</v>
      </c>
      <c r="T26" s="19">
        <f>+IF('Datos delta'!C26&gt;0,REASIGN('Datos delta'!C26,'Datos Protegidos'!$K26,PARTIDOS!D$8),0)</f>
        <v>39627</v>
      </c>
      <c r="U26" s="7">
        <v>2</v>
      </c>
      <c r="V26" s="19">
        <f>+IF('Datos delta'!E26&gt;0,REASIGN('Datos delta'!E26,'Datos Protegidos'!$K26,PARTIDOS!F$8),0)</f>
        <v>14092</v>
      </c>
      <c r="W26" s="7">
        <v>0</v>
      </c>
      <c r="X26" s="19">
        <f>+IF('Datos delta'!G26&gt;0,REASIGN('Datos delta'!G26,'Datos Protegidos'!$K26,PARTIDOS!H$8),0)</f>
        <v>8133</v>
      </c>
      <c r="Y26" s="7">
        <v>0</v>
      </c>
      <c r="Z26" s="19">
        <f>+IF('Datos delta'!I26&gt;0,REASIGN('Datos delta'!I26,'Datos Protegidos'!$K26,PARTIDOS!J$8),0)</f>
        <v>0</v>
      </c>
      <c r="AA26" s="7">
        <v>0</v>
      </c>
      <c r="AB26" s="19">
        <f>+IF('Datos delta'!K26&gt;0,REASIGN('Datos delta'!K26,'Datos Protegidos'!$K26,PARTIDOS!L$8),0)</f>
        <v>0</v>
      </c>
      <c r="AC26" s="7">
        <v>0</v>
      </c>
      <c r="AD26" s="19">
        <f>+IF('Datos delta'!M26&gt;0,REASIGN('Datos delta'!M26,'Datos Protegidos'!$K26,PARTIDOS!N$8),0)</f>
        <v>0</v>
      </c>
      <c r="AE26" s="7">
        <v>0</v>
      </c>
      <c r="AF26" s="19">
        <f>+IF('Datos delta'!O26&gt;0,REASIGN('Datos delta'!O26,'Datos Protegidos'!$K26,PARTIDOS!P$8),0)</f>
        <v>0</v>
      </c>
      <c r="AG26" s="7">
        <v>0</v>
      </c>
      <c r="AH26" s="19">
        <f>+IF('Datos delta'!Q26&gt;0,REASIGN('Datos delta'!Q26,'Datos Protegidos'!$K26,PARTIDOS!R$8),0)</f>
        <v>0</v>
      </c>
      <c r="AI26" s="7">
        <v>0</v>
      </c>
      <c r="AJ26" s="19">
        <f>+IF('Datos delta'!S26&gt;0,REASIGN('Datos delta'!S26,'Datos Protegidos'!$K26,PARTIDOS!T$8),0)</f>
        <v>0</v>
      </c>
      <c r="AK26" s="7">
        <v>0</v>
      </c>
      <c r="AL26" s="19">
        <f>+IF('Datos delta'!U26&gt;0,REASIGN('Datos delta'!U26,'Datos Protegidos'!$K26,PARTIDOS!V$8),0)</f>
        <v>0</v>
      </c>
      <c r="AM26" s="7">
        <v>0</v>
      </c>
      <c r="AN26" s="19">
        <f>+IF('Datos delta'!W26&gt;0,REASIGN('Datos delta'!W26,'Datos Protegidos'!$K26,PARTIDOS!X$8),0)</f>
        <v>0</v>
      </c>
      <c r="AO26" s="7">
        <v>0</v>
      </c>
      <c r="AP26" s="19">
        <f>+IF('Datos delta'!Y26&gt;0,REASIGN('Datos delta'!Y26,'Datos Protegidos'!$K26,PARTIDOS!Z$8),0)</f>
        <v>0</v>
      </c>
      <c r="AQ26" s="7">
        <v>0</v>
      </c>
      <c r="AR26" s="19">
        <f>+IF('Datos delta'!AA26&gt;0,REASIGN('Datos delta'!AA26,'Datos Protegidos'!$K26,PARTIDOS!AB$8),0)</f>
        <v>0</v>
      </c>
      <c r="AS26" s="7">
        <v>0</v>
      </c>
      <c r="AT26" s="19">
        <f>+IF('Datos delta'!AC26&gt;0,REASIGN('Datos delta'!AC26,'Datos Protegidos'!$K26,PARTIDOS!AD$8),0)</f>
        <v>0</v>
      </c>
      <c r="AU26" s="7">
        <v>0</v>
      </c>
      <c r="AV26" s="19">
        <f>+IF('Datos delta'!AE26&gt;0,REASIGN('Datos delta'!AE26,'Datos Protegidos'!$K26,PARTIDOS!AF$8),0)</f>
        <v>0</v>
      </c>
      <c r="AW26" s="7">
        <v>0</v>
      </c>
      <c r="AX26" s="19">
        <f>+IF('Datos delta'!AG26&gt;0,REASIGN('Datos delta'!AG26,'Datos Protegidos'!$K26,PARTIDOS!AH$8),0)</f>
        <v>0</v>
      </c>
      <c r="AY26" s="7">
        <v>0</v>
      </c>
      <c r="AZ26" s="19">
        <f>+IF('Datos delta'!AI26&gt;0,REASIGN('Datos delta'!AI26,'Datos Protegidos'!$K26,PARTIDOS!AJ$8),0)</f>
        <v>0</v>
      </c>
      <c r="BA26" s="7">
        <v>0</v>
      </c>
      <c r="BB26" s="19">
        <f>+IF('Datos delta'!AK26&gt;0,REASIGN('Datos delta'!AK26,'Datos Protegidos'!$K26,PARTIDOS!AL$8),0)</f>
        <v>0</v>
      </c>
      <c r="BC26" s="7">
        <v>0</v>
      </c>
      <c r="BD26" s="19">
        <f>+IF('Datos delta'!AM26&gt;0,REASIGN('Datos delta'!AM26,'Datos Protegidos'!$K26,PARTIDOS!AN$8),0)</f>
        <v>579</v>
      </c>
      <c r="BE26" s="7">
        <v>0</v>
      </c>
      <c r="BF26" s="19">
        <f>+IF('Datos delta'!AO26&gt;0,REASIGN('Datos delta'!AO26,'Datos Protegidos'!$K26,PARTIDOS!AP$8),0)</f>
        <v>0</v>
      </c>
      <c r="BG26" s="7">
        <v>0</v>
      </c>
      <c r="BH26" s="19">
        <f>+IF('Datos delta'!AQ26&gt;0,REASIGN('Datos delta'!AQ26,'Datos Protegidos'!$K26,PARTIDOS!AR$8),0)</f>
        <v>254</v>
      </c>
      <c r="BI26" s="7">
        <v>0</v>
      </c>
      <c r="BJ26" s="19">
        <f>+IF('Datos delta'!AS26&gt;0,REASIGN('Datos delta'!AS26,'Datos Protegidos'!$K26,PARTIDOS!AT$8),0)</f>
        <v>207</v>
      </c>
      <c r="BK26" s="7">
        <v>0</v>
      </c>
      <c r="BL26" s="19">
        <f>+IF('Datos delta'!AU26&gt;0,REASIGN('Datos delta'!AU26,'Datos Protegidos'!$K26,PARTIDOS!AV$8),0)</f>
        <v>0</v>
      </c>
      <c r="BM26" s="7">
        <v>0</v>
      </c>
      <c r="BN26" s="19">
        <f>+IF('Datos delta'!AW26&gt;0,REASIGN('Datos delta'!AW26,'Datos Protegidos'!$K26,PARTIDOS!AX$8),0)</f>
        <v>0</v>
      </c>
      <c r="BO26" s="7">
        <v>0</v>
      </c>
      <c r="BP26" s="19">
        <f>+IF('Datos delta'!AY26&gt;0,REASIGN('Datos delta'!AY26,'Datos Protegidos'!$K26,PARTIDOS!AZ$8),0)</f>
        <v>0</v>
      </c>
      <c r="BQ26" s="7">
        <v>0</v>
      </c>
      <c r="BR26" s="19">
        <f>+IF('Datos delta'!BA26&gt;0,REASIGN('Datos delta'!BA26,'Datos Protegidos'!$K26,PARTIDOS!BB$8),0)</f>
        <v>0</v>
      </c>
      <c r="BS26" s="7">
        <v>0</v>
      </c>
      <c r="BT26" s="19">
        <f>+IF('Datos delta'!BC26&gt;0,REASIGN('Datos delta'!BC26,'Datos Protegidos'!$K26,PARTIDOS!BD$8),0)</f>
        <v>111</v>
      </c>
      <c r="BU26" s="7">
        <v>0</v>
      </c>
      <c r="BV26" s="19">
        <f>+IF('Datos delta'!BE26&gt;0,REASIGN('Datos delta'!BE26,'Datos Protegidos'!$K26,PARTIDOS!BF$8),0)</f>
        <v>0</v>
      </c>
      <c r="BW26" s="7">
        <v>0</v>
      </c>
      <c r="BX26" s="19">
        <f>+IF('Datos delta'!BG26&gt;0,REASIGN('Datos delta'!BG26,'Datos Protegidos'!$K26,PARTIDOS!BH$8),0)</f>
        <v>0</v>
      </c>
      <c r="BY26" s="7">
        <v>0</v>
      </c>
      <c r="BZ26" s="19">
        <f>+IF('Datos delta'!BI26&gt;0,REASIGN('Datos delta'!BI26,'Datos Protegidos'!$K26,PARTIDOS!BJ$8),0)</f>
        <v>0</v>
      </c>
      <c r="CA26" s="7">
        <v>0</v>
      </c>
      <c r="CB26" s="19">
        <f>+IF('Datos delta'!BK26&gt;0,REASIGN('Datos delta'!BK26,'Datos Protegidos'!$K26,PARTIDOS!BL$8),0)</f>
        <v>0</v>
      </c>
      <c r="CC26" s="7">
        <v>0</v>
      </c>
      <c r="CD26" s="19">
        <f>+IF('Datos delta'!BM26&gt;0,REASIGN('Datos delta'!BM26,'Datos Protegidos'!$K26,PARTIDOS!BN$8),0)</f>
        <v>0</v>
      </c>
      <c r="CE26" s="7">
        <v>0</v>
      </c>
      <c r="CF26" s="19">
        <f>+IF('Datos delta'!BO26&gt;0,REASIGN('Datos delta'!BO26,'Datos Protegidos'!$K26,PARTIDOS!BP$8),0)</f>
        <v>0</v>
      </c>
      <c r="CG26" s="7">
        <v>0</v>
      </c>
      <c r="CH26" s="19">
        <f>+IF('Datos delta'!BQ26&gt;0,REASIGN('Datos delta'!BQ26,'Datos Protegidos'!$K26,PARTIDOS!BR$8),0)</f>
        <v>0</v>
      </c>
      <c r="CI26" s="7">
        <v>0</v>
      </c>
      <c r="CJ26" s="19">
        <f>+IF('Datos delta'!BS26&gt;0,REASIGN('Datos delta'!BS26,'Datos Protegidos'!$K26,PARTIDOS!BT$8),0)</f>
        <v>0</v>
      </c>
      <c r="CK26" s="7">
        <v>0</v>
      </c>
      <c r="CL26" s="19">
        <f>+IF('Datos delta'!BU26&gt;0,REASIGN('Datos delta'!BU26,'Datos Protegidos'!$K26,PARTIDOS!BV$8),0)</f>
        <v>0</v>
      </c>
      <c r="CM26" s="7">
        <v>0</v>
      </c>
      <c r="CN26" s="19">
        <f>+IF('Datos delta'!BW26&gt;0,REASIGN('Datos delta'!BW26,'Datos Protegidos'!$K26,PARTIDOS!BX$8),0)</f>
        <v>0</v>
      </c>
      <c r="CO26" s="7">
        <v>0</v>
      </c>
      <c r="CP26" s="19">
        <f>+IF('Datos delta'!BY26&gt;0,REASIGN('Datos delta'!BY26,'Datos Protegidos'!$K26,PARTIDOS!BZ$8),0)</f>
        <v>0</v>
      </c>
      <c r="CQ26" s="7">
        <v>0</v>
      </c>
      <c r="CR26" s="19">
        <f>+IF('Datos delta'!CA26&gt;0,REASIGN('Datos delta'!CA26,'Datos Protegidos'!$K26,PARTIDOS!CB$8),0)</f>
        <v>0</v>
      </c>
      <c r="CS26" s="7">
        <v>0</v>
      </c>
      <c r="CT26" s="19">
        <f>+IF('Datos delta'!CC26&gt;0,REASIGN('Datos delta'!CC26,'Datos Protegidos'!$K26,PARTIDOS!CD$8),0)</f>
        <v>0</v>
      </c>
      <c r="CU26" s="7">
        <v>0</v>
      </c>
      <c r="CV26" s="19">
        <f>+IF('Datos delta'!CE26&gt;0,REASIGN('Datos delta'!CE26,'Datos Protegidos'!$K26,PARTIDOS!CF$8),0)</f>
        <v>0</v>
      </c>
      <c r="CW26" s="7">
        <v>0</v>
      </c>
      <c r="CX26" s="19">
        <f>+IF('Datos delta'!CG26&gt;0,REASIGN('Datos delta'!CG26,'Datos Protegidos'!$K26,PARTIDOS!CH$8),0)</f>
        <v>0</v>
      </c>
      <c r="CY26" s="7">
        <v>0</v>
      </c>
      <c r="CZ26" s="19">
        <f>+IF('Datos delta'!CI26&gt;0,REASIGN('Datos delta'!CI26,'Datos Protegidos'!$K26,PARTIDOS!CJ$8),0)</f>
        <v>0</v>
      </c>
      <c r="DA26" s="7">
        <v>0</v>
      </c>
      <c r="DB26" s="19">
        <f>+IF('Datos delta'!CK26&gt;0,REASIGN('Datos delta'!CK26,'Datos Protegidos'!$K26,PARTIDOS!CL$8),0)</f>
        <v>0</v>
      </c>
      <c r="DC26" s="7">
        <v>0</v>
      </c>
      <c r="DD26" s="19">
        <f>+IF('Datos delta'!CM26&gt;0,REASIGN('Datos delta'!CM26,'Datos Protegidos'!$K26,PARTIDOS!CN$8),0)</f>
        <v>0</v>
      </c>
      <c r="DE26" s="7">
        <v>0</v>
      </c>
      <c r="DF26" s="19">
        <f>+IF('Datos delta'!CO26&gt;0,REASIGN('Datos delta'!CO26,'Datos Protegidos'!$K26,PARTIDOS!CP$8),0)</f>
        <v>0</v>
      </c>
      <c r="DG26" s="7">
        <v>0</v>
      </c>
      <c r="DH26" s="19">
        <f>+IF('Datos delta'!CQ26&gt;0,REASIGN('Datos delta'!CQ26,'Datos Protegidos'!$K26,PARTIDOS!CR$8),0)</f>
        <v>0</v>
      </c>
      <c r="DI26" s="7">
        <v>0</v>
      </c>
      <c r="DJ26" s="19">
        <f>+IF('Datos delta'!CS26&gt;0,REASIGN('Datos delta'!CS26,'Datos Protegidos'!$K26,PARTIDOS!CT$8),0)</f>
        <v>0</v>
      </c>
      <c r="DK26" s="7">
        <v>0</v>
      </c>
      <c r="DL26" s="19">
        <f>+IF('Datos delta'!CU26&gt;0,REASIGN('Datos delta'!CU26,'Datos Protegidos'!$K26,PARTIDOS!CV$8),0)</f>
        <v>0</v>
      </c>
      <c r="DM26" s="7">
        <v>0</v>
      </c>
      <c r="DN26" s="19">
        <f>+IF('Datos delta'!CW26&gt;0,REASIGN('Datos delta'!CW26,'Datos Protegidos'!$K26,PARTIDOS!CX$8),0)</f>
        <v>0</v>
      </c>
      <c r="DO26" s="7">
        <v>0</v>
      </c>
      <c r="DP26" s="19">
        <f>+IF('Datos delta'!CY26&gt;0,REASIGN('Datos delta'!CY26,'Datos Protegidos'!$K26,PARTIDOS!CZ$8),0)</f>
        <v>0</v>
      </c>
      <c r="DQ26" s="7">
        <v>0</v>
      </c>
      <c r="DR26" s="19">
        <f>+IF('Datos delta'!DA26&gt;0,REASIGN('Datos delta'!DA26,'Datos Protegidos'!$K26,PARTIDOS!DB$8),0)</f>
        <v>0</v>
      </c>
      <c r="DS26" s="7">
        <v>0</v>
      </c>
      <c r="DT26" s="19">
        <f>+IF('Datos delta'!DC26&gt;0,REASIGN('Datos delta'!DC26,'Datos Protegidos'!$K26,PARTIDOS!DD$8),0)</f>
        <v>0</v>
      </c>
      <c r="DU26" s="7">
        <v>0</v>
      </c>
      <c r="DV26" s="19">
        <f>+IF('Datos delta'!DE26&gt;0,REASIGN('Datos delta'!DE26,'Datos Protegidos'!$K26,PARTIDOS!DF$8),0)</f>
        <v>0</v>
      </c>
      <c r="DW26" s="7">
        <v>0</v>
      </c>
      <c r="DX26" s="19">
        <f>+IF('Datos delta'!DG26&gt;0,REASIGN('Datos delta'!DG26,'Datos Protegidos'!$K26,PARTIDOS!DH$8),0)</f>
        <v>80</v>
      </c>
      <c r="DY26" s="7">
        <v>0</v>
      </c>
      <c r="DZ26" s="19">
        <f>+IF('Datos delta'!DI26&gt;0,REASIGN('Datos delta'!DI26,'Datos Protegidos'!$K26,PARTIDOS!DJ$8),0)</f>
        <v>0</v>
      </c>
      <c r="EA26" s="7">
        <v>0</v>
      </c>
      <c r="EB26" s="19">
        <f>+IF('Datos delta'!DK26&gt;0,REASIGN('Datos delta'!DK26,'Datos Protegidos'!$K26,PARTIDOS!DL$8),0)</f>
        <v>0</v>
      </c>
      <c r="EC26" s="7">
        <v>0</v>
      </c>
      <c r="ED26" s="19">
        <f>+IF('Datos delta'!DM26&gt;0,REASIGN('Datos delta'!DM26,'Datos Protegidos'!$K26,PARTIDOS!DN$8),0)</f>
        <v>0</v>
      </c>
      <c r="EE26" s="7">
        <v>0</v>
      </c>
      <c r="EF26" s="19">
        <f>+IF('Datos delta'!DO26&gt;0,REASIGN('Datos delta'!DO26,'Datos Protegidos'!$K26,PARTIDOS!DP$8),0)</f>
        <v>0</v>
      </c>
      <c r="EG26" s="7">
        <v>0</v>
      </c>
      <c r="EH26" s="19">
        <f>+IF('Datos delta'!DQ26&gt;0,REASIGN('Datos delta'!DQ26,'Datos Protegidos'!$K26,PARTIDOS!DR$8),0)</f>
        <v>0</v>
      </c>
      <c r="EI26" s="7">
        <v>0</v>
      </c>
      <c r="EJ26" s="19">
        <f>+IF('Datos delta'!DS26&gt;0,REASIGN('Datos delta'!DS26,'Datos Protegidos'!$K26,PARTIDOS!DT$8),0)</f>
        <v>0</v>
      </c>
      <c r="EK26" s="7">
        <v>0</v>
      </c>
      <c r="EL26" s="19">
        <f>+IF('Datos delta'!DU26&gt;0,REASIGN('Datos delta'!DU26,'Datos Protegidos'!$K26,PARTIDOS!DV$8),0)</f>
        <v>0</v>
      </c>
      <c r="EM26" s="7">
        <v>0</v>
      </c>
      <c r="EN26" s="19">
        <f>+IF('Datos delta'!DW26&gt;0,REASIGN('Datos delta'!DW26,'Datos Protegidos'!$K26,PARTIDOS!DX$8),0)</f>
        <v>0</v>
      </c>
      <c r="EO26" s="7">
        <v>0</v>
      </c>
      <c r="EP26" s="19">
        <f>+IF('Datos delta'!DY26&gt;0,REASIGN('Datos delta'!DY26,'Datos Protegidos'!$K26,PARTIDOS!DZ$8),0)</f>
        <v>0</v>
      </c>
      <c r="EQ26" s="7">
        <v>0</v>
      </c>
      <c r="ER26" s="19">
        <f>+IF('Datos delta'!EA26&gt;0,REASIGN('Datos delta'!EA26,'Datos Protegidos'!$K26,PARTIDOS!EB$8),0)</f>
        <v>0</v>
      </c>
      <c r="ES26" s="7">
        <v>0</v>
      </c>
      <c r="ET26" s="19">
        <f>+IF('Datos delta'!EC26&gt;0,REASIGN('Datos delta'!EC26,'Datos Protegidos'!$K26,PARTIDOS!ED$8),0)</f>
        <v>0</v>
      </c>
      <c r="EU26" s="7">
        <v>0</v>
      </c>
    </row>
    <row r="27" spans="1:151" x14ac:dyDescent="0.25">
      <c r="A27" s="7" t="s">
        <v>43</v>
      </c>
      <c r="B27" s="8">
        <v>37</v>
      </c>
      <c r="C27" s="7" t="s">
        <v>48</v>
      </c>
      <c r="D27" s="9">
        <v>331473</v>
      </c>
      <c r="E27">
        <v>684</v>
      </c>
      <c r="F27" s="1">
        <v>274805</v>
      </c>
      <c r="G27" s="1">
        <v>30731</v>
      </c>
      <c r="H27" s="1">
        <v>305536</v>
      </c>
      <c r="I27" s="1"/>
      <c r="J27" s="1"/>
      <c r="K27" s="1"/>
      <c r="L27" s="3">
        <f t="shared" si="1"/>
        <v>201585</v>
      </c>
      <c r="M27" s="3">
        <f t="shared" si="2"/>
        <v>199082</v>
      </c>
      <c r="N27" s="6">
        <f t="shared" si="0"/>
        <v>197100</v>
      </c>
      <c r="O27" s="1">
        <v>1982</v>
      </c>
      <c r="P27" s="1">
        <v>2503</v>
      </c>
      <c r="Q27" s="6">
        <f t="shared" si="3"/>
        <v>4</v>
      </c>
      <c r="R27" s="19">
        <f>+IF('Datos delta'!A27&gt;0,REASIGN('Datos delta'!A27,'Datos Protegidos'!$K27,PARTIDOS!B$8),0)</f>
        <v>62043</v>
      </c>
      <c r="S27" s="7">
        <v>1</v>
      </c>
      <c r="T27" s="19">
        <f>+IF('Datos delta'!C27&gt;0,REASIGN('Datos delta'!C27,'Datos Protegidos'!$K27,PARTIDOS!D$8),0)</f>
        <v>82577</v>
      </c>
      <c r="U27" s="7">
        <v>2</v>
      </c>
      <c r="V27" s="19">
        <f>+IF('Datos delta'!E27&gt;0,REASIGN('Datos delta'!E27,'Datos Protegidos'!$K27,PARTIDOS!F$8),0)</f>
        <v>35627</v>
      </c>
      <c r="W27" s="7">
        <v>1</v>
      </c>
      <c r="X27" s="19">
        <f>+IF('Datos delta'!G27&gt;0,REASIGN('Datos delta'!G27,'Datos Protegidos'!$K27,PARTIDOS!H$8),0)</f>
        <v>14288</v>
      </c>
      <c r="Y27" s="7">
        <v>0</v>
      </c>
      <c r="Z27" s="19">
        <f>+IF('Datos delta'!I27&gt;0,REASIGN('Datos delta'!I27,'Datos Protegidos'!$K27,PARTIDOS!J$8),0)</f>
        <v>0</v>
      </c>
      <c r="AA27" s="7">
        <v>0</v>
      </c>
      <c r="AB27" s="19">
        <f>+IF('Datos delta'!K27&gt;0,REASIGN('Datos delta'!K27,'Datos Protegidos'!$K27,PARTIDOS!L$8),0)</f>
        <v>0</v>
      </c>
      <c r="AC27" s="7">
        <v>0</v>
      </c>
      <c r="AD27" s="19">
        <f>+IF('Datos delta'!M27&gt;0,REASIGN('Datos delta'!M27,'Datos Protegidos'!$K27,PARTIDOS!N$8),0)</f>
        <v>0</v>
      </c>
      <c r="AE27" s="7">
        <v>0</v>
      </c>
      <c r="AF27" s="19">
        <f>+IF('Datos delta'!O27&gt;0,REASIGN('Datos delta'!O27,'Datos Protegidos'!$K27,PARTIDOS!P$8),0)</f>
        <v>0</v>
      </c>
      <c r="AG27" s="7">
        <v>0</v>
      </c>
      <c r="AH27" s="19">
        <f>+IF('Datos delta'!Q27&gt;0,REASIGN('Datos delta'!Q27,'Datos Protegidos'!$K27,PARTIDOS!R$8),0)</f>
        <v>0</v>
      </c>
      <c r="AI27" s="7">
        <v>0</v>
      </c>
      <c r="AJ27" s="19">
        <f>+IF('Datos delta'!S27&gt;0,REASIGN('Datos delta'!S27,'Datos Protegidos'!$K27,PARTIDOS!T$8),0)</f>
        <v>0</v>
      </c>
      <c r="AK27" s="7">
        <v>0</v>
      </c>
      <c r="AL27" s="19">
        <f>+IF('Datos delta'!U27&gt;0,REASIGN('Datos delta'!U27,'Datos Protegidos'!$K27,PARTIDOS!V$8),0)</f>
        <v>0</v>
      </c>
      <c r="AM27" s="7">
        <v>0</v>
      </c>
      <c r="AN27" s="19">
        <f>+IF('Datos delta'!W27&gt;0,REASIGN('Datos delta'!W27,'Datos Protegidos'!$K27,PARTIDOS!X$8),0)</f>
        <v>0</v>
      </c>
      <c r="AO27" s="7">
        <v>0</v>
      </c>
      <c r="AP27" s="19">
        <f>+IF('Datos delta'!Y27&gt;0,REASIGN('Datos delta'!Y27,'Datos Protegidos'!$K27,PARTIDOS!Z$8),0)</f>
        <v>0</v>
      </c>
      <c r="AQ27" s="7">
        <v>0</v>
      </c>
      <c r="AR27" s="19">
        <f>+IF('Datos delta'!AA27&gt;0,REASIGN('Datos delta'!AA27,'Datos Protegidos'!$K27,PARTIDOS!AB$8),0)</f>
        <v>0</v>
      </c>
      <c r="AS27" s="7">
        <v>0</v>
      </c>
      <c r="AT27" s="19">
        <f>+IF('Datos delta'!AC27&gt;0,REASIGN('Datos delta'!AC27,'Datos Protegidos'!$K27,PARTIDOS!AD$8),0)</f>
        <v>0</v>
      </c>
      <c r="AU27" s="7">
        <v>0</v>
      </c>
      <c r="AV27" s="19">
        <f>+IF('Datos delta'!AE27&gt;0,REASIGN('Datos delta'!AE27,'Datos Protegidos'!$K27,PARTIDOS!AF$8),0)</f>
        <v>0</v>
      </c>
      <c r="AW27" s="7">
        <v>0</v>
      </c>
      <c r="AX27" s="19">
        <f>+IF('Datos delta'!AG27&gt;0,REASIGN('Datos delta'!AG27,'Datos Protegidos'!$K27,PARTIDOS!AH$8),0)</f>
        <v>0</v>
      </c>
      <c r="AY27" s="7">
        <v>0</v>
      </c>
      <c r="AZ27" s="19">
        <f>+IF('Datos delta'!AI27&gt;0,REASIGN('Datos delta'!AI27,'Datos Protegidos'!$K27,PARTIDOS!AJ$8),0)</f>
        <v>0</v>
      </c>
      <c r="BA27" s="7">
        <v>0</v>
      </c>
      <c r="BB27" s="19">
        <f>+IF('Datos delta'!AK27&gt;0,REASIGN('Datos delta'!AK27,'Datos Protegidos'!$K27,PARTIDOS!AL$8),0)</f>
        <v>0</v>
      </c>
      <c r="BC27" s="7">
        <v>0</v>
      </c>
      <c r="BD27" s="19">
        <f>+IF('Datos delta'!AM27&gt;0,REASIGN('Datos delta'!AM27,'Datos Protegidos'!$K27,PARTIDOS!AN$8),0)</f>
        <v>959</v>
      </c>
      <c r="BE27" s="7">
        <v>0</v>
      </c>
      <c r="BF27" s="19">
        <f>+IF('Datos delta'!AO27&gt;0,REASIGN('Datos delta'!AO27,'Datos Protegidos'!$K27,PARTIDOS!AP$8),0)</f>
        <v>0</v>
      </c>
      <c r="BG27" s="7">
        <v>0</v>
      </c>
      <c r="BH27" s="19">
        <f>+IF('Datos delta'!AQ27&gt;0,REASIGN('Datos delta'!AQ27,'Datos Protegidos'!$K27,PARTIDOS!AR$8),0)</f>
        <v>304</v>
      </c>
      <c r="BI27" s="7">
        <v>0</v>
      </c>
      <c r="BJ27" s="19">
        <f>+IF('Datos delta'!AS27&gt;0,REASIGN('Datos delta'!AS27,'Datos Protegidos'!$K27,PARTIDOS!AT$8),0)</f>
        <v>264</v>
      </c>
      <c r="BK27" s="7">
        <v>0</v>
      </c>
      <c r="BL27" s="19">
        <f>+IF('Datos delta'!AU27&gt;0,REASIGN('Datos delta'!AU27,'Datos Protegidos'!$K27,PARTIDOS!AV$8),0)</f>
        <v>0</v>
      </c>
      <c r="BM27" s="7">
        <v>0</v>
      </c>
      <c r="BN27" s="19">
        <f>+IF('Datos delta'!AW27&gt;0,REASIGN('Datos delta'!AW27,'Datos Protegidos'!$K27,PARTIDOS!AX$8),0)</f>
        <v>0</v>
      </c>
      <c r="BO27" s="7">
        <v>0</v>
      </c>
      <c r="BP27" s="19">
        <f>+IF('Datos delta'!AY27&gt;0,REASIGN('Datos delta'!AY27,'Datos Protegidos'!$K27,PARTIDOS!AZ$8),0)</f>
        <v>0</v>
      </c>
      <c r="BQ27" s="7">
        <v>0</v>
      </c>
      <c r="BR27" s="19">
        <f>+IF('Datos delta'!BA27&gt;0,REASIGN('Datos delta'!BA27,'Datos Protegidos'!$K27,PARTIDOS!BB$8),0)</f>
        <v>0</v>
      </c>
      <c r="BS27" s="7">
        <v>0</v>
      </c>
      <c r="BT27" s="19">
        <f>+IF('Datos delta'!BC27&gt;0,REASIGN('Datos delta'!BC27,'Datos Protegidos'!$K27,PARTIDOS!BD$8),0)</f>
        <v>205</v>
      </c>
      <c r="BU27" s="7">
        <v>0</v>
      </c>
      <c r="BV27" s="19">
        <f>+IF('Datos delta'!BE27&gt;0,REASIGN('Datos delta'!BE27,'Datos Protegidos'!$K27,PARTIDOS!BF$8),0)</f>
        <v>0</v>
      </c>
      <c r="BW27" s="7">
        <v>0</v>
      </c>
      <c r="BX27" s="19">
        <f>+IF('Datos delta'!BG27&gt;0,REASIGN('Datos delta'!BG27,'Datos Protegidos'!$K27,PARTIDOS!BH$8),0)</f>
        <v>284</v>
      </c>
      <c r="BY27" s="7">
        <v>0</v>
      </c>
      <c r="BZ27" s="19">
        <f>+IF('Datos delta'!BI27&gt;0,REASIGN('Datos delta'!BI27,'Datos Protegidos'!$K27,PARTIDOS!BJ$8),0)</f>
        <v>0</v>
      </c>
      <c r="CA27" s="7">
        <v>0</v>
      </c>
      <c r="CB27" s="19">
        <f>+IF('Datos delta'!BK27&gt;0,REASIGN('Datos delta'!BK27,'Datos Protegidos'!$K27,PARTIDOS!BL$8),0)</f>
        <v>0</v>
      </c>
      <c r="CC27" s="7">
        <v>0</v>
      </c>
      <c r="CD27" s="19">
        <f>+IF('Datos delta'!BM27&gt;0,REASIGN('Datos delta'!BM27,'Datos Protegidos'!$K27,PARTIDOS!BN$8),0)</f>
        <v>0</v>
      </c>
      <c r="CE27" s="7">
        <v>0</v>
      </c>
      <c r="CF27" s="19">
        <f>+IF('Datos delta'!BO27&gt;0,REASIGN('Datos delta'!BO27,'Datos Protegidos'!$K27,PARTIDOS!BP$8),0)</f>
        <v>0</v>
      </c>
      <c r="CG27" s="7">
        <v>0</v>
      </c>
      <c r="CH27" s="19">
        <f>+IF('Datos delta'!BQ27&gt;0,REASIGN('Datos delta'!BQ27,'Datos Protegidos'!$K27,PARTIDOS!BR$8),0)</f>
        <v>0</v>
      </c>
      <c r="CI27" s="7">
        <v>0</v>
      </c>
      <c r="CJ27" s="19">
        <f>+IF('Datos delta'!BS27&gt;0,REASIGN('Datos delta'!BS27,'Datos Protegidos'!$K27,PARTIDOS!BT$8),0)</f>
        <v>0</v>
      </c>
      <c r="CK27" s="7">
        <v>0</v>
      </c>
      <c r="CL27" s="19">
        <f>+IF('Datos delta'!BU27&gt;0,REASIGN('Datos delta'!BU27,'Datos Protegidos'!$K27,PARTIDOS!BV$8),0)</f>
        <v>0</v>
      </c>
      <c r="CM27" s="7">
        <v>0</v>
      </c>
      <c r="CN27" s="19">
        <f>+IF('Datos delta'!BW27&gt;0,REASIGN('Datos delta'!BW27,'Datos Protegidos'!$K27,PARTIDOS!BX$8),0)</f>
        <v>0</v>
      </c>
      <c r="CO27" s="7">
        <v>0</v>
      </c>
      <c r="CP27" s="19">
        <f>+IF('Datos delta'!BY27&gt;0,REASIGN('Datos delta'!BY27,'Datos Protegidos'!$K27,PARTIDOS!BZ$8),0)</f>
        <v>0</v>
      </c>
      <c r="CQ27" s="7">
        <v>0</v>
      </c>
      <c r="CR27" s="19">
        <f>+IF('Datos delta'!CA27&gt;0,REASIGN('Datos delta'!CA27,'Datos Protegidos'!$K27,PARTIDOS!CB$8),0)</f>
        <v>0</v>
      </c>
      <c r="CS27" s="7">
        <v>0</v>
      </c>
      <c r="CT27" s="19">
        <f>+IF('Datos delta'!CC27&gt;0,REASIGN('Datos delta'!CC27,'Datos Protegidos'!$K27,PARTIDOS!CD$8),0)</f>
        <v>0</v>
      </c>
      <c r="CU27" s="7">
        <v>0</v>
      </c>
      <c r="CV27" s="19">
        <f>+IF('Datos delta'!CE27&gt;0,REASIGN('Datos delta'!CE27,'Datos Protegidos'!$K27,PARTIDOS!CF$8),0)</f>
        <v>0</v>
      </c>
      <c r="CW27" s="7">
        <v>0</v>
      </c>
      <c r="CX27" s="19">
        <f>+IF('Datos delta'!CG27&gt;0,REASIGN('Datos delta'!CG27,'Datos Protegidos'!$K27,PARTIDOS!CH$8),0)</f>
        <v>0</v>
      </c>
      <c r="CY27" s="7">
        <v>0</v>
      </c>
      <c r="CZ27" s="19">
        <f>+IF('Datos delta'!CI27&gt;0,REASIGN('Datos delta'!CI27,'Datos Protegidos'!$K27,PARTIDOS!CJ$8),0)</f>
        <v>229</v>
      </c>
      <c r="DA27" s="7">
        <v>0</v>
      </c>
      <c r="DB27" s="19">
        <f>+IF('Datos delta'!CK27&gt;0,REASIGN('Datos delta'!CK27,'Datos Protegidos'!$K27,PARTIDOS!CL$8),0)</f>
        <v>0</v>
      </c>
      <c r="DC27" s="7">
        <v>0</v>
      </c>
      <c r="DD27" s="19">
        <f>+IF('Datos delta'!CM27&gt;0,REASIGN('Datos delta'!CM27,'Datos Protegidos'!$K27,PARTIDOS!CN$8),0)</f>
        <v>0</v>
      </c>
      <c r="DE27" s="7">
        <v>0</v>
      </c>
      <c r="DF27" s="19">
        <f>+IF('Datos delta'!CO27&gt;0,REASIGN('Datos delta'!CO27,'Datos Protegidos'!$K27,PARTIDOS!CP$8),0)</f>
        <v>0</v>
      </c>
      <c r="DG27" s="7">
        <v>0</v>
      </c>
      <c r="DH27" s="19">
        <f>+IF('Datos delta'!CQ27&gt;0,REASIGN('Datos delta'!CQ27,'Datos Protegidos'!$K27,PARTIDOS!CR$8),0)</f>
        <v>0</v>
      </c>
      <c r="DI27" s="7">
        <v>0</v>
      </c>
      <c r="DJ27" s="19">
        <f>+IF('Datos delta'!CS27&gt;0,REASIGN('Datos delta'!CS27,'Datos Protegidos'!$K27,PARTIDOS!CT$8),0)</f>
        <v>0</v>
      </c>
      <c r="DK27" s="7">
        <v>0</v>
      </c>
      <c r="DL27" s="19">
        <f>+IF('Datos delta'!CU27&gt;0,REASIGN('Datos delta'!CU27,'Datos Protegidos'!$K27,PARTIDOS!CV$8),0)</f>
        <v>0</v>
      </c>
      <c r="DM27" s="7">
        <v>0</v>
      </c>
      <c r="DN27" s="19">
        <f>+IF('Datos delta'!CW27&gt;0,REASIGN('Datos delta'!CW27,'Datos Protegidos'!$K27,PARTIDOS!CX$8),0)</f>
        <v>0</v>
      </c>
      <c r="DO27" s="7">
        <v>0</v>
      </c>
      <c r="DP27" s="19">
        <f>+IF('Datos delta'!CY27&gt;0,REASIGN('Datos delta'!CY27,'Datos Protegidos'!$K27,PARTIDOS!CZ$8),0)</f>
        <v>320</v>
      </c>
      <c r="DQ27" s="7">
        <v>0</v>
      </c>
      <c r="DR27" s="19">
        <f>+IF('Datos delta'!DA27&gt;0,REASIGN('Datos delta'!DA27,'Datos Protegidos'!$K27,PARTIDOS!DB$8),0)</f>
        <v>0</v>
      </c>
      <c r="DS27" s="7">
        <v>0</v>
      </c>
      <c r="DT27" s="19">
        <f>+IF('Datos delta'!DC27&gt;0,REASIGN('Datos delta'!DC27,'Datos Protegidos'!$K27,PARTIDOS!DD$8),0)</f>
        <v>0</v>
      </c>
      <c r="DU27" s="7">
        <v>0</v>
      </c>
      <c r="DV27" s="19">
        <f>+IF('Datos delta'!DE27&gt;0,REASIGN('Datos delta'!DE27,'Datos Protegidos'!$K27,PARTIDOS!DF$8),0)</f>
        <v>0</v>
      </c>
      <c r="DW27" s="7">
        <v>0</v>
      </c>
      <c r="DX27" s="19">
        <f>+IF('Datos delta'!DG27&gt;0,REASIGN('Datos delta'!DG27,'Datos Protegidos'!$K27,PARTIDOS!DH$8),0)</f>
        <v>0</v>
      </c>
      <c r="DY27" s="7">
        <v>0</v>
      </c>
      <c r="DZ27" s="19">
        <f>+IF('Datos delta'!DI27&gt;0,REASIGN('Datos delta'!DI27,'Datos Protegidos'!$K27,PARTIDOS!DJ$8),0)</f>
        <v>0</v>
      </c>
      <c r="EA27" s="7">
        <v>0</v>
      </c>
      <c r="EB27" s="19">
        <f>+IF('Datos delta'!DK27&gt;0,REASIGN('Datos delta'!DK27,'Datos Protegidos'!$K27,PARTIDOS!DL$8),0)</f>
        <v>0</v>
      </c>
      <c r="EC27" s="7">
        <v>0</v>
      </c>
      <c r="ED27" s="19">
        <f>+IF('Datos delta'!DM27&gt;0,REASIGN('Datos delta'!DM27,'Datos Protegidos'!$K27,PARTIDOS!DN$8),0)</f>
        <v>0</v>
      </c>
      <c r="EE27" s="7">
        <v>0</v>
      </c>
      <c r="EF27" s="19">
        <f>+IF('Datos delta'!DO27&gt;0,REASIGN('Datos delta'!DO27,'Datos Protegidos'!$K27,PARTIDOS!DP$8),0)</f>
        <v>0</v>
      </c>
      <c r="EG27" s="7">
        <v>0</v>
      </c>
      <c r="EH27" s="19">
        <f>+IF('Datos delta'!DQ27&gt;0,REASIGN('Datos delta'!DQ27,'Datos Protegidos'!$K27,PARTIDOS!DR$8),0)</f>
        <v>0</v>
      </c>
      <c r="EI27" s="7">
        <v>0</v>
      </c>
      <c r="EJ27" s="19">
        <f>+IF('Datos delta'!DS27&gt;0,REASIGN('Datos delta'!DS27,'Datos Protegidos'!$K27,PARTIDOS!DT$8),0)</f>
        <v>0</v>
      </c>
      <c r="EK27" s="7">
        <v>0</v>
      </c>
      <c r="EL27" s="19">
        <f>+IF('Datos delta'!DU27&gt;0,REASIGN('Datos delta'!DU27,'Datos Protegidos'!$K27,PARTIDOS!DV$8),0)</f>
        <v>0</v>
      </c>
      <c r="EM27" s="7">
        <v>0</v>
      </c>
      <c r="EN27" s="19">
        <f>+IF('Datos delta'!DW27&gt;0,REASIGN('Datos delta'!DW27,'Datos Protegidos'!$K27,PARTIDOS!DX$8),0)</f>
        <v>0</v>
      </c>
      <c r="EO27" s="7">
        <v>0</v>
      </c>
      <c r="EP27" s="19">
        <f>+IF('Datos delta'!DY27&gt;0,REASIGN('Datos delta'!DY27,'Datos Protegidos'!$K27,PARTIDOS!DZ$8),0)</f>
        <v>0</v>
      </c>
      <c r="EQ27" s="7">
        <v>0</v>
      </c>
      <c r="ER27" s="19">
        <f>+IF('Datos delta'!EA27&gt;0,REASIGN('Datos delta'!EA27,'Datos Protegidos'!$K27,PARTIDOS!EB$8),0)</f>
        <v>0</v>
      </c>
      <c r="ES27" s="7">
        <v>0</v>
      </c>
      <c r="ET27" s="19">
        <f>+IF('Datos delta'!EC27&gt;0,REASIGN('Datos delta'!EC27,'Datos Protegidos'!$K27,PARTIDOS!ED$8),0)</f>
        <v>0</v>
      </c>
      <c r="EU27" s="7">
        <v>0</v>
      </c>
    </row>
    <row r="28" spans="1:151" x14ac:dyDescent="0.25">
      <c r="A28" s="7" t="s">
        <v>43</v>
      </c>
      <c r="B28" s="8">
        <v>40</v>
      </c>
      <c r="C28" s="7" t="s">
        <v>49</v>
      </c>
      <c r="D28" s="9">
        <v>153342</v>
      </c>
      <c r="E28">
        <v>319</v>
      </c>
      <c r="F28" s="1">
        <v>116131</v>
      </c>
      <c r="G28" s="1">
        <v>3361</v>
      </c>
      <c r="H28" s="1">
        <v>119492</v>
      </c>
      <c r="I28"/>
      <c r="J28" s="1"/>
      <c r="K28"/>
      <c r="L28" s="3">
        <f t="shared" si="1"/>
        <v>88276</v>
      </c>
      <c r="M28" s="3">
        <f t="shared" si="2"/>
        <v>86864</v>
      </c>
      <c r="N28" s="6">
        <f t="shared" si="0"/>
        <v>85859</v>
      </c>
      <c r="O28" s="1">
        <v>1005</v>
      </c>
      <c r="P28" s="1">
        <v>1412</v>
      </c>
      <c r="Q28" s="6">
        <f t="shared" si="3"/>
        <v>3</v>
      </c>
      <c r="R28" s="19">
        <f>+IF('Datos delta'!A28&gt;0,REASIGN('Datos delta'!A28,'Datos Protegidos'!$K28,PARTIDOS!B$8),0)</f>
        <v>27180</v>
      </c>
      <c r="S28" s="7">
        <v>1</v>
      </c>
      <c r="T28" s="19">
        <f>+IF('Datos delta'!C28&gt;0,REASIGN('Datos delta'!C28,'Datos Protegidos'!$K28,PARTIDOS!D$8),0)</f>
        <v>34106</v>
      </c>
      <c r="U28" s="7">
        <v>1</v>
      </c>
      <c r="V28" s="19">
        <f>+IF('Datos delta'!E28&gt;0,REASIGN('Datos delta'!E28,'Datos Protegidos'!$K28,PARTIDOS!F$8),0)</f>
        <v>14860</v>
      </c>
      <c r="W28" s="7">
        <v>1</v>
      </c>
      <c r="X28" s="19">
        <f>+IF('Datos delta'!G28&gt;0,REASIGN('Datos delta'!G28,'Datos Protegidos'!$K28,PARTIDOS!H$8),0)</f>
        <v>8296</v>
      </c>
      <c r="Y28" s="7">
        <v>0</v>
      </c>
      <c r="Z28" s="19">
        <f>+IF('Datos delta'!I28&gt;0,REASIGN('Datos delta'!I28,'Datos Protegidos'!$K28,PARTIDOS!J$8),0)</f>
        <v>0</v>
      </c>
      <c r="AA28" s="7">
        <v>0</v>
      </c>
      <c r="AB28" s="19">
        <f>+IF('Datos delta'!K28&gt;0,REASIGN('Datos delta'!K28,'Datos Protegidos'!$K28,PARTIDOS!L$8),0)</f>
        <v>0</v>
      </c>
      <c r="AC28" s="7">
        <v>0</v>
      </c>
      <c r="AD28" s="19">
        <f>+IF('Datos delta'!M28&gt;0,REASIGN('Datos delta'!M28,'Datos Protegidos'!$K28,PARTIDOS!N$8),0)</f>
        <v>0</v>
      </c>
      <c r="AE28" s="7">
        <v>0</v>
      </c>
      <c r="AF28" s="19">
        <f>+IF('Datos delta'!O28&gt;0,REASIGN('Datos delta'!O28,'Datos Protegidos'!$K28,PARTIDOS!P$8),0)</f>
        <v>0</v>
      </c>
      <c r="AG28" s="7">
        <v>0</v>
      </c>
      <c r="AH28" s="19">
        <f>+IF('Datos delta'!Q28&gt;0,REASIGN('Datos delta'!Q28,'Datos Protegidos'!$K28,PARTIDOS!R$8),0)</f>
        <v>0</v>
      </c>
      <c r="AI28" s="7">
        <v>0</v>
      </c>
      <c r="AJ28" s="19">
        <f>+IF('Datos delta'!S28&gt;0,REASIGN('Datos delta'!S28,'Datos Protegidos'!$K28,PARTIDOS!T$8),0)</f>
        <v>0</v>
      </c>
      <c r="AK28" s="7">
        <v>0</v>
      </c>
      <c r="AL28" s="19">
        <f>+IF('Datos delta'!U28&gt;0,REASIGN('Datos delta'!U28,'Datos Protegidos'!$K28,PARTIDOS!V$8),0)</f>
        <v>0</v>
      </c>
      <c r="AM28" s="7">
        <v>0</v>
      </c>
      <c r="AN28" s="19">
        <f>+IF('Datos delta'!W28&gt;0,REASIGN('Datos delta'!W28,'Datos Protegidos'!$K28,PARTIDOS!X$8),0)</f>
        <v>0</v>
      </c>
      <c r="AO28" s="7">
        <v>0</v>
      </c>
      <c r="AP28" s="19">
        <f>+IF('Datos delta'!Y28&gt;0,REASIGN('Datos delta'!Y28,'Datos Protegidos'!$K28,PARTIDOS!Z$8),0)</f>
        <v>0</v>
      </c>
      <c r="AQ28" s="7">
        <v>0</v>
      </c>
      <c r="AR28" s="19">
        <f>+IF('Datos delta'!AA28&gt;0,REASIGN('Datos delta'!AA28,'Datos Protegidos'!$K28,PARTIDOS!AB$8),0)</f>
        <v>0</v>
      </c>
      <c r="AS28" s="7">
        <v>0</v>
      </c>
      <c r="AT28" s="19">
        <f>+IF('Datos delta'!AC28&gt;0,REASIGN('Datos delta'!AC28,'Datos Protegidos'!$K28,PARTIDOS!AD$8),0)</f>
        <v>0</v>
      </c>
      <c r="AU28" s="7">
        <v>0</v>
      </c>
      <c r="AV28" s="19">
        <f>+IF('Datos delta'!AE28&gt;0,REASIGN('Datos delta'!AE28,'Datos Protegidos'!$K28,PARTIDOS!AF$8),0)</f>
        <v>0</v>
      </c>
      <c r="AW28" s="7">
        <v>0</v>
      </c>
      <c r="AX28" s="19">
        <f>+IF('Datos delta'!AG28&gt;0,REASIGN('Datos delta'!AG28,'Datos Protegidos'!$K28,PARTIDOS!AH$8),0)</f>
        <v>0</v>
      </c>
      <c r="AY28" s="7">
        <v>0</v>
      </c>
      <c r="AZ28" s="19">
        <f>+IF('Datos delta'!AI28&gt;0,REASIGN('Datos delta'!AI28,'Datos Protegidos'!$K28,PARTIDOS!AJ$8),0)</f>
        <v>0</v>
      </c>
      <c r="BA28" s="7">
        <v>0</v>
      </c>
      <c r="BB28" s="19">
        <f>+IF('Datos delta'!AK28&gt;0,REASIGN('Datos delta'!AK28,'Datos Protegidos'!$K28,PARTIDOS!AL$8),0)</f>
        <v>0</v>
      </c>
      <c r="BC28" s="7">
        <v>0</v>
      </c>
      <c r="BD28" s="19">
        <f>+IF('Datos delta'!AM28&gt;0,REASIGN('Datos delta'!AM28,'Datos Protegidos'!$K28,PARTIDOS!AN$8),0)</f>
        <v>459</v>
      </c>
      <c r="BE28" s="7">
        <v>0</v>
      </c>
      <c r="BF28" s="19">
        <f>+IF('Datos delta'!AO28&gt;0,REASIGN('Datos delta'!AO28,'Datos Protegidos'!$K28,PARTIDOS!AP$8),0)</f>
        <v>0</v>
      </c>
      <c r="BG28" s="7">
        <v>0</v>
      </c>
      <c r="BH28" s="19">
        <f>+IF('Datos delta'!AQ28&gt;0,REASIGN('Datos delta'!AQ28,'Datos Protegidos'!$K28,PARTIDOS!AR$8),0)</f>
        <v>190</v>
      </c>
      <c r="BI28" s="7">
        <v>0</v>
      </c>
      <c r="BJ28" s="19">
        <f>+IF('Datos delta'!AS28&gt;0,REASIGN('Datos delta'!AS28,'Datos Protegidos'!$K28,PARTIDOS!AT$8),0)</f>
        <v>132</v>
      </c>
      <c r="BK28" s="7">
        <v>0</v>
      </c>
      <c r="BL28" s="19">
        <f>+IF('Datos delta'!AU28&gt;0,REASIGN('Datos delta'!AU28,'Datos Protegidos'!$K28,PARTIDOS!AV$8),0)</f>
        <v>0</v>
      </c>
      <c r="BM28" s="7">
        <v>0</v>
      </c>
      <c r="BN28" s="19">
        <f>+IF('Datos delta'!AW28&gt;0,REASIGN('Datos delta'!AW28,'Datos Protegidos'!$K28,PARTIDOS!AX$8),0)</f>
        <v>0</v>
      </c>
      <c r="BO28" s="7">
        <v>0</v>
      </c>
      <c r="BP28" s="19">
        <f>+IF('Datos delta'!AY28&gt;0,REASIGN('Datos delta'!AY28,'Datos Protegidos'!$K28,PARTIDOS!AZ$8),0)</f>
        <v>0</v>
      </c>
      <c r="BQ28" s="7">
        <v>0</v>
      </c>
      <c r="BR28" s="19">
        <f>+IF('Datos delta'!BA28&gt;0,REASIGN('Datos delta'!BA28,'Datos Protegidos'!$K28,PARTIDOS!BB$8),0)</f>
        <v>0</v>
      </c>
      <c r="BS28" s="7">
        <v>0</v>
      </c>
      <c r="BT28" s="19">
        <f>+IF('Datos delta'!BC28&gt;0,REASIGN('Datos delta'!BC28,'Datos Protegidos'!$K28,PARTIDOS!BD$8),0)</f>
        <v>70</v>
      </c>
      <c r="BU28" s="7">
        <v>0</v>
      </c>
      <c r="BV28" s="19">
        <f>+IF('Datos delta'!BE28&gt;0,REASIGN('Datos delta'!BE28,'Datos Protegidos'!$K28,PARTIDOS!BF$8),0)</f>
        <v>0</v>
      </c>
      <c r="BW28" s="7">
        <v>0</v>
      </c>
      <c r="BX28" s="19">
        <f>+IF('Datos delta'!BG28&gt;0,REASIGN('Datos delta'!BG28,'Datos Protegidos'!$K28,PARTIDOS!BH$8),0)</f>
        <v>0</v>
      </c>
      <c r="BY28" s="7">
        <v>0</v>
      </c>
      <c r="BZ28" s="19">
        <f>+IF('Datos delta'!BI28&gt;0,REASIGN('Datos delta'!BI28,'Datos Protegidos'!$K28,PARTIDOS!BJ$8),0)</f>
        <v>181</v>
      </c>
      <c r="CA28" s="7">
        <v>0</v>
      </c>
      <c r="CB28" s="19">
        <f>+IF('Datos delta'!BK28&gt;0,REASIGN('Datos delta'!BK28,'Datos Protegidos'!$K28,PARTIDOS!BL$8),0)</f>
        <v>0</v>
      </c>
      <c r="CC28" s="7">
        <v>0</v>
      </c>
      <c r="CD28" s="19">
        <f>+IF('Datos delta'!BM28&gt;0,REASIGN('Datos delta'!BM28,'Datos Protegidos'!$K28,PARTIDOS!BN$8),0)</f>
        <v>0</v>
      </c>
      <c r="CE28" s="7">
        <v>0</v>
      </c>
      <c r="CF28" s="19">
        <f>+IF('Datos delta'!BO28&gt;0,REASIGN('Datos delta'!BO28,'Datos Protegidos'!$K28,PARTIDOS!BP$8),0)</f>
        <v>0</v>
      </c>
      <c r="CG28" s="7">
        <v>0</v>
      </c>
      <c r="CH28" s="19">
        <f>+IF('Datos delta'!BQ28&gt;0,REASIGN('Datos delta'!BQ28,'Datos Protegidos'!$K28,PARTIDOS!BR$8),0)</f>
        <v>0</v>
      </c>
      <c r="CI28" s="7">
        <v>0</v>
      </c>
      <c r="CJ28" s="19">
        <f>+IF('Datos delta'!BS28&gt;0,REASIGN('Datos delta'!BS28,'Datos Protegidos'!$K28,PARTIDOS!BT$8),0)</f>
        <v>0</v>
      </c>
      <c r="CK28" s="7">
        <v>0</v>
      </c>
      <c r="CL28" s="19">
        <f>+IF('Datos delta'!BU28&gt;0,REASIGN('Datos delta'!BU28,'Datos Protegidos'!$K28,PARTIDOS!BV$8),0)</f>
        <v>0</v>
      </c>
      <c r="CM28" s="7">
        <v>0</v>
      </c>
      <c r="CN28" s="19">
        <f>+IF('Datos delta'!BW28&gt;0,REASIGN('Datos delta'!BW28,'Datos Protegidos'!$K28,PARTIDOS!BX$8),0)</f>
        <v>0</v>
      </c>
      <c r="CO28" s="7">
        <v>0</v>
      </c>
      <c r="CP28" s="19">
        <f>+IF('Datos delta'!BY28&gt;0,REASIGN('Datos delta'!BY28,'Datos Protegidos'!$K28,PARTIDOS!BZ$8),0)</f>
        <v>0</v>
      </c>
      <c r="CQ28" s="7">
        <v>0</v>
      </c>
      <c r="CR28" s="19">
        <f>+IF('Datos delta'!CA28&gt;0,REASIGN('Datos delta'!CA28,'Datos Protegidos'!$K28,PARTIDOS!CB$8),0)</f>
        <v>0</v>
      </c>
      <c r="CS28" s="7">
        <v>0</v>
      </c>
      <c r="CT28" s="19">
        <f>+IF('Datos delta'!CC28&gt;0,REASIGN('Datos delta'!CC28,'Datos Protegidos'!$K28,PARTIDOS!CD$8),0)</f>
        <v>0</v>
      </c>
      <c r="CU28" s="7">
        <v>0</v>
      </c>
      <c r="CV28" s="19">
        <f>+IF('Datos delta'!CE28&gt;0,REASIGN('Datos delta'!CE28,'Datos Protegidos'!$K28,PARTIDOS!CF$8),0)</f>
        <v>0</v>
      </c>
      <c r="CW28" s="7">
        <v>0</v>
      </c>
      <c r="CX28" s="19">
        <f>+IF('Datos delta'!CG28&gt;0,REASIGN('Datos delta'!CG28,'Datos Protegidos'!$K28,PARTIDOS!CH$8),0)</f>
        <v>0</v>
      </c>
      <c r="CY28" s="7">
        <v>0</v>
      </c>
      <c r="CZ28" s="19">
        <f>+IF('Datos delta'!CI28&gt;0,REASIGN('Datos delta'!CI28,'Datos Protegidos'!$K28,PARTIDOS!CJ$8),0)</f>
        <v>0</v>
      </c>
      <c r="DA28" s="7">
        <v>0</v>
      </c>
      <c r="DB28" s="19">
        <f>+IF('Datos delta'!CK28&gt;0,REASIGN('Datos delta'!CK28,'Datos Protegidos'!$K28,PARTIDOS!CL$8),0)</f>
        <v>0</v>
      </c>
      <c r="DC28" s="7">
        <v>0</v>
      </c>
      <c r="DD28" s="19">
        <f>+IF('Datos delta'!CM28&gt;0,REASIGN('Datos delta'!CM28,'Datos Protegidos'!$K28,PARTIDOS!CN$8),0)</f>
        <v>0</v>
      </c>
      <c r="DE28" s="7">
        <v>0</v>
      </c>
      <c r="DF28" s="19">
        <f>+IF('Datos delta'!CO28&gt;0,REASIGN('Datos delta'!CO28,'Datos Protegidos'!$K28,PARTIDOS!CP$8),0)</f>
        <v>0</v>
      </c>
      <c r="DG28" s="7">
        <v>0</v>
      </c>
      <c r="DH28" s="19">
        <f>+IF('Datos delta'!CQ28&gt;0,REASIGN('Datos delta'!CQ28,'Datos Protegidos'!$K28,PARTIDOS!CR$8),0)</f>
        <v>114</v>
      </c>
      <c r="DI28" s="7">
        <v>0</v>
      </c>
      <c r="DJ28" s="19">
        <f>+IF('Datos delta'!CS28&gt;0,REASIGN('Datos delta'!CS28,'Datos Protegidos'!$K28,PARTIDOS!CT$8),0)</f>
        <v>37</v>
      </c>
      <c r="DK28" s="7">
        <v>0</v>
      </c>
      <c r="DL28" s="19">
        <f>+IF('Datos delta'!CU28&gt;0,REASIGN('Datos delta'!CU28,'Datos Protegidos'!$K28,PARTIDOS!CV$8),0)</f>
        <v>0</v>
      </c>
      <c r="DM28" s="7">
        <v>0</v>
      </c>
      <c r="DN28" s="19">
        <f>+IF('Datos delta'!CW28&gt;0,REASIGN('Datos delta'!CW28,'Datos Protegidos'!$K28,PARTIDOS!CX$8),0)</f>
        <v>0</v>
      </c>
      <c r="DO28" s="7">
        <v>0</v>
      </c>
      <c r="DP28" s="19">
        <f>+IF('Datos delta'!CY28&gt;0,REASIGN('Datos delta'!CY28,'Datos Protegidos'!$K28,PARTIDOS!CZ$8),0)</f>
        <v>0</v>
      </c>
      <c r="DQ28" s="7">
        <v>0</v>
      </c>
      <c r="DR28" s="19">
        <f>+IF('Datos delta'!DA28&gt;0,REASIGN('Datos delta'!DA28,'Datos Protegidos'!$K28,PARTIDOS!DB$8),0)</f>
        <v>0</v>
      </c>
      <c r="DS28" s="7">
        <v>0</v>
      </c>
      <c r="DT28" s="19">
        <f>+IF('Datos delta'!DC28&gt;0,REASIGN('Datos delta'!DC28,'Datos Protegidos'!$K28,PARTIDOS!DD$8),0)</f>
        <v>0</v>
      </c>
      <c r="DU28" s="7">
        <v>0</v>
      </c>
      <c r="DV28" s="19">
        <f>+IF('Datos delta'!DE28&gt;0,REASIGN('Datos delta'!DE28,'Datos Protegidos'!$K28,PARTIDOS!DF$8),0)</f>
        <v>0</v>
      </c>
      <c r="DW28" s="7">
        <v>0</v>
      </c>
      <c r="DX28" s="19">
        <f>+IF('Datos delta'!DG28&gt;0,REASIGN('Datos delta'!DG28,'Datos Protegidos'!$K28,PARTIDOS!DH$8),0)</f>
        <v>0</v>
      </c>
      <c r="DY28" s="7">
        <v>0</v>
      </c>
      <c r="DZ28" s="19">
        <f>+IF('Datos delta'!DI28&gt;0,REASIGN('Datos delta'!DI28,'Datos Protegidos'!$K28,PARTIDOS!DJ$8),0)</f>
        <v>0</v>
      </c>
      <c r="EA28" s="7">
        <v>0</v>
      </c>
      <c r="EB28" s="19">
        <f>+IF('Datos delta'!DK28&gt;0,REASIGN('Datos delta'!DK28,'Datos Protegidos'!$K28,PARTIDOS!DL$8),0)</f>
        <v>0</v>
      </c>
      <c r="EC28" s="7">
        <v>0</v>
      </c>
      <c r="ED28" s="19">
        <f>+IF('Datos delta'!DM28&gt;0,REASIGN('Datos delta'!DM28,'Datos Protegidos'!$K28,PARTIDOS!DN$8),0)</f>
        <v>0</v>
      </c>
      <c r="EE28" s="7">
        <v>0</v>
      </c>
      <c r="EF28" s="19">
        <f>+IF('Datos delta'!DO28&gt;0,REASIGN('Datos delta'!DO28,'Datos Protegidos'!$K28,PARTIDOS!DP$8),0)</f>
        <v>0</v>
      </c>
      <c r="EG28" s="7">
        <v>0</v>
      </c>
      <c r="EH28" s="19">
        <f>+IF('Datos delta'!DQ28&gt;0,REASIGN('Datos delta'!DQ28,'Datos Protegidos'!$K28,PARTIDOS!DR$8),0)</f>
        <v>0</v>
      </c>
      <c r="EI28" s="7">
        <v>0</v>
      </c>
      <c r="EJ28" s="19">
        <f>+IF('Datos delta'!DS28&gt;0,REASIGN('Datos delta'!DS28,'Datos Protegidos'!$K28,PARTIDOS!DT$8),0)</f>
        <v>0</v>
      </c>
      <c r="EK28" s="7">
        <v>0</v>
      </c>
      <c r="EL28" s="19">
        <f>+IF('Datos delta'!DU28&gt;0,REASIGN('Datos delta'!DU28,'Datos Protegidos'!$K28,PARTIDOS!DV$8),0)</f>
        <v>234</v>
      </c>
      <c r="EM28" s="7">
        <v>0</v>
      </c>
      <c r="EN28" s="19">
        <f>+IF('Datos delta'!DW28&gt;0,REASIGN('Datos delta'!DW28,'Datos Protegidos'!$K28,PARTIDOS!DX$8),0)</f>
        <v>0</v>
      </c>
      <c r="EO28" s="7">
        <v>0</v>
      </c>
      <c r="EP28" s="19">
        <f>+IF('Datos delta'!DY28&gt;0,REASIGN('Datos delta'!DY28,'Datos Protegidos'!$K28,PARTIDOS!DZ$8),0)</f>
        <v>0</v>
      </c>
      <c r="EQ28" s="7">
        <v>0</v>
      </c>
      <c r="ER28" s="19">
        <f>+IF('Datos delta'!EA28&gt;0,REASIGN('Datos delta'!EA28,'Datos Protegidos'!$K28,PARTIDOS!EB$8),0)</f>
        <v>0</v>
      </c>
      <c r="ES28" s="7">
        <v>0</v>
      </c>
      <c r="ET28" s="19">
        <f>+IF('Datos delta'!EC28&gt;0,REASIGN('Datos delta'!EC28,'Datos Protegidos'!$K28,PARTIDOS!ED$8),0)</f>
        <v>0</v>
      </c>
      <c r="EU28" s="7">
        <v>0</v>
      </c>
    </row>
    <row r="29" spans="1:151" x14ac:dyDescent="0.25">
      <c r="A29" s="7" t="s">
        <v>43</v>
      </c>
      <c r="B29" s="8">
        <v>42</v>
      </c>
      <c r="C29" s="7" t="s">
        <v>50</v>
      </c>
      <c r="D29" s="9">
        <v>88600</v>
      </c>
      <c r="E29">
        <v>255</v>
      </c>
      <c r="F29" s="1">
        <v>69905</v>
      </c>
      <c r="G29" s="1">
        <v>6922</v>
      </c>
      <c r="H29" s="1">
        <v>76827</v>
      </c>
      <c r="I29"/>
      <c r="J29" s="1"/>
      <c r="K29"/>
      <c r="L29" s="3">
        <f t="shared" si="1"/>
        <v>48379</v>
      </c>
      <c r="M29" s="3">
        <f t="shared" si="2"/>
        <v>47541</v>
      </c>
      <c r="N29" s="6">
        <f t="shared" si="0"/>
        <v>46820</v>
      </c>
      <c r="O29">
        <v>721</v>
      </c>
      <c r="P29">
        <v>838</v>
      </c>
      <c r="Q29" s="6">
        <f t="shared" si="3"/>
        <v>2</v>
      </c>
      <c r="R29" s="19">
        <f>+IF('Datos delta'!A29&gt;0,REASIGN('Datos delta'!A29,'Datos Protegidos'!$K29,PARTIDOS!B$8),0)</f>
        <v>17112</v>
      </c>
      <c r="S29" s="7">
        <v>1</v>
      </c>
      <c r="T29" s="19">
        <f>+IF('Datos delta'!C29&gt;0,REASIGN('Datos delta'!C29,'Datos Protegidos'!$K29,PARTIDOS!D$8),0)</f>
        <v>17687</v>
      </c>
      <c r="U29" s="7">
        <v>1</v>
      </c>
      <c r="V29" s="19">
        <f>+IF('Datos delta'!E29&gt;0,REASIGN('Datos delta'!E29,'Datos Protegidos'!$K29,PARTIDOS!F$8),0)</f>
        <v>6389</v>
      </c>
      <c r="W29" s="7">
        <v>0</v>
      </c>
      <c r="X29" s="19">
        <f>+IF('Datos delta'!G29&gt;0,REASIGN('Datos delta'!G29,'Datos Protegidos'!$K29,PARTIDOS!H$8),0)</f>
        <v>3692</v>
      </c>
      <c r="Y29" s="7">
        <v>0</v>
      </c>
      <c r="Z29" s="19">
        <f>+IF('Datos delta'!I29&gt;0,REASIGN('Datos delta'!I29,'Datos Protegidos'!$K29,PARTIDOS!J$8),0)</f>
        <v>0</v>
      </c>
      <c r="AA29" s="7">
        <v>0</v>
      </c>
      <c r="AB29" s="19">
        <f>+IF('Datos delta'!K29&gt;0,REASIGN('Datos delta'!K29,'Datos Protegidos'!$K29,PARTIDOS!L$8),0)</f>
        <v>0</v>
      </c>
      <c r="AC29" s="7">
        <v>0</v>
      </c>
      <c r="AD29" s="19">
        <f>+IF('Datos delta'!M29&gt;0,REASIGN('Datos delta'!M29,'Datos Protegidos'!$K29,PARTIDOS!N$8),0)</f>
        <v>0</v>
      </c>
      <c r="AE29" s="7">
        <v>0</v>
      </c>
      <c r="AF29" s="19">
        <f>+IF('Datos delta'!O29&gt;0,REASIGN('Datos delta'!O29,'Datos Protegidos'!$K29,PARTIDOS!P$8),0)</f>
        <v>0</v>
      </c>
      <c r="AG29" s="7">
        <v>0</v>
      </c>
      <c r="AH29" s="19">
        <f>+IF('Datos delta'!Q29&gt;0,REASIGN('Datos delta'!Q29,'Datos Protegidos'!$K29,PARTIDOS!R$8),0)</f>
        <v>0</v>
      </c>
      <c r="AI29" s="7">
        <v>0</v>
      </c>
      <c r="AJ29" s="19">
        <f>+IF('Datos delta'!S29&gt;0,REASIGN('Datos delta'!S29,'Datos Protegidos'!$K29,PARTIDOS!T$8),0)</f>
        <v>0</v>
      </c>
      <c r="AK29" s="7">
        <v>0</v>
      </c>
      <c r="AL29" s="19">
        <f>+IF('Datos delta'!U29&gt;0,REASIGN('Datos delta'!U29,'Datos Protegidos'!$K29,PARTIDOS!V$8),0)</f>
        <v>0</v>
      </c>
      <c r="AM29" s="7">
        <v>0</v>
      </c>
      <c r="AN29" s="19">
        <f>+IF('Datos delta'!W29&gt;0,REASIGN('Datos delta'!W29,'Datos Protegidos'!$K29,PARTIDOS!X$8),0)</f>
        <v>0</v>
      </c>
      <c r="AO29" s="7">
        <v>0</v>
      </c>
      <c r="AP29" s="19">
        <f>+IF('Datos delta'!Y29&gt;0,REASIGN('Datos delta'!Y29,'Datos Protegidos'!$K29,PARTIDOS!Z$8),0)</f>
        <v>0</v>
      </c>
      <c r="AQ29" s="7">
        <v>0</v>
      </c>
      <c r="AR29" s="19">
        <f>+IF('Datos delta'!AA29&gt;0,REASIGN('Datos delta'!AA29,'Datos Protegidos'!$K29,PARTIDOS!AB$8),0)</f>
        <v>0</v>
      </c>
      <c r="AS29" s="7">
        <v>0</v>
      </c>
      <c r="AT29" s="19">
        <f>+IF('Datos delta'!AC29&gt;0,REASIGN('Datos delta'!AC29,'Datos Protegidos'!$K29,PARTIDOS!AD$8),0)</f>
        <v>0</v>
      </c>
      <c r="AU29" s="7">
        <v>0</v>
      </c>
      <c r="AV29" s="19">
        <f>+IF('Datos delta'!AE29&gt;0,REASIGN('Datos delta'!AE29,'Datos Protegidos'!$K29,PARTIDOS!AF$8),0)</f>
        <v>0</v>
      </c>
      <c r="AW29" s="7">
        <v>0</v>
      </c>
      <c r="AX29" s="19">
        <f>+IF('Datos delta'!AG29&gt;0,REASIGN('Datos delta'!AG29,'Datos Protegidos'!$K29,PARTIDOS!AH$8),0)</f>
        <v>0</v>
      </c>
      <c r="AY29" s="7">
        <v>0</v>
      </c>
      <c r="AZ29" s="19">
        <f>+IF('Datos delta'!AI29&gt;0,REASIGN('Datos delta'!AI29,'Datos Protegidos'!$K29,PARTIDOS!AJ$8),0)</f>
        <v>0</v>
      </c>
      <c r="BA29" s="7">
        <v>0</v>
      </c>
      <c r="BB29" s="19">
        <f>+IF('Datos delta'!AK29&gt;0,REASIGN('Datos delta'!AK29,'Datos Protegidos'!$K29,PARTIDOS!AL$8),0)</f>
        <v>0</v>
      </c>
      <c r="BC29" s="7">
        <v>0</v>
      </c>
      <c r="BD29" s="19">
        <f>+IF('Datos delta'!AM29&gt;0,REASIGN('Datos delta'!AM29,'Datos Protegidos'!$K29,PARTIDOS!AN$8),0)</f>
        <v>203</v>
      </c>
      <c r="BE29" s="7">
        <v>0</v>
      </c>
      <c r="BF29" s="19">
        <f>+IF('Datos delta'!AO29&gt;0,REASIGN('Datos delta'!AO29,'Datos Protegidos'!$K29,PARTIDOS!AP$8),0)</f>
        <v>0</v>
      </c>
      <c r="BG29" s="7">
        <v>0</v>
      </c>
      <c r="BH29" s="19">
        <f>+IF('Datos delta'!AQ29&gt;0,REASIGN('Datos delta'!AQ29,'Datos Protegidos'!$K29,PARTIDOS!AR$8),0)</f>
        <v>94</v>
      </c>
      <c r="BI29" s="7">
        <v>0</v>
      </c>
      <c r="BJ29" s="19">
        <f>+IF('Datos delta'!AS29&gt;0,REASIGN('Datos delta'!AS29,'Datos Protegidos'!$K29,PARTIDOS!AT$8),0)</f>
        <v>94</v>
      </c>
      <c r="BK29" s="7">
        <v>0</v>
      </c>
      <c r="BL29" s="19">
        <f>+IF('Datos delta'!AU29&gt;0,REASIGN('Datos delta'!AU29,'Datos Protegidos'!$K29,PARTIDOS!AV$8),0)</f>
        <v>0</v>
      </c>
      <c r="BM29" s="7">
        <v>0</v>
      </c>
      <c r="BN29" s="19">
        <f>+IF('Datos delta'!AW29&gt;0,REASIGN('Datos delta'!AW29,'Datos Protegidos'!$K29,PARTIDOS!AX$8),0)</f>
        <v>0</v>
      </c>
      <c r="BO29" s="7">
        <v>0</v>
      </c>
      <c r="BP29" s="19">
        <f>+IF('Datos delta'!AY29&gt;0,REASIGN('Datos delta'!AY29,'Datos Protegidos'!$K29,PARTIDOS!AZ$8),0)</f>
        <v>0</v>
      </c>
      <c r="BQ29" s="7">
        <v>0</v>
      </c>
      <c r="BR29" s="19">
        <f>+IF('Datos delta'!BA29&gt;0,REASIGN('Datos delta'!BA29,'Datos Protegidos'!$K29,PARTIDOS!BB$8),0)</f>
        <v>0</v>
      </c>
      <c r="BS29" s="7">
        <v>0</v>
      </c>
      <c r="BT29" s="19">
        <f>+IF('Datos delta'!BC29&gt;0,REASIGN('Datos delta'!BC29,'Datos Protegidos'!$K29,PARTIDOS!BD$8),0)</f>
        <v>91</v>
      </c>
      <c r="BU29" s="7">
        <v>0</v>
      </c>
      <c r="BV29" s="19">
        <f>+IF('Datos delta'!BE29&gt;0,REASIGN('Datos delta'!BE29,'Datos Protegidos'!$K29,PARTIDOS!BF$8),0)</f>
        <v>0</v>
      </c>
      <c r="BW29" s="7">
        <v>0</v>
      </c>
      <c r="BX29" s="19">
        <f>+IF('Datos delta'!BG29&gt;0,REASIGN('Datos delta'!BG29,'Datos Protegidos'!$K29,PARTIDOS!BH$8),0)</f>
        <v>0</v>
      </c>
      <c r="BY29" s="7">
        <v>0</v>
      </c>
      <c r="BZ29" s="19">
        <f>+IF('Datos delta'!BI29&gt;0,REASIGN('Datos delta'!BI29,'Datos Protegidos'!$K29,PARTIDOS!BJ$8),0)</f>
        <v>0</v>
      </c>
      <c r="CA29" s="7">
        <v>0</v>
      </c>
      <c r="CB29" s="19">
        <f>+IF('Datos delta'!BK29&gt;0,REASIGN('Datos delta'!BK29,'Datos Protegidos'!$K29,PARTIDOS!BL$8),0)</f>
        <v>0</v>
      </c>
      <c r="CC29" s="7">
        <v>0</v>
      </c>
      <c r="CD29" s="19">
        <f>+IF('Datos delta'!BM29&gt;0,REASIGN('Datos delta'!BM29,'Datos Protegidos'!$K29,PARTIDOS!BN$8),0)</f>
        <v>0</v>
      </c>
      <c r="CE29" s="7">
        <v>0</v>
      </c>
      <c r="CF29" s="19">
        <f>+IF('Datos delta'!BO29&gt;0,REASIGN('Datos delta'!BO29,'Datos Protegidos'!$K29,PARTIDOS!BP$8),0)</f>
        <v>0</v>
      </c>
      <c r="CG29" s="7">
        <v>0</v>
      </c>
      <c r="CH29" s="19">
        <f>+IF('Datos delta'!BQ29&gt;0,REASIGN('Datos delta'!BQ29,'Datos Protegidos'!$K29,PARTIDOS!BR$8),0)</f>
        <v>0</v>
      </c>
      <c r="CI29" s="7">
        <v>0</v>
      </c>
      <c r="CJ29" s="19">
        <f>+IF('Datos delta'!BS29&gt;0,REASIGN('Datos delta'!BS29,'Datos Protegidos'!$K29,PARTIDOS!BT$8),0)</f>
        <v>0</v>
      </c>
      <c r="CK29" s="7">
        <v>0</v>
      </c>
      <c r="CL29" s="19">
        <f>+IF('Datos delta'!BU29&gt;0,REASIGN('Datos delta'!BU29,'Datos Protegidos'!$K29,PARTIDOS!BV$8),0)</f>
        <v>0</v>
      </c>
      <c r="CM29" s="7">
        <v>0</v>
      </c>
      <c r="CN29" s="19">
        <f>+IF('Datos delta'!BW29&gt;0,REASIGN('Datos delta'!BW29,'Datos Protegidos'!$K29,PARTIDOS!BX$8),0)</f>
        <v>0</v>
      </c>
      <c r="CO29" s="7">
        <v>0</v>
      </c>
      <c r="CP29" s="19">
        <f>+IF('Datos delta'!BY29&gt;0,REASIGN('Datos delta'!BY29,'Datos Protegidos'!$K29,PARTIDOS!BZ$8),0)</f>
        <v>0</v>
      </c>
      <c r="CQ29" s="7">
        <v>0</v>
      </c>
      <c r="CR29" s="19">
        <f>+IF('Datos delta'!CA29&gt;0,REASIGN('Datos delta'!CA29,'Datos Protegidos'!$K29,PARTIDOS!CB$8),0)</f>
        <v>0</v>
      </c>
      <c r="CS29" s="7">
        <v>0</v>
      </c>
      <c r="CT29" s="19">
        <f>+IF('Datos delta'!CC29&gt;0,REASIGN('Datos delta'!CC29,'Datos Protegidos'!$K29,PARTIDOS!CD$8),0)</f>
        <v>0</v>
      </c>
      <c r="CU29" s="7">
        <v>0</v>
      </c>
      <c r="CV29" s="19">
        <f>+IF('Datos delta'!CE29&gt;0,REASIGN('Datos delta'!CE29,'Datos Protegidos'!$K29,PARTIDOS!CF$8),0)</f>
        <v>0</v>
      </c>
      <c r="CW29" s="7">
        <v>0</v>
      </c>
      <c r="CX29" s="19">
        <f>+IF('Datos delta'!CG29&gt;0,REASIGN('Datos delta'!CG29,'Datos Protegidos'!$K29,PARTIDOS!CH$8),0)</f>
        <v>0</v>
      </c>
      <c r="CY29" s="7">
        <v>0</v>
      </c>
      <c r="CZ29" s="19">
        <f>+IF('Datos delta'!CI29&gt;0,REASIGN('Datos delta'!CI29,'Datos Protegidos'!$K29,PARTIDOS!CJ$8),0)</f>
        <v>0</v>
      </c>
      <c r="DA29" s="7">
        <v>0</v>
      </c>
      <c r="DB29" s="19">
        <f>+IF('Datos delta'!CK29&gt;0,REASIGN('Datos delta'!CK29,'Datos Protegidos'!$K29,PARTIDOS!CL$8),0)</f>
        <v>0</v>
      </c>
      <c r="DC29" s="7">
        <v>0</v>
      </c>
      <c r="DD29" s="19">
        <f>+IF('Datos delta'!CM29&gt;0,REASIGN('Datos delta'!CM29,'Datos Protegidos'!$K29,PARTIDOS!CN$8),0)</f>
        <v>1458</v>
      </c>
      <c r="DE29" s="7">
        <v>0</v>
      </c>
      <c r="DF29" s="19">
        <f>+IF('Datos delta'!CO29&gt;0,REASIGN('Datos delta'!CO29,'Datos Protegidos'!$K29,PARTIDOS!CP$8),0)</f>
        <v>0</v>
      </c>
      <c r="DG29" s="7">
        <v>0</v>
      </c>
      <c r="DH29" s="19">
        <f>+IF('Datos delta'!CQ29&gt;0,REASIGN('Datos delta'!CQ29,'Datos Protegidos'!$K29,PARTIDOS!CR$8),0)</f>
        <v>0</v>
      </c>
      <c r="DI29" s="7">
        <v>0</v>
      </c>
      <c r="DJ29" s="19">
        <f>+IF('Datos delta'!CS29&gt;0,REASIGN('Datos delta'!CS29,'Datos Protegidos'!$K29,PARTIDOS!CT$8),0)</f>
        <v>0</v>
      </c>
      <c r="DK29" s="7">
        <v>0</v>
      </c>
      <c r="DL29" s="19">
        <f>+IF('Datos delta'!CU29&gt;0,REASIGN('Datos delta'!CU29,'Datos Protegidos'!$K29,PARTIDOS!CV$8),0)</f>
        <v>0</v>
      </c>
      <c r="DM29" s="7">
        <v>0</v>
      </c>
      <c r="DN29" s="19">
        <f>+IF('Datos delta'!CW29&gt;0,REASIGN('Datos delta'!CW29,'Datos Protegidos'!$K29,PARTIDOS!CX$8),0)</f>
        <v>0</v>
      </c>
      <c r="DO29" s="7">
        <v>0</v>
      </c>
      <c r="DP29" s="19">
        <f>+IF('Datos delta'!CY29&gt;0,REASIGN('Datos delta'!CY29,'Datos Protegidos'!$K29,PARTIDOS!CZ$8),0)</f>
        <v>0</v>
      </c>
      <c r="DQ29" s="7">
        <v>0</v>
      </c>
      <c r="DR29" s="19">
        <f>+IF('Datos delta'!DA29&gt;0,REASIGN('Datos delta'!DA29,'Datos Protegidos'!$K29,PARTIDOS!DB$8),0)</f>
        <v>0</v>
      </c>
      <c r="DS29" s="7">
        <v>0</v>
      </c>
      <c r="DT29" s="19">
        <f>+IF('Datos delta'!DC29&gt;0,REASIGN('Datos delta'!DC29,'Datos Protegidos'!$K29,PARTIDOS!DD$8),0)</f>
        <v>0</v>
      </c>
      <c r="DU29" s="7">
        <v>0</v>
      </c>
      <c r="DV29" s="19">
        <f>+IF('Datos delta'!DE29&gt;0,REASIGN('Datos delta'!DE29,'Datos Protegidos'!$K29,PARTIDOS!DF$8),0)</f>
        <v>0</v>
      </c>
      <c r="DW29" s="7">
        <v>0</v>
      </c>
      <c r="DX29" s="19">
        <f>+IF('Datos delta'!DG29&gt;0,REASIGN('Datos delta'!DG29,'Datos Protegidos'!$K29,PARTIDOS!DH$8),0)</f>
        <v>0</v>
      </c>
      <c r="DY29" s="7">
        <v>0</v>
      </c>
      <c r="DZ29" s="19">
        <f>+IF('Datos delta'!DI29&gt;0,REASIGN('Datos delta'!DI29,'Datos Protegidos'!$K29,PARTIDOS!DJ$8),0)</f>
        <v>0</v>
      </c>
      <c r="EA29" s="7">
        <v>0</v>
      </c>
      <c r="EB29" s="19">
        <f>+IF('Datos delta'!DK29&gt;0,REASIGN('Datos delta'!DK29,'Datos Protegidos'!$K29,PARTIDOS!DL$8),0)</f>
        <v>0</v>
      </c>
      <c r="EC29" s="7">
        <v>0</v>
      </c>
      <c r="ED29" s="19">
        <f>+IF('Datos delta'!DM29&gt;0,REASIGN('Datos delta'!DM29,'Datos Protegidos'!$K29,PARTIDOS!DN$8),0)</f>
        <v>0</v>
      </c>
      <c r="EE29" s="7">
        <v>0</v>
      </c>
      <c r="EF29" s="19">
        <f>+IF('Datos delta'!DO29&gt;0,REASIGN('Datos delta'!DO29,'Datos Protegidos'!$K29,PARTIDOS!DP$8),0)</f>
        <v>0</v>
      </c>
      <c r="EG29" s="7">
        <v>0</v>
      </c>
      <c r="EH29" s="19">
        <f>+IF('Datos delta'!DQ29&gt;0,REASIGN('Datos delta'!DQ29,'Datos Protegidos'!$K29,PARTIDOS!DR$8),0)</f>
        <v>0</v>
      </c>
      <c r="EI29" s="7">
        <v>0</v>
      </c>
      <c r="EJ29" s="19">
        <f>+IF('Datos delta'!DS29&gt;0,REASIGN('Datos delta'!DS29,'Datos Protegidos'!$K29,PARTIDOS!DT$8),0)</f>
        <v>0</v>
      </c>
      <c r="EK29" s="7">
        <v>0</v>
      </c>
      <c r="EL29" s="19">
        <f>+IF('Datos delta'!DU29&gt;0,REASIGN('Datos delta'!DU29,'Datos Protegidos'!$K29,PARTIDOS!DV$8),0)</f>
        <v>0</v>
      </c>
      <c r="EM29" s="7">
        <v>0</v>
      </c>
      <c r="EN29" s="19">
        <f>+IF('Datos delta'!DW29&gt;0,REASIGN('Datos delta'!DW29,'Datos Protegidos'!$K29,PARTIDOS!DX$8),0)</f>
        <v>0</v>
      </c>
      <c r="EO29" s="7">
        <v>0</v>
      </c>
      <c r="EP29" s="19">
        <f>+IF('Datos delta'!DY29&gt;0,REASIGN('Datos delta'!DY29,'Datos Protegidos'!$K29,PARTIDOS!DZ$8),0)</f>
        <v>0</v>
      </c>
      <c r="EQ29" s="7">
        <v>0</v>
      </c>
      <c r="ER29" s="19">
        <f>+IF('Datos delta'!EA29&gt;0,REASIGN('Datos delta'!EA29,'Datos Protegidos'!$K29,PARTIDOS!EB$8),0)</f>
        <v>0</v>
      </c>
      <c r="ES29" s="7">
        <v>0</v>
      </c>
      <c r="ET29" s="19">
        <f>+IF('Datos delta'!EC29&gt;0,REASIGN('Datos delta'!EC29,'Datos Protegidos'!$K29,PARTIDOS!ED$8),0)</f>
        <v>0</v>
      </c>
      <c r="EU29" s="7">
        <v>0</v>
      </c>
    </row>
    <row r="30" spans="1:151" x14ac:dyDescent="0.25">
      <c r="A30" s="7" t="s">
        <v>43</v>
      </c>
      <c r="B30" s="8">
        <v>47</v>
      </c>
      <c r="C30" s="7" t="s">
        <v>51</v>
      </c>
      <c r="D30" s="9">
        <v>519851</v>
      </c>
      <c r="E30">
        <v>769</v>
      </c>
      <c r="F30" s="1">
        <v>418782</v>
      </c>
      <c r="G30" s="1">
        <v>13873</v>
      </c>
      <c r="H30" s="1">
        <v>432655</v>
      </c>
      <c r="I30" s="1"/>
      <c r="J30" s="1"/>
      <c r="K30" s="1"/>
      <c r="L30" s="3">
        <f t="shared" si="1"/>
        <v>321497</v>
      </c>
      <c r="M30" s="3">
        <f t="shared" si="2"/>
        <v>318164</v>
      </c>
      <c r="N30" s="6">
        <f t="shared" si="0"/>
        <v>315017</v>
      </c>
      <c r="O30" s="1">
        <v>3147</v>
      </c>
      <c r="P30" s="1">
        <v>3333</v>
      </c>
      <c r="Q30" s="6">
        <f t="shared" si="3"/>
        <v>5</v>
      </c>
      <c r="R30" s="19">
        <f>+IF('Datos delta'!A30&gt;0,REASIGN('Datos delta'!A30,'Datos Protegidos'!$K30,PARTIDOS!B$8),0)</f>
        <v>101797</v>
      </c>
      <c r="S30" s="7">
        <v>2</v>
      </c>
      <c r="T30" s="19">
        <f>+IF('Datos delta'!C30&gt;0,REASIGN('Datos delta'!C30,'Datos Protegidos'!$K30,PARTIDOS!D$8),0)</f>
        <v>115251</v>
      </c>
      <c r="U30" s="7">
        <v>2</v>
      </c>
      <c r="V30" s="19">
        <f>+IF('Datos delta'!E30&gt;0,REASIGN('Datos delta'!E30,'Datos Protegidos'!$K30,PARTIDOS!F$8),0)</f>
        <v>57480</v>
      </c>
      <c r="W30" s="7">
        <v>1</v>
      </c>
      <c r="X30" s="19">
        <f>+IF('Datos delta'!G30&gt;0,REASIGN('Datos delta'!G30,'Datos Protegidos'!$K30,PARTIDOS!H$8),0)</f>
        <v>36028</v>
      </c>
      <c r="Y30" s="7">
        <v>0</v>
      </c>
      <c r="Z30" s="19">
        <f>+IF('Datos delta'!I30&gt;0,REASIGN('Datos delta'!I30,'Datos Protegidos'!$K30,PARTIDOS!J$8),0)</f>
        <v>0</v>
      </c>
      <c r="AA30" s="7">
        <v>0</v>
      </c>
      <c r="AB30" s="19">
        <f>+IF('Datos delta'!K30&gt;0,REASIGN('Datos delta'!K30,'Datos Protegidos'!$K30,PARTIDOS!L$8),0)</f>
        <v>0</v>
      </c>
      <c r="AC30" s="7">
        <v>0</v>
      </c>
      <c r="AD30" s="19">
        <f>+IF('Datos delta'!M30&gt;0,REASIGN('Datos delta'!M30,'Datos Protegidos'!$K30,PARTIDOS!N$8),0)</f>
        <v>0</v>
      </c>
      <c r="AE30" s="7">
        <v>0</v>
      </c>
      <c r="AF30" s="19">
        <f>+IF('Datos delta'!O30&gt;0,REASIGN('Datos delta'!O30,'Datos Protegidos'!$K30,PARTIDOS!P$8),0)</f>
        <v>0</v>
      </c>
      <c r="AG30" s="7">
        <v>0</v>
      </c>
      <c r="AH30" s="19">
        <f>+IF('Datos delta'!Q30&gt;0,REASIGN('Datos delta'!Q30,'Datos Protegidos'!$K30,PARTIDOS!R$8),0)</f>
        <v>0</v>
      </c>
      <c r="AI30" s="7">
        <v>0</v>
      </c>
      <c r="AJ30" s="19">
        <f>+IF('Datos delta'!S30&gt;0,REASIGN('Datos delta'!S30,'Datos Protegidos'!$K30,PARTIDOS!T$8),0)</f>
        <v>0</v>
      </c>
      <c r="AK30" s="7">
        <v>0</v>
      </c>
      <c r="AL30" s="19">
        <f>+IF('Datos delta'!U30&gt;0,REASIGN('Datos delta'!U30,'Datos Protegidos'!$K30,PARTIDOS!V$8),0)</f>
        <v>0</v>
      </c>
      <c r="AM30" s="7">
        <v>0</v>
      </c>
      <c r="AN30" s="19">
        <f>+IF('Datos delta'!W30&gt;0,REASIGN('Datos delta'!W30,'Datos Protegidos'!$K30,PARTIDOS!X$8),0)</f>
        <v>0</v>
      </c>
      <c r="AO30" s="7">
        <v>0</v>
      </c>
      <c r="AP30" s="19">
        <f>+IF('Datos delta'!Y30&gt;0,REASIGN('Datos delta'!Y30,'Datos Protegidos'!$K30,PARTIDOS!Z$8),0)</f>
        <v>0</v>
      </c>
      <c r="AQ30" s="7">
        <v>0</v>
      </c>
      <c r="AR30" s="19">
        <f>+IF('Datos delta'!AA30&gt;0,REASIGN('Datos delta'!AA30,'Datos Protegidos'!$K30,PARTIDOS!AB$8),0)</f>
        <v>0</v>
      </c>
      <c r="AS30" s="7">
        <v>0</v>
      </c>
      <c r="AT30" s="19">
        <f>+IF('Datos delta'!AC30&gt;0,REASIGN('Datos delta'!AC30,'Datos Protegidos'!$K30,PARTIDOS!AD$8),0)</f>
        <v>0</v>
      </c>
      <c r="AU30" s="7">
        <v>0</v>
      </c>
      <c r="AV30" s="19">
        <f>+IF('Datos delta'!AE30&gt;0,REASIGN('Datos delta'!AE30,'Datos Protegidos'!$K30,PARTIDOS!AF$8),0)</f>
        <v>0</v>
      </c>
      <c r="AW30" s="7">
        <v>0</v>
      </c>
      <c r="AX30" s="19">
        <f>+IF('Datos delta'!AG30&gt;0,REASIGN('Datos delta'!AG30,'Datos Protegidos'!$K30,PARTIDOS!AH$8),0)</f>
        <v>0</v>
      </c>
      <c r="AY30" s="7">
        <v>0</v>
      </c>
      <c r="AZ30" s="19">
        <f>+IF('Datos delta'!AI30&gt;0,REASIGN('Datos delta'!AI30,'Datos Protegidos'!$K30,PARTIDOS!AJ$8),0)</f>
        <v>0</v>
      </c>
      <c r="BA30" s="7">
        <v>0</v>
      </c>
      <c r="BB30" s="19">
        <f>+IF('Datos delta'!AK30&gt;0,REASIGN('Datos delta'!AK30,'Datos Protegidos'!$K30,PARTIDOS!AL$8),0)</f>
        <v>0</v>
      </c>
      <c r="BC30" s="7">
        <v>0</v>
      </c>
      <c r="BD30" s="19">
        <f>+IF('Datos delta'!AM30&gt;0,REASIGN('Datos delta'!AM30,'Datos Protegidos'!$K30,PARTIDOS!AN$8),0)</f>
        <v>2077</v>
      </c>
      <c r="BE30" s="7">
        <v>0</v>
      </c>
      <c r="BF30" s="19">
        <f>+IF('Datos delta'!AO30&gt;0,REASIGN('Datos delta'!AO30,'Datos Protegidos'!$K30,PARTIDOS!AP$8),0)</f>
        <v>0</v>
      </c>
      <c r="BG30" s="7">
        <v>0</v>
      </c>
      <c r="BH30" s="19">
        <f>+IF('Datos delta'!AQ30&gt;0,REASIGN('Datos delta'!AQ30,'Datos Protegidos'!$K30,PARTIDOS!AR$8),0)</f>
        <v>591</v>
      </c>
      <c r="BI30" s="7">
        <v>0</v>
      </c>
      <c r="BJ30" s="19">
        <f>+IF('Datos delta'!AS30&gt;0,REASIGN('Datos delta'!AS30,'Datos Protegidos'!$K30,PARTIDOS!AT$8),0)</f>
        <v>583</v>
      </c>
      <c r="BK30" s="7">
        <v>0</v>
      </c>
      <c r="BL30" s="19">
        <f>+IF('Datos delta'!AU30&gt;0,REASIGN('Datos delta'!AU30,'Datos Protegidos'!$K30,PARTIDOS!AV$8),0)</f>
        <v>0</v>
      </c>
      <c r="BM30" s="7">
        <v>0</v>
      </c>
      <c r="BN30" s="19">
        <f>+IF('Datos delta'!AW30&gt;0,REASIGN('Datos delta'!AW30,'Datos Protegidos'!$K30,PARTIDOS!AX$8),0)</f>
        <v>0</v>
      </c>
      <c r="BO30" s="7">
        <v>0</v>
      </c>
      <c r="BP30" s="19">
        <f>+IF('Datos delta'!AY30&gt;0,REASIGN('Datos delta'!AY30,'Datos Protegidos'!$K30,PARTIDOS!AZ$8),0)</f>
        <v>0</v>
      </c>
      <c r="BQ30" s="7">
        <v>0</v>
      </c>
      <c r="BR30" s="19">
        <f>+IF('Datos delta'!BA30&gt;0,REASIGN('Datos delta'!BA30,'Datos Protegidos'!$K30,PARTIDOS!BB$8),0)</f>
        <v>234</v>
      </c>
      <c r="BS30" s="7">
        <v>0</v>
      </c>
      <c r="BT30" s="19">
        <f>+IF('Datos delta'!BC30&gt;0,REASIGN('Datos delta'!BC30,'Datos Protegidos'!$K30,PARTIDOS!BD$8),0)</f>
        <v>295</v>
      </c>
      <c r="BU30" s="7">
        <v>0</v>
      </c>
      <c r="BV30" s="19">
        <f>+IF('Datos delta'!BE30&gt;0,REASIGN('Datos delta'!BE30,'Datos Protegidos'!$K30,PARTIDOS!BF$8),0)</f>
        <v>0</v>
      </c>
      <c r="BW30" s="7">
        <v>0</v>
      </c>
      <c r="BX30" s="19">
        <f>+IF('Datos delta'!BG30&gt;0,REASIGN('Datos delta'!BG30,'Datos Protegidos'!$K30,PARTIDOS!BH$8),0)</f>
        <v>0</v>
      </c>
      <c r="BY30" s="7">
        <v>0</v>
      </c>
      <c r="BZ30" s="19">
        <f>+IF('Datos delta'!BI30&gt;0,REASIGN('Datos delta'!BI30,'Datos Protegidos'!$K30,PARTIDOS!BJ$8),0)</f>
        <v>0</v>
      </c>
      <c r="CA30" s="7">
        <v>0</v>
      </c>
      <c r="CB30" s="19">
        <f>+IF('Datos delta'!BK30&gt;0,REASIGN('Datos delta'!BK30,'Datos Protegidos'!$K30,PARTIDOS!BL$8),0)</f>
        <v>0</v>
      </c>
      <c r="CC30" s="7">
        <v>0</v>
      </c>
      <c r="CD30" s="19">
        <f>+IF('Datos delta'!BM30&gt;0,REASIGN('Datos delta'!BM30,'Datos Protegidos'!$K30,PARTIDOS!BN$8),0)</f>
        <v>0</v>
      </c>
      <c r="CE30" s="7">
        <v>0</v>
      </c>
      <c r="CF30" s="19">
        <f>+IF('Datos delta'!BO30&gt;0,REASIGN('Datos delta'!BO30,'Datos Protegidos'!$K30,PARTIDOS!BP$8),0)</f>
        <v>0</v>
      </c>
      <c r="CG30" s="7">
        <v>0</v>
      </c>
      <c r="CH30" s="19">
        <f>+IF('Datos delta'!BQ30&gt;0,REASIGN('Datos delta'!BQ30,'Datos Protegidos'!$K30,PARTIDOS!BR$8),0)</f>
        <v>0</v>
      </c>
      <c r="CI30" s="7">
        <v>0</v>
      </c>
      <c r="CJ30" s="19">
        <f>+IF('Datos delta'!BS30&gt;0,REASIGN('Datos delta'!BS30,'Datos Protegidos'!$K30,PARTIDOS!BT$8),0)</f>
        <v>0</v>
      </c>
      <c r="CK30" s="7">
        <v>0</v>
      </c>
      <c r="CL30" s="19">
        <f>+IF('Datos delta'!BU30&gt;0,REASIGN('Datos delta'!BU30,'Datos Protegidos'!$K30,PARTIDOS!BV$8),0)</f>
        <v>0</v>
      </c>
      <c r="CM30" s="7">
        <v>0</v>
      </c>
      <c r="CN30" s="19">
        <f>+IF('Datos delta'!BW30&gt;0,REASIGN('Datos delta'!BW30,'Datos Protegidos'!$K30,PARTIDOS!BX$8),0)</f>
        <v>0</v>
      </c>
      <c r="CO30" s="7">
        <v>0</v>
      </c>
      <c r="CP30" s="19">
        <f>+IF('Datos delta'!BY30&gt;0,REASIGN('Datos delta'!BY30,'Datos Protegidos'!$K30,PARTIDOS!BZ$8),0)</f>
        <v>0</v>
      </c>
      <c r="CQ30" s="7">
        <v>0</v>
      </c>
      <c r="CR30" s="19">
        <f>+IF('Datos delta'!CA30&gt;0,REASIGN('Datos delta'!CA30,'Datos Protegidos'!$K30,PARTIDOS!CB$8),0)</f>
        <v>0</v>
      </c>
      <c r="CS30" s="7">
        <v>0</v>
      </c>
      <c r="CT30" s="19">
        <f>+IF('Datos delta'!CC30&gt;0,REASIGN('Datos delta'!CC30,'Datos Protegidos'!$K30,PARTIDOS!CD$8),0)</f>
        <v>0</v>
      </c>
      <c r="CU30" s="7">
        <v>0</v>
      </c>
      <c r="CV30" s="19">
        <f>+IF('Datos delta'!CE30&gt;0,REASIGN('Datos delta'!CE30,'Datos Protegidos'!$K30,PARTIDOS!CF$8),0)</f>
        <v>0</v>
      </c>
      <c r="CW30" s="7">
        <v>0</v>
      </c>
      <c r="CX30" s="19">
        <f>+IF('Datos delta'!CG30&gt;0,REASIGN('Datos delta'!CG30,'Datos Protegidos'!$K30,PARTIDOS!CH$8),0)</f>
        <v>0</v>
      </c>
      <c r="CY30" s="7">
        <v>0</v>
      </c>
      <c r="CZ30" s="19">
        <f>+IF('Datos delta'!CI30&gt;0,REASIGN('Datos delta'!CI30,'Datos Protegidos'!$K30,PARTIDOS!CJ$8),0)</f>
        <v>0</v>
      </c>
      <c r="DA30" s="7">
        <v>0</v>
      </c>
      <c r="DB30" s="19">
        <f>+IF('Datos delta'!CK30&gt;0,REASIGN('Datos delta'!CK30,'Datos Protegidos'!$K30,PARTIDOS!CL$8),0)</f>
        <v>0</v>
      </c>
      <c r="DC30" s="7">
        <v>0</v>
      </c>
      <c r="DD30" s="19">
        <f>+IF('Datos delta'!CM30&gt;0,REASIGN('Datos delta'!CM30,'Datos Protegidos'!$K30,PARTIDOS!CN$8),0)</f>
        <v>0</v>
      </c>
      <c r="DE30" s="7">
        <v>0</v>
      </c>
      <c r="DF30" s="19">
        <f>+IF('Datos delta'!CO30&gt;0,REASIGN('Datos delta'!CO30,'Datos Protegidos'!$K30,PARTIDOS!CP$8),0)</f>
        <v>0</v>
      </c>
      <c r="DG30" s="7">
        <v>0</v>
      </c>
      <c r="DH30" s="19">
        <f>+IF('Datos delta'!CQ30&gt;0,REASIGN('Datos delta'!CQ30,'Datos Protegidos'!$K30,PARTIDOS!CR$8),0)</f>
        <v>0</v>
      </c>
      <c r="DI30" s="7">
        <v>0</v>
      </c>
      <c r="DJ30" s="19">
        <f>+IF('Datos delta'!CS30&gt;0,REASIGN('Datos delta'!CS30,'Datos Protegidos'!$K30,PARTIDOS!CT$8),0)</f>
        <v>0</v>
      </c>
      <c r="DK30" s="7">
        <v>0</v>
      </c>
      <c r="DL30" s="19">
        <f>+IF('Datos delta'!CU30&gt;0,REASIGN('Datos delta'!CU30,'Datos Protegidos'!$K30,PARTIDOS!CV$8),0)</f>
        <v>0</v>
      </c>
      <c r="DM30" s="7">
        <v>0</v>
      </c>
      <c r="DN30" s="19">
        <f>+IF('Datos delta'!CW30&gt;0,REASIGN('Datos delta'!CW30,'Datos Protegidos'!$K30,PARTIDOS!CX$8),0)</f>
        <v>0</v>
      </c>
      <c r="DO30" s="7">
        <v>0</v>
      </c>
      <c r="DP30" s="19">
        <f>+IF('Datos delta'!CY30&gt;0,REASIGN('Datos delta'!CY30,'Datos Protegidos'!$K30,PARTIDOS!CZ$8),0)</f>
        <v>0</v>
      </c>
      <c r="DQ30" s="7">
        <v>0</v>
      </c>
      <c r="DR30" s="19">
        <f>+IF('Datos delta'!DA30&gt;0,REASIGN('Datos delta'!DA30,'Datos Protegidos'!$K30,PARTIDOS!DB$8),0)</f>
        <v>0</v>
      </c>
      <c r="DS30" s="7">
        <v>0</v>
      </c>
      <c r="DT30" s="19">
        <f>+IF('Datos delta'!DC30&gt;0,REASIGN('Datos delta'!DC30,'Datos Protegidos'!$K30,PARTIDOS!DD$8),0)</f>
        <v>0</v>
      </c>
      <c r="DU30" s="7">
        <v>0</v>
      </c>
      <c r="DV30" s="19">
        <f>+IF('Datos delta'!DE30&gt;0,REASIGN('Datos delta'!DE30,'Datos Protegidos'!$K30,PARTIDOS!DF$8),0)</f>
        <v>0</v>
      </c>
      <c r="DW30" s="7">
        <v>0</v>
      </c>
      <c r="DX30" s="19">
        <f>+IF('Datos delta'!DG30&gt;0,REASIGN('Datos delta'!DG30,'Datos Protegidos'!$K30,PARTIDOS!DH$8),0)</f>
        <v>154</v>
      </c>
      <c r="DY30" s="7">
        <v>0</v>
      </c>
      <c r="DZ30" s="19">
        <f>+IF('Datos delta'!DI30&gt;0,REASIGN('Datos delta'!DI30,'Datos Protegidos'!$K30,PARTIDOS!DJ$8),0)</f>
        <v>0</v>
      </c>
      <c r="EA30" s="7">
        <v>0</v>
      </c>
      <c r="EB30" s="19">
        <f>+IF('Datos delta'!DK30&gt;0,REASIGN('Datos delta'!DK30,'Datos Protegidos'!$K30,PARTIDOS!DL$8),0)</f>
        <v>527</v>
      </c>
      <c r="EC30" s="7">
        <v>0</v>
      </c>
      <c r="ED30" s="19">
        <f>+IF('Datos delta'!DM30&gt;0,REASIGN('Datos delta'!DM30,'Datos Protegidos'!$K30,PARTIDOS!DN$8),0)</f>
        <v>0</v>
      </c>
      <c r="EE30" s="7">
        <v>0</v>
      </c>
      <c r="EF30" s="19">
        <f>+IF('Datos delta'!DO30&gt;0,REASIGN('Datos delta'!DO30,'Datos Protegidos'!$K30,PARTIDOS!DP$8),0)</f>
        <v>0</v>
      </c>
      <c r="EG30" s="7">
        <v>0</v>
      </c>
      <c r="EH30" s="19">
        <f>+IF('Datos delta'!DQ30&gt;0,REASIGN('Datos delta'!DQ30,'Datos Protegidos'!$K30,PARTIDOS!DR$8),0)</f>
        <v>0</v>
      </c>
      <c r="EI30" s="7">
        <v>0</v>
      </c>
      <c r="EJ30" s="19">
        <f>+IF('Datos delta'!DS30&gt;0,REASIGN('Datos delta'!DS30,'Datos Protegidos'!$K30,PARTIDOS!DT$8),0)</f>
        <v>0</v>
      </c>
      <c r="EK30" s="7">
        <v>0</v>
      </c>
      <c r="EL30" s="19">
        <f>+IF('Datos delta'!DU30&gt;0,REASIGN('Datos delta'!DU30,'Datos Protegidos'!$K30,PARTIDOS!DV$8),0)</f>
        <v>0</v>
      </c>
      <c r="EM30" s="7">
        <v>0</v>
      </c>
      <c r="EN30" s="19">
        <f>+IF('Datos delta'!DW30&gt;0,REASIGN('Datos delta'!DW30,'Datos Protegidos'!$K30,PARTIDOS!DX$8),0)</f>
        <v>0</v>
      </c>
      <c r="EO30" s="7">
        <v>0</v>
      </c>
      <c r="EP30" s="19">
        <f>+IF('Datos delta'!DY30&gt;0,REASIGN('Datos delta'!DY30,'Datos Protegidos'!$K30,PARTIDOS!DZ$8),0)</f>
        <v>0</v>
      </c>
      <c r="EQ30" s="7">
        <v>0</v>
      </c>
      <c r="ER30" s="19">
        <f>+IF('Datos delta'!EA30&gt;0,REASIGN('Datos delta'!EA30,'Datos Protegidos'!$K30,PARTIDOS!EB$8),0)</f>
        <v>0</v>
      </c>
      <c r="ES30" s="7">
        <v>0</v>
      </c>
      <c r="ET30" s="19">
        <f>+IF('Datos delta'!EC30&gt;0,REASIGN('Datos delta'!EC30,'Datos Protegidos'!$K30,PARTIDOS!ED$8),0)</f>
        <v>0</v>
      </c>
      <c r="EU30" s="7">
        <v>0</v>
      </c>
    </row>
    <row r="31" spans="1:151" x14ac:dyDescent="0.25">
      <c r="A31" s="7" t="s">
        <v>43</v>
      </c>
      <c r="B31" s="8">
        <v>49</v>
      </c>
      <c r="C31" s="7" t="s">
        <v>52</v>
      </c>
      <c r="D31" s="9">
        <v>174549</v>
      </c>
      <c r="E31">
        <v>371</v>
      </c>
      <c r="F31" s="1">
        <v>147932</v>
      </c>
      <c r="G31" s="1">
        <v>20336</v>
      </c>
      <c r="H31" s="1">
        <v>168268</v>
      </c>
      <c r="I31" s="1"/>
      <c r="J31" s="1"/>
      <c r="K31"/>
      <c r="L31" s="3">
        <f t="shared" si="1"/>
        <v>103643</v>
      </c>
      <c r="M31" s="3">
        <f t="shared" si="2"/>
        <v>102100</v>
      </c>
      <c r="N31" s="6">
        <f t="shared" si="0"/>
        <v>100894</v>
      </c>
      <c r="O31" s="1">
        <v>1206</v>
      </c>
      <c r="P31" s="1">
        <v>1543</v>
      </c>
      <c r="Q31" s="6">
        <f t="shared" si="3"/>
        <v>3</v>
      </c>
      <c r="R31" s="19">
        <f>+IF('Datos delta'!A31&gt;0,REASIGN('Datos delta'!A31,'Datos Protegidos'!$K31,PARTIDOS!B$8),0)</f>
        <v>35067</v>
      </c>
      <c r="S31" s="7">
        <v>1</v>
      </c>
      <c r="T31" s="19">
        <f>+IF('Datos delta'!C31&gt;0,REASIGN('Datos delta'!C31,'Datos Protegidos'!$K31,PARTIDOS!D$8),0)</f>
        <v>39632</v>
      </c>
      <c r="U31" s="7">
        <v>1</v>
      </c>
      <c r="V31" s="19">
        <f>+IF('Datos delta'!E31&gt;0,REASIGN('Datos delta'!E31,'Datos Protegidos'!$K31,PARTIDOS!F$8),0)</f>
        <v>17376</v>
      </c>
      <c r="W31" s="7">
        <v>1</v>
      </c>
      <c r="X31" s="19">
        <f>+IF('Datos delta'!G31&gt;0,REASIGN('Datos delta'!G31,'Datos Protegidos'!$K31,PARTIDOS!H$8),0)</f>
        <v>7351</v>
      </c>
      <c r="Y31" s="7">
        <v>0</v>
      </c>
      <c r="Z31" s="19">
        <f>+IF('Datos delta'!I31&gt;0,REASIGN('Datos delta'!I31,'Datos Protegidos'!$K31,PARTIDOS!J$8),0)</f>
        <v>0</v>
      </c>
      <c r="AA31" s="7">
        <v>0</v>
      </c>
      <c r="AB31" s="19">
        <f>+IF('Datos delta'!K31&gt;0,REASIGN('Datos delta'!K31,'Datos Protegidos'!$K31,PARTIDOS!L$8),0)</f>
        <v>0</v>
      </c>
      <c r="AC31" s="7">
        <v>0</v>
      </c>
      <c r="AD31" s="19">
        <f>+IF('Datos delta'!M31&gt;0,REASIGN('Datos delta'!M31,'Datos Protegidos'!$K31,PARTIDOS!N$8),0)</f>
        <v>0</v>
      </c>
      <c r="AE31" s="7">
        <v>0</v>
      </c>
      <c r="AF31" s="19">
        <f>+IF('Datos delta'!O31&gt;0,REASIGN('Datos delta'!O31,'Datos Protegidos'!$K31,PARTIDOS!P$8),0)</f>
        <v>0</v>
      </c>
      <c r="AG31" s="7">
        <v>0</v>
      </c>
      <c r="AH31" s="19">
        <f>+IF('Datos delta'!Q31&gt;0,REASIGN('Datos delta'!Q31,'Datos Protegidos'!$K31,PARTIDOS!R$8),0)</f>
        <v>0</v>
      </c>
      <c r="AI31" s="7">
        <v>0</v>
      </c>
      <c r="AJ31" s="19">
        <f>+IF('Datos delta'!S31&gt;0,REASIGN('Datos delta'!S31,'Datos Protegidos'!$K31,PARTIDOS!T$8),0)</f>
        <v>0</v>
      </c>
      <c r="AK31" s="7">
        <v>0</v>
      </c>
      <c r="AL31" s="19">
        <f>+IF('Datos delta'!U31&gt;0,REASIGN('Datos delta'!U31,'Datos Protegidos'!$K31,PARTIDOS!V$8),0)</f>
        <v>0</v>
      </c>
      <c r="AM31" s="7">
        <v>0</v>
      </c>
      <c r="AN31" s="19">
        <f>+IF('Datos delta'!W31&gt;0,REASIGN('Datos delta'!W31,'Datos Protegidos'!$K31,PARTIDOS!X$8),0)</f>
        <v>0</v>
      </c>
      <c r="AO31" s="7">
        <v>0</v>
      </c>
      <c r="AP31" s="19">
        <f>+IF('Datos delta'!Y31&gt;0,REASIGN('Datos delta'!Y31,'Datos Protegidos'!$K31,PARTIDOS!Z$8),0)</f>
        <v>0</v>
      </c>
      <c r="AQ31" s="7">
        <v>0</v>
      </c>
      <c r="AR31" s="19">
        <f>+IF('Datos delta'!AA31&gt;0,REASIGN('Datos delta'!AA31,'Datos Protegidos'!$K31,PARTIDOS!AB$8),0)</f>
        <v>0</v>
      </c>
      <c r="AS31" s="7">
        <v>0</v>
      </c>
      <c r="AT31" s="19">
        <f>+IF('Datos delta'!AC31&gt;0,REASIGN('Datos delta'!AC31,'Datos Protegidos'!$K31,PARTIDOS!AD$8),0)</f>
        <v>0</v>
      </c>
      <c r="AU31" s="7">
        <v>0</v>
      </c>
      <c r="AV31" s="19">
        <f>+IF('Datos delta'!AE31&gt;0,REASIGN('Datos delta'!AE31,'Datos Protegidos'!$K31,PARTIDOS!AF$8),0)</f>
        <v>0</v>
      </c>
      <c r="AW31" s="7">
        <v>0</v>
      </c>
      <c r="AX31" s="19">
        <f>+IF('Datos delta'!AG31&gt;0,REASIGN('Datos delta'!AG31,'Datos Protegidos'!$K31,PARTIDOS!AH$8),0)</f>
        <v>0</v>
      </c>
      <c r="AY31" s="7">
        <v>0</v>
      </c>
      <c r="AZ31" s="19">
        <f>+IF('Datos delta'!AI31&gt;0,REASIGN('Datos delta'!AI31,'Datos Protegidos'!$K31,PARTIDOS!AJ$8),0)</f>
        <v>0</v>
      </c>
      <c r="BA31" s="7">
        <v>0</v>
      </c>
      <c r="BB31" s="19">
        <f>+IF('Datos delta'!AK31&gt;0,REASIGN('Datos delta'!AK31,'Datos Protegidos'!$K31,PARTIDOS!AL$8),0)</f>
        <v>0</v>
      </c>
      <c r="BC31" s="7">
        <v>0</v>
      </c>
      <c r="BD31" s="19">
        <f>+IF('Datos delta'!AM31&gt;0,REASIGN('Datos delta'!AM31,'Datos Protegidos'!$K31,PARTIDOS!AN$8),0)</f>
        <v>429</v>
      </c>
      <c r="BE31" s="7">
        <v>0</v>
      </c>
      <c r="BF31" s="19">
        <f>+IF('Datos delta'!AO31&gt;0,REASIGN('Datos delta'!AO31,'Datos Protegidos'!$K31,PARTIDOS!AP$8),0)</f>
        <v>0</v>
      </c>
      <c r="BG31" s="7">
        <v>0</v>
      </c>
      <c r="BH31" s="19">
        <f>+IF('Datos delta'!AQ31&gt;0,REASIGN('Datos delta'!AQ31,'Datos Protegidos'!$K31,PARTIDOS!AR$8),0)</f>
        <v>128</v>
      </c>
      <c r="BI31" s="7">
        <v>0</v>
      </c>
      <c r="BJ31" s="19">
        <f>+IF('Datos delta'!AS31&gt;0,REASIGN('Datos delta'!AS31,'Datos Protegidos'!$K31,PARTIDOS!AT$8),0)</f>
        <v>142</v>
      </c>
      <c r="BK31" s="7">
        <v>0</v>
      </c>
      <c r="BL31" s="19">
        <f>+IF('Datos delta'!AU31&gt;0,REASIGN('Datos delta'!AU31,'Datos Protegidos'!$K31,PARTIDOS!AV$8),0)</f>
        <v>0</v>
      </c>
      <c r="BM31" s="7">
        <v>0</v>
      </c>
      <c r="BN31" s="19">
        <f>+IF('Datos delta'!AW31&gt;0,REASIGN('Datos delta'!AW31,'Datos Protegidos'!$K31,PARTIDOS!AX$8),0)</f>
        <v>0</v>
      </c>
      <c r="BO31" s="7">
        <v>0</v>
      </c>
      <c r="BP31" s="19">
        <f>+IF('Datos delta'!AY31&gt;0,REASIGN('Datos delta'!AY31,'Datos Protegidos'!$K31,PARTIDOS!AZ$8),0)</f>
        <v>0</v>
      </c>
      <c r="BQ31" s="7">
        <v>0</v>
      </c>
      <c r="BR31" s="19">
        <f>+IF('Datos delta'!BA31&gt;0,REASIGN('Datos delta'!BA31,'Datos Protegidos'!$K31,PARTIDOS!BB$8),0)</f>
        <v>0</v>
      </c>
      <c r="BS31" s="7">
        <v>0</v>
      </c>
      <c r="BT31" s="19">
        <f>+IF('Datos delta'!BC31&gt;0,REASIGN('Datos delta'!BC31,'Datos Protegidos'!$K31,PARTIDOS!BD$8),0)</f>
        <v>126</v>
      </c>
      <c r="BU31" s="7">
        <v>0</v>
      </c>
      <c r="BV31" s="19">
        <f>+IF('Datos delta'!BE31&gt;0,REASIGN('Datos delta'!BE31,'Datos Protegidos'!$K31,PARTIDOS!BF$8),0)</f>
        <v>0</v>
      </c>
      <c r="BW31" s="7">
        <v>0</v>
      </c>
      <c r="BX31" s="19">
        <f>+IF('Datos delta'!BG31&gt;0,REASIGN('Datos delta'!BG31,'Datos Protegidos'!$K31,PARTIDOS!BH$8),0)</f>
        <v>367</v>
      </c>
      <c r="BY31" s="7">
        <v>0</v>
      </c>
      <c r="BZ31" s="19">
        <f>+IF('Datos delta'!BI31&gt;0,REASIGN('Datos delta'!BI31,'Datos Protegidos'!$K31,PARTIDOS!BJ$8),0)</f>
        <v>0</v>
      </c>
      <c r="CA31" s="7">
        <v>0</v>
      </c>
      <c r="CB31" s="19">
        <f>+IF('Datos delta'!BK31&gt;0,REASIGN('Datos delta'!BK31,'Datos Protegidos'!$K31,PARTIDOS!BL$8),0)</f>
        <v>0</v>
      </c>
      <c r="CC31" s="7">
        <v>0</v>
      </c>
      <c r="CD31" s="19">
        <f>+IF('Datos delta'!BM31&gt;0,REASIGN('Datos delta'!BM31,'Datos Protegidos'!$K31,PARTIDOS!BN$8),0)</f>
        <v>0</v>
      </c>
      <c r="CE31" s="7">
        <v>0</v>
      </c>
      <c r="CF31" s="19">
        <f>+IF('Datos delta'!BO31&gt;0,REASIGN('Datos delta'!BO31,'Datos Protegidos'!$K31,PARTIDOS!BP$8),0)</f>
        <v>0</v>
      </c>
      <c r="CG31" s="7">
        <v>0</v>
      </c>
      <c r="CH31" s="19">
        <f>+IF('Datos delta'!BQ31&gt;0,REASIGN('Datos delta'!BQ31,'Datos Protegidos'!$K31,PARTIDOS!BR$8),0)</f>
        <v>0</v>
      </c>
      <c r="CI31" s="7">
        <v>0</v>
      </c>
      <c r="CJ31" s="19">
        <f>+IF('Datos delta'!BS31&gt;0,REASIGN('Datos delta'!BS31,'Datos Protegidos'!$K31,PARTIDOS!BT$8),0)</f>
        <v>0</v>
      </c>
      <c r="CK31" s="7">
        <v>0</v>
      </c>
      <c r="CL31" s="19">
        <f>+IF('Datos delta'!BU31&gt;0,REASIGN('Datos delta'!BU31,'Datos Protegidos'!$K31,PARTIDOS!BV$8),0)</f>
        <v>0</v>
      </c>
      <c r="CM31" s="7">
        <v>0</v>
      </c>
      <c r="CN31" s="19">
        <f>+IF('Datos delta'!BW31&gt;0,REASIGN('Datos delta'!BW31,'Datos Protegidos'!$K31,PARTIDOS!BX$8),0)</f>
        <v>0</v>
      </c>
      <c r="CO31" s="7">
        <v>0</v>
      </c>
      <c r="CP31" s="19">
        <f>+IF('Datos delta'!BY31&gt;0,REASIGN('Datos delta'!BY31,'Datos Protegidos'!$K31,PARTIDOS!BZ$8),0)</f>
        <v>0</v>
      </c>
      <c r="CQ31" s="7">
        <v>0</v>
      </c>
      <c r="CR31" s="19">
        <f>+IF('Datos delta'!CA31&gt;0,REASIGN('Datos delta'!CA31,'Datos Protegidos'!$K31,PARTIDOS!CB$8),0)</f>
        <v>0</v>
      </c>
      <c r="CS31" s="7">
        <v>0</v>
      </c>
      <c r="CT31" s="19">
        <f>+IF('Datos delta'!CC31&gt;0,REASIGN('Datos delta'!CC31,'Datos Protegidos'!$K31,PARTIDOS!CD$8),0)</f>
        <v>0</v>
      </c>
      <c r="CU31" s="7">
        <v>0</v>
      </c>
      <c r="CV31" s="19">
        <f>+IF('Datos delta'!CE31&gt;0,REASIGN('Datos delta'!CE31,'Datos Protegidos'!$K31,PARTIDOS!CF$8),0)</f>
        <v>0</v>
      </c>
      <c r="CW31" s="7">
        <v>0</v>
      </c>
      <c r="CX31" s="19">
        <f>+IF('Datos delta'!CG31&gt;0,REASIGN('Datos delta'!CG31,'Datos Protegidos'!$K31,PARTIDOS!CH$8),0)</f>
        <v>0</v>
      </c>
      <c r="CY31" s="7">
        <v>0</v>
      </c>
      <c r="CZ31" s="19">
        <f>+IF('Datos delta'!CI31&gt;0,REASIGN('Datos delta'!CI31,'Datos Protegidos'!$K31,PARTIDOS!CJ$8),0)</f>
        <v>0</v>
      </c>
      <c r="DA31" s="7">
        <v>0</v>
      </c>
      <c r="DB31" s="19">
        <f>+IF('Datos delta'!CK31&gt;0,REASIGN('Datos delta'!CK31,'Datos Protegidos'!$K31,PARTIDOS!CL$8),0)</f>
        <v>0</v>
      </c>
      <c r="DC31" s="7">
        <v>0</v>
      </c>
      <c r="DD31" s="19">
        <f>+IF('Datos delta'!CM31&gt;0,REASIGN('Datos delta'!CM31,'Datos Protegidos'!$K31,PARTIDOS!CN$8),0)</f>
        <v>0</v>
      </c>
      <c r="DE31" s="7">
        <v>0</v>
      </c>
      <c r="DF31" s="19">
        <f>+IF('Datos delta'!CO31&gt;0,REASIGN('Datos delta'!CO31,'Datos Protegidos'!$K31,PARTIDOS!CP$8),0)</f>
        <v>0</v>
      </c>
      <c r="DG31" s="7">
        <v>0</v>
      </c>
      <c r="DH31" s="19">
        <f>+IF('Datos delta'!CQ31&gt;0,REASIGN('Datos delta'!CQ31,'Datos Protegidos'!$K31,PARTIDOS!CR$8),0)</f>
        <v>0</v>
      </c>
      <c r="DI31" s="7">
        <v>0</v>
      </c>
      <c r="DJ31" s="19">
        <f>+IF('Datos delta'!CS31&gt;0,REASIGN('Datos delta'!CS31,'Datos Protegidos'!$K31,PARTIDOS!CT$8),0)</f>
        <v>0</v>
      </c>
      <c r="DK31" s="7">
        <v>0</v>
      </c>
      <c r="DL31" s="19">
        <f>+IF('Datos delta'!CU31&gt;0,REASIGN('Datos delta'!CU31,'Datos Protegidos'!$K31,PARTIDOS!CV$8),0)</f>
        <v>0</v>
      </c>
      <c r="DM31" s="7">
        <v>0</v>
      </c>
      <c r="DN31" s="19">
        <f>+IF('Datos delta'!CW31&gt;0,REASIGN('Datos delta'!CW31,'Datos Protegidos'!$K31,PARTIDOS!CX$8),0)</f>
        <v>0</v>
      </c>
      <c r="DO31" s="7">
        <v>0</v>
      </c>
      <c r="DP31" s="19">
        <f>+IF('Datos delta'!CY31&gt;0,REASIGN('Datos delta'!CY31,'Datos Protegidos'!$K31,PARTIDOS!CZ$8),0)</f>
        <v>276</v>
      </c>
      <c r="DQ31" s="7">
        <v>0</v>
      </c>
      <c r="DR31" s="19">
        <f>+IF('Datos delta'!DA31&gt;0,REASIGN('Datos delta'!DA31,'Datos Protegidos'!$K31,PARTIDOS!DB$8),0)</f>
        <v>0</v>
      </c>
      <c r="DS31" s="7">
        <v>0</v>
      </c>
      <c r="DT31" s="19">
        <f>+IF('Datos delta'!DC31&gt;0,REASIGN('Datos delta'!DC31,'Datos Protegidos'!$K31,PARTIDOS!DD$8),0)</f>
        <v>0</v>
      </c>
      <c r="DU31" s="7">
        <v>0</v>
      </c>
      <c r="DV31" s="19">
        <f>+IF('Datos delta'!DE31&gt;0,REASIGN('Datos delta'!DE31,'Datos Protegidos'!$K31,PARTIDOS!DF$8),0)</f>
        <v>0</v>
      </c>
      <c r="DW31" s="7">
        <v>0</v>
      </c>
      <c r="DX31" s="19">
        <f>+IF('Datos delta'!DG31&gt;0,REASIGN('Datos delta'!DG31,'Datos Protegidos'!$K31,PARTIDOS!DH$8),0)</f>
        <v>0</v>
      </c>
      <c r="DY31" s="7">
        <v>0</v>
      </c>
      <c r="DZ31" s="19">
        <f>+IF('Datos delta'!DI31&gt;0,REASIGN('Datos delta'!DI31,'Datos Protegidos'!$K31,PARTIDOS!DJ$8),0)</f>
        <v>0</v>
      </c>
      <c r="EA31" s="7">
        <v>0</v>
      </c>
      <c r="EB31" s="19">
        <f>+IF('Datos delta'!DK31&gt;0,REASIGN('Datos delta'!DK31,'Datos Protegidos'!$K31,PARTIDOS!DL$8),0)</f>
        <v>0</v>
      </c>
      <c r="EC31" s="7">
        <v>0</v>
      </c>
      <c r="ED31" s="19">
        <f>+IF('Datos delta'!DM31&gt;0,REASIGN('Datos delta'!DM31,'Datos Protegidos'!$K31,PARTIDOS!DN$8),0)</f>
        <v>0</v>
      </c>
      <c r="EE31" s="7">
        <v>0</v>
      </c>
      <c r="EF31" s="19">
        <f>+IF('Datos delta'!DO31&gt;0,REASIGN('Datos delta'!DO31,'Datos Protegidos'!$K31,PARTIDOS!DP$8),0)</f>
        <v>0</v>
      </c>
      <c r="EG31" s="7">
        <v>0</v>
      </c>
      <c r="EH31" s="19">
        <f>+IF('Datos delta'!DQ31&gt;0,REASIGN('Datos delta'!DQ31,'Datos Protegidos'!$K31,PARTIDOS!DR$8),0)</f>
        <v>0</v>
      </c>
      <c r="EI31" s="7">
        <v>0</v>
      </c>
      <c r="EJ31" s="19">
        <f>+IF('Datos delta'!DS31&gt;0,REASIGN('Datos delta'!DS31,'Datos Protegidos'!$K31,PARTIDOS!DT$8),0)</f>
        <v>0</v>
      </c>
      <c r="EK31" s="7">
        <v>0</v>
      </c>
      <c r="EL31" s="19">
        <f>+IF('Datos delta'!DU31&gt;0,REASIGN('Datos delta'!DU31,'Datos Protegidos'!$K31,PARTIDOS!DV$8),0)</f>
        <v>0</v>
      </c>
      <c r="EM31" s="7">
        <v>0</v>
      </c>
      <c r="EN31" s="19">
        <f>+IF('Datos delta'!DW31&gt;0,REASIGN('Datos delta'!DW31,'Datos Protegidos'!$K31,PARTIDOS!DX$8),0)</f>
        <v>0</v>
      </c>
      <c r="EO31" s="7">
        <v>0</v>
      </c>
      <c r="EP31" s="19">
        <f>+IF('Datos delta'!DY31&gt;0,REASIGN('Datos delta'!DY31,'Datos Protegidos'!$K31,PARTIDOS!DZ$8),0)</f>
        <v>0</v>
      </c>
      <c r="EQ31" s="7">
        <v>0</v>
      </c>
      <c r="ER31" s="19">
        <f>+IF('Datos delta'!EA31&gt;0,REASIGN('Datos delta'!EA31,'Datos Protegidos'!$K31,PARTIDOS!EB$8),0)</f>
        <v>0</v>
      </c>
      <c r="ES31" s="7">
        <v>0</v>
      </c>
      <c r="ET31" s="19">
        <f>+IF('Datos delta'!EC31&gt;0,REASIGN('Datos delta'!EC31,'Datos Protegidos'!$K31,PARTIDOS!ED$8),0)</f>
        <v>0</v>
      </c>
      <c r="EU31" s="7">
        <v>0</v>
      </c>
    </row>
    <row r="32" spans="1:151" x14ac:dyDescent="0.25">
      <c r="A32" s="7" t="s">
        <v>53</v>
      </c>
      <c r="B32" s="8">
        <v>8</v>
      </c>
      <c r="C32" s="7" t="s">
        <v>54</v>
      </c>
      <c r="D32" s="9">
        <v>5609350</v>
      </c>
      <c r="E32" s="1">
        <v>5985</v>
      </c>
      <c r="F32" s="1">
        <v>4011909</v>
      </c>
      <c r="G32" s="1">
        <v>189242</v>
      </c>
      <c r="H32" s="1">
        <v>4201151</v>
      </c>
      <c r="I32" s="1"/>
      <c r="J32" s="1"/>
      <c r="K32" s="1"/>
      <c r="L32" s="3">
        <f t="shared" si="1"/>
        <v>2927281</v>
      </c>
      <c r="M32" s="3">
        <f t="shared" si="2"/>
        <v>2912682</v>
      </c>
      <c r="N32" s="6">
        <f t="shared" si="0"/>
        <v>2892225</v>
      </c>
      <c r="O32" s="1">
        <v>20457</v>
      </c>
      <c r="P32" s="1">
        <v>14599</v>
      </c>
      <c r="Q32" s="6">
        <f t="shared" si="3"/>
        <v>32</v>
      </c>
      <c r="R32" s="19">
        <f>+IF('Datos delta'!A32&gt;0,REASIGN('Datos delta'!A32,'Datos Protegidos'!$K32,PARTIDOS!B$8),0)</f>
        <v>687646</v>
      </c>
      <c r="S32" s="7">
        <v>8</v>
      </c>
      <c r="T32" s="19">
        <f>+IF('Datos delta'!C32&gt;0,REASIGN('Datos delta'!C32,'Datos Protegidos'!$K32,PARTIDOS!D$8),0)</f>
        <v>369456</v>
      </c>
      <c r="U32" s="7">
        <v>2</v>
      </c>
      <c r="V32" s="19">
        <f>+IF('Datos delta'!E32&gt;0,REASIGN('Datos delta'!E32,'Datos Protegidos'!$K32,PARTIDOS!F$8),0)</f>
        <v>188409</v>
      </c>
      <c r="W32" s="7">
        <v>2</v>
      </c>
      <c r="X32" s="19">
        <f>+IF('Datos delta'!G32&gt;0,REASIGN('Datos delta'!G32,'Datos Protegidos'!$K32,PARTIDOS!H$8),0)</f>
        <v>0</v>
      </c>
      <c r="Y32" s="7">
        <v>0</v>
      </c>
      <c r="Z32" s="19">
        <f>+IF('Datos delta'!I32&gt;0,REASIGN('Datos delta'!I32,'Datos Protegidos'!$K32,PARTIDOS!J$8),0)</f>
        <v>603436</v>
      </c>
      <c r="AA32" s="7">
        <v>7</v>
      </c>
      <c r="AB32" s="19">
        <f>+IF('Datos delta'!K32&gt;0,REASIGN('Datos delta'!K32,'Datos Protegidos'!$K32,PARTIDOS!L$8),0)</f>
        <v>0</v>
      </c>
      <c r="AC32" s="7">
        <v>2</v>
      </c>
      <c r="AD32" s="19">
        <f>+IF('Datos delta'!M32&gt;0,REASIGN('Datos delta'!M32,'Datos Protegidos'!$K32,PARTIDOS!N$8),0)</f>
        <v>335332</v>
      </c>
      <c r="AE32" s="7">
        <v>4</v>
      </c>
      <c r="AF32" s="19">
        <f>+IF('Datos delta'!O32&gt;0,REASIGN('Datos delta'!O32,'Datos Protegidos'!$K32,PARTIDOS!P$8),0)</f>
        <v>441169</v>
      </c>
      <c r="AG32" s="7">
        <v>5</v>
      </c>
      <c r="AH32" s="19">
        <f>+IF('Datos delta'!Q32&gt;0,REASIGN('Datos delta'!Q32,'Datos Protegidos'!$K32,PARTIDOS!R$8),0)</f>
        <v>0</v>
      </c>
      <c r="AI32" s="7">
        <v>0</v>
      </c>
      <c r="AJ32" s="19">
        <f>+IF('Datos delta'!S32&gt;0,REASIGN('Datos delta'!S32,'Datos Protegidos'!$K32,PARTIDOS!T$8),0)</f>
        <v>0</v>
      </c>
      <c r="AK32" s="7">
        <v>0</v>
      </c>
      <c r="AL32" s="19">
        <f>+IF('Datos delta'!U32&gt;0,REASIGN('Datos delta'!U32,'Datos Protegidos'!$K32,PARTIDOS!V$8),0)</f>
        <v>0</v>
      </c>
      <c r="AM32" s="7">
        <v>0</v>
      </c>
      <c r="AN32" s="19">
        <f>+IF('Datos delta'!W32&gt;0,REASIGN('Datos delta'!W32,'Datos Protegidos'!$K32,PARTIDOS!X$8),0)</f>
        <v>174564</v>
      </c>
      <c r="AO32" s="7">
        <v>2</v>
      </c>
      <c r="AP32" s="19">
        <f>+IF('Datos delta'!Y32&gt;0,REASIGN('Datos delta'!Y32,'Datos Protegidos'!$K32,PARTIDOS!Z$8),0)</f>
        <v>0</v>
      </c>
      <c r="AQ32" s="7">
        <v>0</v>
      </c>
      <c r="AR32" s="19">
        <f>+IF('Datos delta'!AA32&gt;0,REASIGN('Datos delta'!AA32,'Datos Protegidos'!$K32,PARTIDOS!AB$8),0)</f>
        <v>0</v>
      </c>
      <c r="AS32" s="7">
        <v>0</v>
      </c>
      <c r="AT32" s="19">
        <f>+IF('Datos delta'!AC32&gt;0,REASIGN('Datos delta'!AC32,'Datos Protegidos'!$K32,PARTIDOS!AD$8),0)</f>
        <v>0</v>
      </c>
      <c r="AU32" s="7">
        <v>0</v>
      </c>
      <c r="AV32" s="19">
        <f>+IF('Datos delta'!AE32&gt;0,REASIGN('Datos delta'!AE32,'Datos Protegidos'!$K32,PARTIDOS!AF$8),0)</f>
        <v>0</v>
      </c>
      <c r="AW32" s="7">
        <v>0</v>
      </c>
      <c r="AX32" s="19">
        <f>+IF('Datos delta'!AG32&gt;0,REASIGN('Datos delta'!AG32,'Datos Protegidos'!$K32,PARTIDOS!AH$8),0)</f>
        <v>0</v>
      </c>
      <c r="AY32" s="7">
        <v>0</v>
      </c>
      <c r="AZ32" s="19">
        <f>+IF('Datos delta'!AI32&gt;0,REASIGN('Datos delta'!AI32,'Datos Protegidos'!$K32,PARTIDOS!AJ$8),0)</f>
        <v>0</v>
      </c>
      <c r="BA32" s="7">
        <v>0</v>
      </c>
      <c r="BB32" s="19">
        <f>+IF('Datos delta'!AK32&gt;0,REASIGN('Datos delta'!AK32,'Datos Protegidos'!$K32,PARTIDOS!AL$8),0)</f>
        <v>0</v>
      </c>
      <c r="BC32" s="7">
        <v>0</v>
      </c>
      <c r="BD32" s="19">
        <f>+IF('Datos delta'!AM32&gt;0,REASIGN('Datos delta'!AM32,'Datos Protegidos'!$K32,PARTIDOS!AN$8),0)</f>
        <v>34578</v>
      </c>
      <c r="BE32" s="7">
        <v>0</v>
      </c>
      <c r="BF32" s="19">
        <f>+IF('Datos delta'!AO32&gt;0,REASIGN('Datos delta'!AO32,'Datos Protegidos'!$K32,PARTIDOS!AP$8),0)</f>
        <v>43917</v>
      </c>
      <c r="BG32" s="7">
        <v>0</v>
      </c>
      <c r="BH32" s="19">
        <f>+IF('Datos delta'!AQ32&gt;0,REASIGN('Datos delta'!AQ32,'Datos Protegidos'!$K32,PARTIDOS!AR$8),0)</f>
        <v>4674</v>
      </c>
      <c r="BI32" s="7">
        <v>0</v>
      </c>
      <c r="BJ32" s="19">
        <f>+IF('Datos delta'!AS32&gt;0,REASIGN('Datos delta'!AS32,'Datos Protegidos'!$K32,PARTIDOS!AT$8),0)</f>
        <v>1569</v>
      </c>
      <c r="BK32" s="7">
        <v>0</v>
      </c>
      <c r="BL32" s="19">
        <f>+IF('Datos delta'!AU32&gt;0,REASIGN('Datos delta'!AU32,'Datos Protegidos'!$K32,PARTIDOS!AV$8),0)</f>
        <v>0</v>
      </c>
      <c r="BM32" s="7">
        <v>0</v>
      </c>
      <c r="BN32" s="19">
        <f>+IF('Datos delta'!AW32&gt;0,REASIGN('Datos delta'!AW32,'Datos Protegidos'!$K32,PARTIDOS!AX$8),0)</f>
        <v>0</v>
      </c>
      <c r="BO32" s="7">
        <v>0</v>
      </c>
      <c r="BP32" s="19">
        <f>+IF('Datos delta'!AY32&gt;0,REASIGN('Datos delta'!AY32,'Datos Protegidos'!$K32,PARTIDOS!AZ$8),0)</f>
        <v>0</v>
      </c>
      <c r="BQ32" s="7">
        <v>0</v>
      </c>
      <c r="BR32" s="19">
        <f>+IF('Datos delta'!BA32&gt;0,REASIGN('Datos delta'!BA32,'Datos Protegidos'!$K32,PARTIDOS!BB$8),0)</f>
        <v>1584</v>
      </c>
      <c r="BS32" s="7">
        <v>0</v>
      </c>
      <c r="BT32" s="19">
        <f>+IF('Datos delta'!BC32&gt;0,REASIGN('Datos delta'!BC32,'Datos Protegidos'!$K32,PARTIDOS!BD$8),0)</f>
        <v>1666</v>
      </c>
      <c r="BU32" s="7">
        <v>0</v>
      </c>
      <c r="BV32" s="19">
        <f>+IF('Datos delta'!BE32&gt;0,REASIGN('Datos delta'!BE32,'Datos Protegidos'!$K32,PARTIDOS!BF$8),0)</f>
        <v>0</v>
      </c>
      <c r="BW32" s="7">
        <v>0</v>
      </c>
      <c r="BX32" s="19">
        <f>+IF('Datos delta'!BG32&gt;0,REASIGN('Datos delta'!BG32,'Datos Protegidos'!$K32,PARTIDOS!BH$8),0)</f>
        <v>0</v>
      </c>
      <c r="BY32" s="7">
        <v>0</v>
      </c>
      <c r="BZ32" s="19">
        <f>+IF('Datos delta'!BI32&gt;0,REASIGN('Datos delta'!BI32,'Datos Protegidos'!$K32,PARTIDOS!BJ$8),0)</f>
        <v>0</v>
      </c>
      <c r="CA32" s="7">
        <v>0</v>
      </c>
      <c r="CB32" s="19">
        <f>+IF('Datos delta'!BK32&gt;0,REASIGN('Datos delta'!BK32,'Datos Protegidos'!$K32,PARTIDOS!BL$8),0)</f>
        <v>0</v>
      </c>
      <c r="CC32" s="7">
        <v>0</v>
      </c>
      <c r="CD32" s="19">
        <f>+IF('Datos delta'!BM32&gt;0,REASIGN('Datos delta'!BM32,'Datos Protegidos'!$K32,PARTIDOS!BN$8),0)</f>
        <v>0</v>
      </c>
      <c r="CE32" s="7">
        <v>0</v>
      </c>
      <c r="CF32" s="19">
        <f>+IF('Datos delta'!BO32&gt;0,REASIGN('Datos delta'!BO32,'Datos Protegidos'!$K32,PARTIDOS!BP$8),0)</f>
        <v>0</v>
      </c>
      <c r="CG32" s="7">
        <v>0</v>
      </c>
      <c r="CH32" s="19">
        <f>+IF('Datos delta'!BQ32&gt;0,REASIGN('Datos delta'!BQ32,'Datos Protegidos'!$K32,PARTIDOS!BR$8),0)</f>
        <v>0</v>
      </c>
      <c r="CI32" s="7">
        <v>0</v>
      </c>
      <c r="CJ32" s="19">
        <f>+IF('Datos delta'!BS32&gt;0,REASIGN('Datos delta'!BS32,'Datos Protegidos'!$K32,PARTIDOS!BT$8),0)</f>
        <v>0</v>
      </c>
      <c r="CK32" s="7">
        <v>0</v>
      </c>
      <c r="CL32" s="19">
        <f>+IF('Datos delta'!BU32&gt;0,REASIGN('Datos delta'!BU32,'Datos Protegidos'!$K32,PARTIDOS!BV$8),0)</f>
        <v>0</v>
      </c>
      <c r="CM32" s="7">
        <v>0</v>
      </c>
      <c r="CN32" s="19">
        <f>+IF('Datos delta'!BW32&gt;0,REASIGN('Datos delta'!BW32,'Datos Protegidos'!$K32,PARTIDOS!BX$8),0)</f>
        <v>0</v>
      </c>
      <c r="CO32" s="7">
        <v>0</v>
      </c>
      <c r="CP32" s="19">
        <f>+IF('Datos delta'!BY32&gt;0,REASIGN('Datos delta'!BY32,'Datos Protegidos'!$K32,PARTIDOS!BZ$8),0)</f>
        <v>2989</v>
      </c>
      <c r="CQ32" s="7">
        <v>0</v>
      </c>
      <c r="CR32" s="19">
        <f>+IF('Datos delta'!CA32&gt;0,REASIGN('Datos delta'!CA32,'Datos Protegidos'!$K32,PARTIDOS!CB$8),0)</f>
        <v>0</v>
      </c>
      <c r="CS32" s="7">
        <v>0</v>
      </c>
      <c r="CT32" s="19">
        <f>+IF('Datos delta'!CC32&gt;0,REASIGN('Datos delta'!CC32,'Datos Protegidos'!$K32,PARTIDOS!CD$8),0)</f>
        <v>0</v>
      </c>
      <c r="CU32" s="7">
        <v>0</v>
      </c>
      <c r="CV32" s="19">
        <f>+IF('Datos delta'!CE32&gt;0,REASIGN('Datos delta'!CE32,'Datos Protegidos'!$K32,PARTIDOS!CF$8),0)</f>
        <v>1236</v>
      </c>
      <c r="CW32" s="7">
        <v>0</v>
      </c>
      <c r="CX32" s="19">
        <f>+IF('Datos delta'!CG32&gt;0,REASIGN('Datos delta'!CG32,'Datos Protegidos'!$K32,PARTIDOS!CH$8),0)</f>
        <v>0</v>
      </c>
      <c r="CY32" s="7">
        <v>0</v>
      </c>
      <c r="CZ32" s="19">
        <f>+IF('Datos delta'!CI32&gt;0,REASIGN('Datos delta'!CI32,'Datos Protegidos'!$K32,PARTIDOS!CJ$8),0)</f>
        <v>0</v>
      </c>
      <c r="DA32" s="7">
        <v>0</v>
      </c>
      <c r="DB32" s="19">
        <f>+IF('Datos delta'!CK32&gt;0,REASIGN('Datos delta'!CK32,'Datos Protegidos'!$K32,PARTIDOS!CL$8),0)</f>
        <v>0</v>
      </c>
      <c r="DC32" s="7">
        <v>0</v>
      </c>
      <c r="DD32" s="19">
        <f>+IF('Datos delta'!CM32&gt;0,REASIGN('Datos delta'!CM32,'Datos Protegidos'!$K32,PARTIDOS!CN$8),0)</f>
        <v>0</v>
      </c>
      <c r="DE32" s="7">
        <v>0</v>
      </c>
      <c r="DF32" s="19">
        <f>+IF('Datos delta'!CO32&gt;0,REASIGN('Datos delta'!CO32,'Datos Protegidos'!$K32,PARTIDOS!CP$8),0)</f>
        <v>0</v>
      </c>
      <c r="DG32" s="7">
        <v>0</v>
      </c>
      <c r="DH32" s="19">
        <f>+IF('Datos delta'!CQ32&gt;0,REASIGN('Datos delta'!CQ32,'Datos Protegidos'!$K32,PARTIDOS!CR$8),0)</f>
        <v>0</v>
      </c>
      <c r="DI32" s="7">
        <v>0</v>
      </c>
      <c r="DJ32" s="19">
        <f>+IF('Datos delta'!CS32&gt;0,REASIGN('Datos delta'!CS32,'Datos Protegidos'!$K32,PARTIDOS!CT$8),0)</f>
        <v>0</v>
      </c>
      <c r="DK32" s="7">
        <v>0</v>
      </c>
      <c r="DL32" s="19">
        <f>+IF('Datos delta'!CU32&gt;0,REASIGN('Datos delta'!CU32,'Datos Protegidos'!$K32,PARTIDOS!CV$8),0)</f>
        <v>0</v>
      </c>
      <c r="DM32" s="7">
        <v>0</v>
      </c>
      <c r="DN32" s="19">
        <f>+IF('Datos delta'!CW32&gt;0,REASIGN('Datos delta'!CW32,'Datos Protegidos'!$K32,PARTIDOS!CX$8),0)</f>
        <v>0</v>
      </c>
      <c r="DO32" s="7">
        <v>0</v>
      </c>
      <c r="DP32" s="19">
        <f>+IF('Datos delta'!CY32&gt;0,REASIGN('Datos delta'!CY32,'Datos Protegidos'!$K32,PARTIDOS!CZ$8),0)</f>
        <v>0</v>
      </c>
      <c r="DQ32" s="7">
        <v>0</v>
      </c>
      <c r="DR32" s="19">
        <f>+IF('Datos delta'!DA32&gt;0,REASIGN('Datos delta'!DA32,'Datos Protegidos'!$K32,PARTIDOS!DB$8),0)</f>
        <v>0</v>
      </c>
      <c r="DS32" s="7">
        <v>0</v>
      </c>
      <c r="DT32" s="19">
        <f>+IF('Datos delta'!DC32&gt;0,REASIGN('Datos delta'!DC32,'Datos Protegidos'!$K32,PARTIDOS!DD$8),0)</f>
        <v>0</v>
      </c>
      <c r="DU32" s="7">
        <v>0</v>
      </c>
      <c r="DV32" s="19">
        <f>+IF('Datos delta'!DE32&gt;0,REASIGN('Datos delta'!DE32,'Datos Protegidos'!$K32,PARTIDOS!DF$8),0)</f>
        <v>0</v>
      </c>
      <c r="DW32" s="7">
        <v>0</v>
      </c>
      <c r="DX32" s="19">
        <f>+IF('Datos delta'!DG32&gt;0,REASIGN('Datos delta'!DG32,'Datos Protegidos'!$K32,PARTIDOS!DH$8),0)</f>
        <v>0</v>
      </c>
      <c r="DY32" s="7">
        <v>0</v>
      </c>
      <c r="DZ32" s="19">
        <f>+IF('Datos delta'!DI32&gt;0,REASIGN('Datos delta'!DI32,'Datos Protegidos'!$K32,PARTIDOS!DJ$8),0)</f>
        <v>0</v>
      </c>
      <c r="EA32" s="7">
        <v>0</v>
      </c>
      <c r="EB32" s="19">
        <f>+IF('Datos delta'!DK32&gt;0,REASIGN('Datos delta'!DK32,'Datos Protegidos'!$K32,PARTIDOS!DL$8),0)</f>
        <v>0</v>
      </c>
      <c r="EC32" s="7">
        <v>0</v>
      </c>
      <c r="ED32" s="19">
        <f>+IF('Datos delta'!DM32&gt;0,REASIGN('Datos delta'!DM32,'Datos Protegidos'!$K32,PARTIDOS!DN$8),0)</f>
        <v>0</v>
      </c>
      <c r="EE32" s="7">
        <v>0</v>
      </c>
      <c r="EF32" s="19">
        <f>+IF('Datos delta'!DO32&gt;0,REASIGN('Datos delta'!DO32,'Datos Protegidos'!$K32,PARTIDOS!DP$8),0)</f>
        <v>0</v>
      </c>
      <c r="EG32" s="7">
        <v>0</v>
      </c>
      <c r="EH32" s="19">
        <f>+IF('Datos delta'!DQ32&gt;0,REASIGN('Datos delta'!DQ32,'Datos Protegidos'!$K32,PARTIDOS!DR$8),0)</f>
        <v>0</v>
      </c>
      <c r="EI32" s="7">
        <v>0</v>
      </c>
      <c r="EJ32" s="19">
        <f>+IF('Datos delta'!DS32&gt;0,REASIGN('Datos delta'!DS32,'Datos Protegidos'!$K32,PARTIDOS!DT$8),0)</f>
        <v>0</v>
      </c>
      <c r="EK32" s="7">
        <v>0</v>
      </c>
      <c r="EL32" s="19">
        <f>+IF('Datos delta'!DU32&gt;0,REASIGN('Datos delta'!DU32,'Datos Protegidos'!$K32,PARTIDOS!DV$8),0)</f>
        <v>0</v>
      </c>
      <c r="EM32" s="7">
        <v>0</v>
      </c>
      <c r="EN32" s="19">
        <f>+IF('Datos delta'!DW32&gt;0,REASIGN('Datos delta'!DW32,'Datos Protegidos'!$K32,PARTIDOS!DX$8),0)</f>
        <v>0</v>
      </c>
      <c r="EO32" s="7">
        <v>0</v>
      </c>
      <c r="EP32" s="19">
        <f>+IF('Datos delta'!DY32&gt;0,REASIGN('Datos delta'!DY32,'Datos Protegidos'!$K32,PARTIDOS!DZ$8),0)</f>
        <v>0</v>
      </c>
      <c r="EQ32" s="7">
        <v>0</v>
      </c>
      <c r="ER32" s="19">
        <f>+IF('Datos delta'!EA32&gt;0,REASIGN('Datos delta'!EA32,'Datos Protegidos'!$K32,PARTIDOS!EB$8),0)</f>
        <v>0</v>
      </c>
      <c r="ES32" s="7">
        <v>0</v>
      </c>
      <c r="ET32" s="19">
        <f>+IF('Datos delta'!EC32&gt;0,REASIGN('Datos delta'!EC32,'Datos Protegidos'!$K32,PARTIDOS!ED$8),0)</f>
        <v>0</v>
      </c>
      <c r="EU32" s="7">
        <v>0</v>
      </c>
    </row>
    <row r="33" spans="1:151" x14ac:dyDescent="0.25">
      <c r="A33" s="7" t="s">
        <v>53</v>
      </c>
      <c r="B33" s="8">
        <v>17</v>
      </c>
      <c r="C33" s="7" t="s">
        <v>55</v>
      </c>
      <c r="D33" s="9">
        <v>761947</v>
      </c>
      <c r="E33">
        <v>834</v>
      </c>
      <c r="F33" s="1">
        <v>504631</v>
      </c>
      <c r="G33" s="1">
        <v>20347</v>
      </c>
      <c r="H33" s="1">
        <v>524978</v>
      </c>
      <c r="I33" s="1"/>
      <c r="J33" s="1"/>
      <c r="K33" s="1"/>
      <c r="L33" s="3">
        <f t="shared" si="1"/>
        <v>353648</v>
      </c>
      <c r="M33" s="3">
        <f t="shared" si="2"/>
        <v>351549</v>
      </c>
      <c r="N33" s="6">
        <f t="shared" si="0"/>
        <v>349242</v>
      </c>
      <c r="O33" s="1">
        <v>2307</v>
      </c>
      <c r="P33" s="1">
        <v>2099</v>
      </c>
      <c r="Q33" s="6">
        <f t="shared" si="3"/>
        <v>6</v>
      </c>
      <c r="R33" s="19">
        <f>+IF('Datos delta'!A33&gt;0,REASIGN('Datos delta'!A33,'Datos Protegidos'!$K33,PARTIDOS!B$8),0)</f>
        <v>56745</v>
      </c>
      <c r="S33" s="7">
        <v>1</v>
      </c>
      <c r="T33" s="19">
        <f>+IF('Datos delta'!C33&gt;0,REASIGN('Datos delta'!C33,'Datos Protegidos'!$K33,PARTIDOS!D$8),0)</f>
        <v>28892</v>
      </c>
      <c r="U33" s="7">
        <v>0</v>
      </c>
      <c r="V33" s="19">
        <f>+IF('Datos delta'!E33&gt;0,REASIGN('Datos delta'!E33,'Datos Protegidos'!$K33,PARTIDOS!F$8),0)</f>
        <v>18858</v>
      </c>
      <c r="W33" s="7">
        <v>0</v>
      </c>
      <c r="X33" s="19">
        <f>+IF('Datos delta'!G33&gt;0,REASIGN('Datos delta'!G33,'Datos Protegidos'!$K33,PARTIDOS!H$8),0)</f>
        <v>0</v>
      </c>
      <c r="Y33" s="7">
        <v>0</v>
      </c>
      <c r="Z33" s="19">
        <f>+IF('Datos delta'!I33&gt;0,REASIGN('Datos delta'!I33,'Datos Protegidos'!$K33,PARTIDOS!J$8),0)</f>
        <v>89633</v>
      </c>
      <c r="AA33" s="7">
        <v>2</v>
      </c>
      <c r="AB33" s="19">
        <f>+IF('Datos delta'!K33&gt;0,REASIGN('Datos delta'!K33,'Datos Protegidos'!$K33,PARTIDOS!L$8),0)</f>
        <v>0</v>
      </c>
      <c r="AC33" s="7">
        <v>0</v>
      </c>
      <c r="AD33" s="19">
        <f>+IF('Datos delta'!M33&gt;0,REASIGN('Datos delta'!M33,'Datos Protegidos'!$K33,PARTIDOS!N$8),0)</f>
        <v>85858</v>
      </c>
      <c r="AE33" s="7">
        <v>2</v>
      </c>
      <c r="AF33" s="19">
        <f>+IF('Datos delta'!O33&gt;0,REASIGN('Datos delta'!O33,'Datos Protegidos'!$K33,PARTIDOS!P$8),0)</f>
        <v>32867</v>
      </c>
      <c r="AG33" s="7">
        <v>1</v>
      </c>
      <c r="AH33" s="19">
        <f>+IF('Datos delta'!Q33&gt;0,REASIGN('Datos delta'!Q33,'Datos Protegidos'!$K33,PARTIDOS!R$8),0)</f>
        <v>0</v>
      </c>
      <c r="AI33" s="7">
        <v>0</v>
      </c>
      <c r="AJ33" s="19">
        <f>+IF('Datos delta'!S33&gt;0,REASIGN('Datos delta'!S33,'Datos Protegidos'!$K33,PARTIDOS!T$8),0)</f>
        <v>0</v>
      </c>
      <c r="AK33" s="7">
        <v>0</v>
      </c>
      <c r="AL33" s="19">
        <f>+IF('Datos delta'!U33&gt;0,REASIGN('Datos delta'!U33,'Datos Protegidos'!$K33,PARTIDOS!V$8),0)</f>
        <v>0</v>
      </c>
      <c r="AM33" s="7">
        <v>0</v>
      </c>
      <c r="AN33" s="19">
        <f>+IF('Datos delta'!W33&gt;0,REASIGN('Datos delta'!W33,'Datos Protegidos'!$K33,PARTIDOS!X$8),0)</f>
        <v>30910</v>
      </c>
      <c r="AO33" s="7">
        <v>0</v>
      </c>
      <c r="AP33" s="19">
        <f>+IF('Datos delta'!Y33&gt;0,REASIGN('Datos delta'!Y33,'Datos Protegidos'!$K33,PARTIDOS!Z$8),0)</f>
        <v>0</v>
      </c>
      <c r="AQ33" s="7">
        <v>0</v>
      </c>
      <c r="AR33" s="19">
        <f>+IF('Datos delta'!AA33&gt;0,REASIGN('Datos delta'!AA33,'Datos Protegidos'!$K33,PARTIDOS!AB$8),0)</f>
        <v>0</v>
      </c>
      <c r="AS33" s="7">
        <v>0</v>
      </c>
      <c r="AT33" s="19">
        <f>+IF('Datos delta'!AC33&gt;0,REASIGN('Datos delta'!AC33,'Datos Protegidos'!$K33,PARTIDOS!AD$8),0)</f>
        <v>0</v>
      </c>
      <c r="AU33" s="7">
        <v>0</v>
      </c>
      <c r="AV33" s="19">
        <f>+IF('Datos delta'!AE33&gt;0,REASIGN('Datos delta'!AE33,'Datos Protegidos'!$K33,PARTIDOS!AF$8),0)</f>
        <v>0</v>
      </c>
      <c r="AW33" s="7">
        <v>0</v>
      </c>
      <c r="AX33" s="19">
        <f>+IF('Datos delta'!AG33&gt;0,REASIGN('Datos delta'!AG33,'Datos Protegidos'!$K33,PARTIDOS!AH$8),0)</f>
        <v>0</v>
      </c>
      <c r="AY33" s="7">
        <v>0</v>
      </c>
      <c r="AZ33" s="19">
        <f>+IF('Datos delta'!AI33&gt;0,REASIGN('Datos delta'!AI33,'Datos Protegidos'!$K33,PARTIDOS!AJ$8),0)</f>
        <v>0</v>
      </c>
      <c r="BA33" s="7">
        <v>0</v>
      </c>
      <c r="BB33" s="19">
        <f>+IF('Datos delta'!AK33&gt;0,REASIGN('Datos delta'!AK33,'Datos Protegidos'!$K33,PARTIDOS!AL$8),0)</f>
        <v>0</v>
      </c>
      <c r="BC33" s="7">
        <v>0</v>
      </c>
      <c r="BD33" s="19">
        <f>+IF('Datos delta'!AM33&gt;0,REASIGN('Datos delta'!AM33,'Datos Protegidos'!$K33,PARTIDOS!AN$8),0)</f>
        <v>3705</v>
      </c>
      <c r="BE33" s="7">
        <v>0</v>
      </c>
      <c r="BF33" s="19">
        <f>+IF('Datos delta'!AO33&gt;0,REASIGN('Datos delta'!AO33,'Datos Protegidos'!$K33,PARTIDOS!AP$8),0)</f>
        <v>0</v>
      </c>
      <c r="BG33" s="7">
        <v>0</v>
      </c>
      <c r="BH33" s="19">
        <f>+IF('Datos delta'!AQ33&gt;0,REASIGN('Datos delta'!AQ33,'Datos Protegidos'!$K33,PARTIDOS!AR$8),0)</f>
        <v>505</v>
      </c>
      <c r="BI33" s="7">
        <v>0</v>
      </c>
      <c r="BJ33" s="19">
        <f>+IF('Datos delta'!AS33&gt;0,REASIGN('Datos delta'!AS33,'Datos Protegidos'!$K33,PARTIDOS!AT$8),0)</f>
        <v>337</v>
      </c>
      <c r="BK33" s="7">
        <v>0</v>
      </c>
      <c r="BL33" s="19">
        <f>+IF('Datos delta'!AU33&gt;0,REASIGN('Datos delta'!AU33,'Datos Protegidos'!$K33,PARTIDOS!AV$8),0)</f>
        <v>0</v>
      </c>
      <c r="BM33" s="7">
        <v>0</v>
      </c>
      <c r="BN33" s="19">
        <f>+IF('Datos delta'!AW33&gt;0,REASIGN('Datos delta'!AW33,'Datos Protegidos'!$K33,PARTIDOS!AX$8),0)</f>
        <v>0</v>
      </c>
      <c r="BO33" s="7">
        <v>0</v>
      </c>
      <c r="BP33" s="19">
        <f>+IF('Datos delta'!AY33&gt;0,REASIGN('Datos delta'!AY33,'Datos Protegidos'!$K33,PARTIDOS!AZ$8),0)</f>
        <v>0</v>
      </c>
      <c r="BQ33" s="7">
        <v>0</v>
      </c>
      <c r="BR33" s="19">
        <f>+IF('Datos delta'!BA33&gt;0,REASIGN('Datos delta'!BA33,'Datos Protegidos'!$K33,PARTIDOS!BB$8),0)</f>
        <v>343</v>
      </c>
      <c r="BS33" s="7">
        <v>0</v>
      </c>
      <c r="BT33" s="19">
        <f>+IF('Datos delta'!BC33&gt;0,REASIGN('Datos delta'!BC33,'Datos Protegidos'!$K33,PARTIDOS!BD$8),0)</f>
        <v>331</v>
      </c>
      <c r="BU33" s="7">
        <v>0</v>
      </c>
      <c r="BV33" s="19">
        <f>+IF('Datos delta'!BE33&gt;0,REASIGN('Datos delta'!BE33,'Datos Protegidos'!$K33,PARTIDOS!BF$8),0)</f>
        <v>0</v>
      </c>
      <c r="BW33" s="7">
        <v>0</v>
      </c>
      <c r="BX33" s="19">
        <f>+IF('Datos delta'!BG33&gt;0,REASIGN('Datos delta'!BG33,'Datos Protegidos'!$K33,PARTIDOS!BH$8),0)</f>
        <v>0</v>
      </c>
      <c r="BY33" s="7">
        <v>0</v>
      </c>
      <c r="BZ33" s="19">
        <f>+IF('Datos delta'!BI33&gt;0,REASIGN('Datos delta'!BI33,'Datos Protegidos'!$K33,PARTIDOS!BJ$8),0)</f>
        <v>0</v>
      </c>
      <c r="CA33" s="7">
        <v>0</v>
      </c>
      <c r="CB33" s="19">
        <f>+IF('Datos delta'!BK33&gt;0,REASIGN('Datos delta'!BK33,'Datos Protegidos'!$K33,PARTIDOS!BL$8),0)</f>
        <v>0</v>
      </c>
      <c r="CC33" s="7">
        <v>0</v>
      </c>
      <c r="CD33" s="19">
        <f>+IF('Datos delta'!BM33&gt;0,REASIGN('Datos delta'!BM33,'Datos Protegidos'!$K33,PARTIDOS!BN$8),0)</f>
        <v>0</v>
      </c>
      <c r="CE33" s="7">
        <v>0</v>
      </c>
      <c r="CF33" s="19">
        <f>+IF('Datos delta'!BO33&gt;0,REASIGN('Datos delta'!BO33,'Datos Protegidos'!$K33,PARTIDOS!BP$8),0)</f>
        <v>0</v>
      </c>
      <c r="CG33" s="7">
        <v>0</v>
      </c>
      <c r="CH33" s="19">
        <f>+IF('Datos delta'!BQ33&gt;0,REASIGN('Datos delta'!BQ33,'Datos Protegidos'!$K33,PARTIDOS!BR$8),0)</f>
        <v>0</v>
      </c>
      <c r="CI33" s="7">
        <v>0</v>
      </c>
      <c r="CJ33" s="19">
        <f>+IF('Datos delta'!BS33&gt;0,REASIGN('Datos delta'!BS33,'Datos Protegidos'!$K33,PARTIDOS!BT$8),0)</f>
        <v>0</v>
      </c>
      <c r="CK33" s="7">
        <v>0</v>
      </c>
      <c r="CL33" s="19">
        <f>+IF('Datos delta'!BU33&gt;0,REASIGN('Datos delta'!BU33,'Datos Protegidos'!$K33,PARTIDOS!BV$8),0)</f>
        <v>0</v>
      </c>
      <c r="CM33" s="7">
        <v>0</v>
      </c>
      <c r="CN33" s="19">
        <f>+IF('Datos delta'!BW33&gt;0,REASIGN('Datos delta'!BW33,'Datos Protegidos'!$K33,PARTIDOS!BX$8),0)</f>
        <v>0</v>
      </c>
      <c r="CO33" s="7">
        <v>0</v>
      </c>
      <c r="CP33" s="19">
        <f>+IF('Datos delta'!BY33&gt;0,REASIGN('Datos delta'!BY33,'Datos Protegidos'!$K33,PARTIDOS!BZ$8),0)</f>
        <v>0</v>
      </c>
      <c r="CQ33" s="7">
        <v>0</v>
      </c>
      <c r="CR33" s="19">
        <f>+IF('Datos delta'!CA33&gt;0,REASIGN('Datos delta'!CA33,'Datos Protegidos'!$K33,PARTIDOS!CB$8),0)</f>
        <v>0</v>
      </c>
      <c r="CS33" s="7">
        <v>0</v>
      </c>
      <c r="CT33" s="19">
        <f>+IF('Datos delta'!CC33&gt;0,REASIGN('Datos delta'!CC33,'Datos Protegidos'!$K33,PARTIDOS!CD$8),0)</f>
        <v>0</v>
      </c>
      <c r="CU33" s="7">
        <v>0</v>
      </c>
      <c r="CV33" s="19">
        <f>+IF('Datos delta'!CE33&gt;0,REASIGN('Datos delta'!CE33,'Datos Protegidos'!$K33,PARTIDOS!CF$8),0)</f>
        <v>258</v>
      </c>
      <c r="CW33" s="7">
        <v>0</v>
      </c>
      <c r="CX33" s="19">
        <f>+IF('Datos delta'!CG33&gt;0,REASIGN('Datos delta'!CG33,'Datos Protegidos'!$K33,PARTIDOS!CH$8),0)</f>
        <v>0</v>
      </c>
      <c r="CY33" s="7">
        <v>0</v>
      </c>
      <c r="CZ33" s="19">
        <f>+IF('Datos delta'!CI33&gt;0,REASIGN('Datos delta'!CI33,'Datos Protegidos'!$K33,PARTIDOS!CJ$8),0)</f>
        <v>0</v>
      </c>
      <c r="DA33" s="7">
        <v>0</v>
      </c>
      <c r="DB33" s="19">
        <f>+IF('Datos delta'!CK33&gt;0,REASIGN('Datos delta'!CK33,'Datos Protegidos'!$K33,PARTIDOS!CL$8),0)</f>
        <v>0</v>
      </c>
      <c r="DC33" s="7">
        <v>0</v>
      </c>
      <c r="DD33" s="19">
        <f>+IF('Datos delta'!CM33&gt;0,REASIGN('Datos delta'!CM33,'Datos Protegidos'!$K33,PARTIDOS!CN$8),0)</f>
        <v>0</v>
      </c>
      <c r="DE33" s="7">
        <v>0</v>
      </c>
      <c r="DF33" s="19">
        <f>+IF('Datos delta'!CO33&gt;0,REASIGN('Datos delta'!CO33,'Datos Protegidos'!$K33,PARTIDOS!CP$8),0)</f>
        <v>0</v>
      </c>
      <c r="DG33" s="7">
        <v>0</v>
      </c>
      <c r="DH33" s="19">
        <f>+IF('Datos delta'!CQ33&gt;0,REASIGN('Datos delta'!CQ33,'Datos Protegidos'!$K33,PARTIDOS!CR$8),0)</f>
        <v>0</v>
      </c>
      <c r="DI33" s="7">
        <v>0</v>
      </c>
      <c r="DJ33" s="19">
        <f>+IF('Datos delta'!CS33&gt;0,REASIGN('Datos delta'!CS33,'Datos Protegidos'!$K33,PARTIDOS!CT$8),0)</f>
        <v>0</v>
      </c>
      <c r="DK33" s="7">
        <v>0</v>
      </c>
      <c r="DL33" s="19">
        <f>+IF('Datos delta'!CU33&gt;0,REASIGN('Datos delta'!CU33,'Datos Protegidos'!$K33,PARTIDOS!CV$8),0)</f>
        <v>0</v>
      </c>
      <c r="DM33" s="7">
        <v>0</v>
      </c>
      <c r="DN33" s="19">
        <f>+IF('Datos delta'!CW33&gt;0,REASIGN('Datos delta'!CW33,'Datos Protegidos'!$K33,PARTIDOS!CX$8),0)</f>
        <v>0</v>
      </c>
      <c r="DO33" s="7">
        <v>0</v>
      </c>
      <c r="DP33" s="19">
        <f>+IF('Datos delta'!CY33&gt;0,REASIGN('Datos delta'!CY33,'Datos Protegidos'!$K33,PARTIDOS!CZ$8),0)</f>
        <v>0</v>
      </c>
      <c r="DQ33" s="7">
        <v>0</v>
      </c>
      <c r="DR33" s="19">
        <f>+IF('Datos delta'!DA33&gt;0,REASIGN('Datos delta'!DA33,'Datos Protegidos'!$K33,PARTIDOS!DB$8),0)</f>
        <v>0</v>
      </c>
      <c r="DS33" s="7">
        <v>0</v>
      </c>
      <c r="DT33" s="19">
        <f>+IF('Datos delta'!DC33&gt;0,REASIGN('Datos delta'!DC33,'Datos Protegidos'!$K33,PARTIDOS!DD$8),0)</f>
        <v>0</v>
      </c>
      <c r="DU33" s="7">
        <v>0</v>
      </c>
      <c r="DV33" s="19">
        <f>+IF('Datos delta'!DE33&gt;0,REASIGN('Datos delta'!DE33,'Datos Protegidos'!$K33,PARTIDOS!DF$8),0)</f>
        <v>0</v>
      </c>
      <c r="DW33" s="7">
        <v>0</v>
      </c>
      <c r="DX33" s="19">
        <f>+IF('Datos delta'!DG33&gt;0,REASIGN('Datos delta'!DG33,'Datos Protegidos'!$K33,PARTIDOS!DH$8),0)</f>
        <v>0</v>
      </c>
      <c r="DY33" s="7">
        <v>0</v>
      </c>
      <c r="DZ33" s="19">
        <f>+IF('Datos delta'!DI33&gt;0,REASIGN('Datos delta'!DI33,'Datos Protegidos'!$K33,PARTIDOS!DJ$8),0)</f>
        <v>0</v>
      </c>
      <c r="EA33" s="7">
        <v>0</v>
      </c>
      <c r="EB33" s="19">
        <f>+IF('Datos delta'!DK33&gt;0,REASIGN('Datos delta'!DK33,'Datos Protegidos'!$K33,PARTIDOS!DL$8),0)</f>
        <v>0</v>
      </c>
      <c r="EC33" s="7">
        <v>0</v>
      </c>
      <c r="ED33" s="19">
        <f>+IF('Datos delta'!DM33&gt;0,REASIGN('Datos delta'!DM33,'Datos Protegidos'!$K33,PARTIDOS!DN$8),0)</f>
        <v>0</v>
      </c>
      <c r="EE33" s="7">
        <v>0</v>
      </c>
      <c r="EF33" s="19">
        <f>+IF('Datos delta'!DO33&gt;0,REASIGN('Datos delta'!DO33,'Datos Protegidos'!$K33,PARTIDOS!DP$8),0)</f>
        <v>0</v>
      </c>
      <c r="EG33" s="7">
        <v>0</v>
      </c>
      <c r="EH33" s="19">
        <f>+IF('Datos delta'!DQ33&gt;0,REASIGN('Datos delta'!DQ33,'Datos Protegidos'!$K33,PARTIDOS!DR$8),0)</f>
        <v>0</v>
      </c>
      <c r="EI33" s="7">
        <v>0</v>
      </c>
      <c r="EJ33" s="19">
        <f>+IF('Datos delta'!DS33&gt;0,REASIGN('Datos delta'!DS33,'Datos Protegidos'!$K33,PARTIDOS!DT$8),0)</f>
        <v>0</v>
      </c>
      <c r="EK33" s="7">
        <v>0</v>
      </c>
      <c r="EL33" s="19">
        <f>+IF('Datos delta'!DU33&gt;0,REASIGN('Datos delta'!DU33,'Datos Protegidos'!$K33,PARTIDOS!DV$8),0)</f>
        <v>0</v>
      </c>
      <c r="EM33" s="7">
        <v>0</v>
      </c>
      <c r="EN33" s="19">
        <f>+IF('Datos delta'!DW33&gt;0,REASIGN('Datos delta'!DW33,'Datos Protegidos'!$K33,PARTIDOS!DX$8),0)</f>
        <v>0</v>
      </c>
      <c r="EO33" s="7">
        <v>0</v>
      </c>
      <c r="EP33" s="19">
        <f>+IF('Datos delta'!DY33&gt;0,REASIGN('Datos delta'!DY33,'Datos Protegidos'!$K33,PARTIDOS!DZ$8),0)</f>
        <v>0</v>
      </c>
      <c r="EQ33" s="7">
        <v>0</v>
      </c>
      <c r="ER33" s="19">
        <f>+IF('Datos delta'!EA33&gt;0,REASIGN('Datos delta'!EA33,'Datos Protegidos'!$K33,PARTIDOS!EB$8),0)</f>
        <v>0</v>
      </c>
      <c r="ES33" s="7">
        <v>0</v>
      </c>
      <c r="ET33" s="19">
        <f>+IF('Datos delta'!EC33&gt;0,REASIGN('Datos delta'!EC33,'Datos Protegidos'!$K33,PARTIDOS!ED$8),0)</f>
        <v>0</v>
      </c>
      <c r="EU33" s="7">
        <v>0</v>
      </c>
    </row>
    <row r="34" spans="1:151" x14ac:dyDescent="0.25">
      <c r="A34" s="7" t="s">
        <v>53</v>
      </c>
      <c r="B34" s="8">
        <v>25</v>
      </c>
      <c r="C34" s="7" t="s">
        <v>56</v>
      </c>
      <c r="D34" s="9">
        <v>432866</v>
      </c>
      <c r="E34">
        <v>535</v>
      </c>
      <c r="F34" s="1">
        <v>297482</v>
      </c>
      <c r="G34" s="1">
        <v>16943</v>
      </c>
      <c r="H34" s="1">
        <v>314425</v>
      </c>
      <c r="I34" s="1"/>
      <c r="J34" s="1"/>
      <c r="K34" s="1"/>
      <c r="L34" s="3">
        <f t="shared" si="1"/>
        <v>206440</v>
      </c>
      <c r="M34" s="3">
        <f t="shared" si="2"/>
        <v>205065</v>
      </c>
      <c r="N34" s="6">
        <f t="shared" si="0"/>
        <v>203525</v>
      </c>
      <c r="O34" s="1">
        <v>1540</v>
      </c>
      <c r="P34" s="1">
        <v>1375</v>
      </c>
      <c r="Q34" s="6">
        <f t="shared" si="3"/>
        <v>4</v>
      </c>
      <c r="R34" s="19">
        <f>+IF('Datos delta'!A34&gt;0,REASIGN('Datos delta'!A34,'Datos Protegidos'!$K34,PARTIDOS!B$8),0)</f>
        <v>32194</v>
      </c>
      <c r="S34" s="7">
        <v>1</v>
      </c>
      <c r="T34" s="19">
        <f>+IF('Datos delta'!C34&gt;0,REASIGN('Datos delta'!C34,'Datos Protegidos'!$K34,PARTIDOS!D$8),0)</f>
        <v>20692</v>
      </c>
      <c r="U34" s="7">
        <v>0</v>
      </c>
      <c r="V34" s="19">
        <f>+IF('Datos delta'!E34&gt;0,REASIGN('Datos delta'!E34,'Datos Protegidos'!$K34,PARTIDOS!F$8),0)</f>
        <v>9498</v>
      </c>
      <c r="W34" s="7">
        <v>0</v>
      </c>
      <c r="X34" s="19">
        <f>+IF('Datos delta'!G34&gt;0,REASIGN('Datos delta'!G34,'Datos Protegidos'!$K34,PARTIDOS!H$8),0)</f>
        <v>0</v>
      </c>
      <c r="Y34" s="7">
        <v>0</v>
      </c>
      <c r="Z34" s="19">
        <f>+IF('Datos delta'!I34&gt;0,REASIGN('Datos delta'!I34,'Datos Protegidos'!$K34,PARTIDOS!J$8),0)</f>
        <v>63605</v>
      </c>
      <c r="AA34" s="7">
        <v>2</v>
      </c>
      <c r="AB34" s="19">
        <f>+IF('Datos delta'!K34&gt;0,REASIGN('Datos delta'!K34,'Datos Protegidos'!$K34,PARTIDOS!L$8),0)</f>
        <v>0</v>
      </c>
      <c r="AC34" s="7">
        <v>0</v>
      </c>
      <c r="AD34" s="19">
        <f>+IF('Datos delta'!M34&gt;0,REASIGN('Datos delta'!M34,'Datos Protegidos'!$K34,PARTIDOS!N$8),0)</f>
        <v>45603</v>
      </c>
      <c r="AE34" s="7">
        <v>1</v>
      </c>
      <c r="AF34" s="19">
        <f>+IF('Datos delta'!O34&gt;0,REASIGN('Datos delta'!O34,'Datos Protegidos'!$K34,PARTIDOS!P$8),0)</f>
        <v>15928</v>
      </c>
      <c r="AG34" s="7">
        <v>0</v>
      </c>
      <c r="AH34" s="19">
        <f>+IF('Datos delta'!Q34&gt;0,REASIGN('Datos delta'!Q34,'Datos Protegidos'!$K34,PARTIDOS!R$8),0)</f>
        <v>0</v>
      </c>
      <c r="AI34" s="7">
        <v>0</v>
      </c>
      <c r="AJ34" s="19">
        <f>+IF('Datos delta'!S34&gt;0,REASIGN('Datos delta'!S34,'Datos Protegidos'!$K34,PARTIDOS!T$8),0)</f>
        <v>0</v>
      </c>
      <c r="AK34" s="7">
        <v>0</v>
      </c>
      <c r="AL34" s="19">
        <f>+IF('Datos delta'!U34&gt;0,REASIGN('Datos delta'!U34,'Datos Protegidos'!$K34,PARTIDOS!V$8),0)</f>
        <v>0</v>
      </c>
      <c r="AM34" s="7">
        <v>0</v>
      </c>
      <c r="AN34" s="19">
        <f>+IF('Datos delta'!W34&gt;0,REASIGN('Datos delta'!W34,'Datos Protegidos'!$K34,PARTIDOS!X$8),0)</f>
        <v>13745</v>
      </c>
      <c r="AO34" s="7">
        <v>0</v>
      </c>
      <c r="AP34" s="19">
        <f>+IF('Datos delta'!Y34&gt;0,REASIGN('Datos delta'!Y34,'Datos Protegidos'!$K34,PARTIDOS!Z$8),0)</f>
        <v>0</v>
      </c>
      <c r="AQ34" s="7">
        <v>0</v>
      </c>
      <c r="AR34" s="19">
        <f>+IF('Datos delta'!AA34&gt;0,REASIGN('Datos delta'!AA34,'Datos Protegidos'!$K34,PARTIDOS!AB$8),0)</f>
        <v>0</v>
      </c>
      <c r="AS34" s="7">
        <v>0</v>
      </c>
      <c r="AT34" s="19">
        <f>+IF('Datos delta'!AC34&gt;0,REASIGN('Datos delta'!AC34,'Datos Protegidos'!$K34,PARTIDOS!AD$8),0)</f>
        <v>0</v>
      </c>
      <c r="AU34" s="7">
        <v>0</v>
      </c>
      <c r="AV34" s="19">
        <f>+IF('Datos delta'!AE34&gt;0,REASIGN('Datos delta'!AE34,'Datos Protegidos'!$K34,PARTIDOS!AF$8),0)</f>
        <v>0</v>
      </c>
      <c r="AW34" s="7">
        <v>0</v>
      </c>
      <c r="AX34" s="19">
        <f>+IF('Datos delta'!AG34&gt;0,REASIGN('Datos delta'!AG34,'Datos Protegidos'!$K34,PARTIDOS!AH$8),0)</f>
        <v>0</v>
      </c>
      <c r="AY34" s="7">
        <v>0</v>
      </c>
      <c r="AZ34" s="19">
        <f>+IF('Datos delta'!AI34&gt;0,REASIGN('Datos delta'!AI34,'Datos Protegidos'!$K34,PARTIDOS!AJ$8),0)</f>
        <v>0</v>
      </c>
      <c r="BA34" s="7">
        <v>0</v>
      </c>
      <c r="BB34" s="19">
        <f>+IF('Datos delta'!AK34&gt;0,REASIGN('Datos delta'!AK34,'Datos Protegidos'!$K34,PARTIDOS!AL$8),0)</f>
        <v>0</v>
      </c>
      <c r="BC34" s="7">
        <v>0</v>
      </c>
      <c r="BD34" s="19">
        <f>+IF('Datos delta'!AM34&gt;0,REASIGN('Datos delta'!AM34,'Datos Protegidos'!$K34,PARTIDOS!AN$8),0)</f>
        <v>1513</v>
      </c>
      <c r="BE34" s="7">
        <v>0</v>
      </c>
      <c r="BF34" s="19">
        <f>+IF('Datos delta'!AO34&gt;0,REASIGN('Datos delta'!AO34,'Datos Protegidos'!$K34,PARTIDOS!AP$8),0)</f>
        <v>0</v>
      </c>
      <c r="BG34" s="7">
        <v>0</v>
      </c>
      <c r="BH34" s="19">
        <f>+IF('Datos delta'!AQ34&gt;0,REASIGN('Datos delta'!AQ34,'Datos Protegidos'!$K34,PARTIDOS!AR$8),0)</f>
        <v>182</v>
      </c>
      <c r="BI34" s="7">
        <v>0</v>
      </c>
      <c r="BJ34" s="19">
        <f>+IF('Datos delta'!AS34&gt;0,REASIGN('Datos delta'!AS34,'Datos Protegidos'!$K34,PARTIDOS!AT$8),0)</f>
        <v>168</v>
      </c>
      <c r="BK34" s="7">
        <v>0</v>
      </c>
      <c r="BL34" s="19">
        <f>+IF('Datos delta'!AU34&gt;0,REASIGN('Datos delta'!AU34,'Datos Protegidos'!$K34,PARTIDOS!AV$8),0)</f>
        <v>0</v>
      </c>
      <c r="BM34" s="7">
        <v>0</v>
      </c>
      <c r="BN34" s="19">
        <f>+IF('Datos delta'!AW34&gt;0,REASIGN('Datos delta'!AW34,'Datos Protegidos'!$K34,PARTIDOS!AX$8),0)</f>
        <v>0</v>
      </c>
      <c r="BO34" s="7">
        <v>0</v>
      </c>
      <c r="BP34" s="19">
        <f>+IF('Datos delta'!AY34&gt;0,REASIGN('Datos delta'!AY34,'Datos Protegidos'!$K34,PARTIDOS!AZ$8),0)</f>
        <v>0</v>
      </c>
      <c r="BQ34" s="7">
        <v>0</v>
      </c>
      <c r="BR34" s="19">
        <f>+IF('Datos delta'!BA34&gt;0,REASIGN('Datos delta'!BA34,'Datos Protegidos'!$K34,PARTIDOS!BB$8),0)</f>
        <v>135</v>
      </c>
      <c r="BS34" s="7">
        <v>0</v>
      </c>
      <c r="BT34" s="19">
        <f>+IF('Datos delta'!BC34&gt;0,REASIGN('Datos delta'!BC34,'Datos Protegidos'!$K34,PARTIDOS!BD$8),0)</f>
        <v>132</v>
      </c>
      <c r="BU34" s="7">
        <v>0</v>
      </c>
      <c r="BV34" s="19">
        <f>+IF('Datos delta'!BE34&gt;0,REASIGN('Datos delta'!BE34,'Datos Protegidos'!$K34,PARTIDOS!BF$8),0)</f>
        <v>0</v>
      </c>
      <c r="BW34" s="7">
        <v>0</v>
      </c>
      <c r="BX34" s="19">
        <f>+IF('Datos delta'!BG34&gt;0,REASIGN('Datos delta'!BG34,'Datos Protegidos'!$K34,PARTIDOS!BH$8),0)</f>
        <v>0</v>
      </c>
      <c r="BY34" s="7">
        <v>0</v>
      </c>
      <c r="BZ34" s="19">
        <f>+IF('Datos delta'!BI34&gt;0,REASIGN('Datos delta'!BI34,'Datos Protegidos'!$K34,PARTIDOS!BJ$8),0)</f>
        <v>0</v>
      </c>
      <c r="CA34" s="7">
        <v>0</v>
      </c>
      <c r="CB34" s="19">
        <f>+IF('Datos delta'!BK34&gt;0,REASIGN('Datos delta'!BK34,'Datos Protegidos'!$K34,PARTIDOS!BL$8),0)</f>
        <v>0</v>
      </c>
      <c r="CC34" s="7">
        <v>0</v>
      </c>
      <c r="CD34" s="19">
        <f>+IF('Datos delta'!BM34&gt;0,REASIGN('Datos delta'!BM34,'Datos Protegidos'!$K34,PARTIDOS!BN$8),0)</f>
        <v>0</v>
      </c>
      <c r="CE34" s="7">
        <v>0</v>
      </c>
      <c r="CF34" s="19">
        <f>+IF('Datos delta'!BO34&gt;0,REASIGN('Datos delta'!BO34,'Datos Protegidos'!$K34,PARTIDOS!BP$8),0)</f>
        <v>0</v>
      </c>
      <c r="CG34" s="7">
        <v>0</v>
      </c>
      <c r="CH34" s="19">
        <f>+IF('Datos delta'!BQ34&gt;0,REASIGN('Datos delta'!BQ34,'Datos Protegidos'!$K34,PARTIDOS!BR$8),0)</f>
        <v>0</v>
      </c>
      <c r="CI34" s="7">
        <v>0</v>
      </c>
      <c r="CJ34" s="19">
        <f>+IF('Datos delta'!BS34&gt;0,REASIGN('Datos delta'!BS34,'Datos Protegidos'!$K34,PARTIDOS!BT$8),0)</f>
        <v>0</v>
      </c>
      <c r="CK34" s="7">
        <v>0</v>
      </c>
      <c r="CL34" s="19">
        <f>+IF('Datos delta'!BU34&gt;0,REASIGN('Datos delta'!BU34,'Datos Protegidos'!$K34,PARTIDOS!BV$8),0)</f>
        <v>0</v>
      </c>
      <c r="CM34" s="7">
        <v>0</v>
      </c>
      <c r="CN34" s="19">
        <f>+IF('Datos delta'!BW34&gt;0,REASIGN('Datos delta'!BW34,'Datos Protegidos'!$K34,PARTIDOS!BX$8),0)</f>
        <v>0</v>
      </c>
      <c r="CO34" s="7">
        <v>0</v>
      </c>
      <c r="CP34" s="19">
        <f>+IF('Datos delta'!BY34&gt;0,REASIGN('Datos delta'!BY34,'Datos Protegidos'!$K34,PARTIDOS!BZ$8),0)</f>
        <v>0</v>
      </c>
      <c r="CQ34" s="7">
        <v>0</v>
      </c>
      <c r="CR34" s="19">
        <f>+IF('Datos delta'!CA34&gt;0,REASIGN('Datos delta'!CA34,'Datos Protegidos'!$K34,PARTIDOS!CB$8),0)</f>
        <v>0</v>
      </c>
      <c r="CS34" s="7">
        <v>0</v>
      </c>
      <c r="CT34" s="19">
        <f>+IF('Datos delta'!CC34&gt;0,REASIGN('Datos delta'!CC34,'Datos Protegidos'!$K34,PARTIDOS!CD$8),0)</f>
        <v>0</v>
      </c>
      <c r="CU34" s="7">
        <v>0</v>
      </c>
      <c r="CV34" s="19">
        <f>+IF('Datos delta'!CE34&gt;0,REASIGN('Datos delta'!CE34,'Datos Protegidos'!$K34,PARTIDOS!CF$8),0)</f>
        <v>130</v>
      </c>
      <c r="CW34" s="7">
        <v>0</v>
      </c>
      <c r="CX34" s="19">
        <f>+IF('Datos delta'!CG34&gt;0,REASIGN('Datos delta'!CG34,'Datos Protegidos'!$K34,PARTIDOS!CH$8),0)</f>
        <v>0</v>
      </c>
      <c r="CY34" s="7">
        <v>0</v>
      </c>
      <c r="CZ34" s="19">
        <f>+IF('Datos delta'!CI34&gt;0,REASIGN('Datos delta'!CI34,'Datos Protegidos'!$K34,PARTIDOS!CJ$8),0)</f>
        <v>0</v>
      </c>
      <c r="DA34" s="7">
        <v>0</v>
      </c>
      <c r="DB34" s="19">
        <f>+IF('Datos delta'!CK34&gt;0,REASIGN('Datos delta'!CK34,'Datos Protegidos'!$K34,PARTIDOS!CL$8),0)</f>
        <v>0</v>
      </c>
      <c r="DC34" s="7">
        <v>0</v>
      </c>
      <c r="DD34" s="19">
        <f>+IF('Datos delta'!CM34&gt;0,REASIGN('Datos delta'!CM34,'Datos Protegidos'!$K34,PARTIDOS!CN$8),0)</f>
        <v>0</v>
      </c>
      <c r="DE34" s="7">
        <v>0</v>
      </c>
      <c r="DF34" s="19">
        <f>+IF('Datos delta'!CO34&gt;0,REASIGN('Datos delta'!CO34,'Datos Protegidos'!$K34,PARTIDOS!CP$8),0)</f>
        <v>0</v>
      </c>
      <c r="DG34" s="7">
        <v>0</v>
      </c>
      <c r="DH34" s="19">
        <f>+IF('Datos delta'!CQ34&gt;0,REASIGN('Datos delta'!CQ34,'Datos Protegidos'!$K34,PARTIDOS!CR$8),0)</f>
        <v>0</v>
      </c>
      <c r="DI34" s="7">
        <v>0</v>
      </c>
      <c r="DJ34" s="19">
        <f>+IF('Datos delta'!CS34&gt;0,REASIGN('Datos delta'!CS34,'Datos Protegidos'!$K34,PARTIDOS!CT$8),0)</f>
        <v>0</v>
      </c>
      <c r="DK34" s="7">
        <v>0</v>
      </c>
      <c r="DL34" s="19">
        <f>+IF('Datos delta'!CU34&gt;0,REASIGN('Datos delta'!CU34,'Datos Protegidos'!$K34,PARTIDOS!CV$8),0)</f>
        <v>0</v>
      </c>
      <c r="DM34" s="7">
        <v>0</v>
      </c>
      <c r="DN34" s="19">
        <f>+IF('Datos delta'!CW34&gt;0,REASIGN('Datos delta'!CW34,'Datos Protegidos'!$K34,PARTIDOS!CX$8),0)</f>
        <v>0</v>
      </c>
      <c r="DO34" s="7">
        <v>0</v>
      </c>
      <c r="DP34" s="19">
        <f>+IF('Datos delta'!CY34&gt;0,REASIGN('Datos delta'!CY34,'Datos Protegidos'!$K34,PARTIDOS!CZ$8),0)</f>
        <v>0</v>
      </c>
      <c r="DQ34" s="7">
        <v>0</v>
      </c>
      <c r="DR34" s="19">
        <f>+IF('Datos delta'!DA34&gt;0,REASIGN('Datos delta'!DA34,'Datos Protegidos'!$K34,PARTIDOS!DB$8),0)</f>
        <v>0</v>
      </c>
      <c r="DS34" s="7">
        <v>0</v>
      </c>
      <c r="DT34" s="19">
        <f>+IF('Datos delta'!DC34&gt;0,REASIGN('Datos delta'!DC34,'Datos Protegidos'!$K34,PARTIDOS!DD$8),0)</f>
        <v>0</v>
      </c>
      <c r="DU34" s="7">
        <v>0</v>
      </c>
      <c r="DV34" s="19">
        <f>+IF('Datos delta'!DE34&gt;0,REASIGN('Datos delta'!DE34,'Datos Protegidos'!$K34,PARTIDOS!DF$8),0)</f>
        <v>0</v>
      </c>
      <c r="DW34" s="7">
        <v>0</v>
      </c>
      <c r="DX34" s="19">
        <f>+IF('Datos delta'!DG34&gt;0,REASIGN('Datos delta'!DG34,'Datos Protegidos'!$K34,PARTIDOS!DH$8),0)</f>
        <v>0</v>
      </c>
      <c r="DY34" s="7">
        <v>0</v>
      </c>
      <c r="DZ34" s="19">
        <f>+IF('Datos delta'!DI34&gt;0,REASIGN('Datos delta'!DI34,'Datos Protegidos'!$K34,PARTIDOS!DJ$8),0)</f>
        <v>0</v>
      </c>
      <c r="EA34" s="7">
        <v>0</v>
      </c>
      <c r="EB34" s="19">
        <f>+IF('Datos delta'!DK34&gt;0,REASIGN('Datos delta'!DK34,'Datos Protegidos'!$K34,PARTIDOS!DL$8),0)</f>
        <v>0</v>
      </c>
      <c r="EC34" s="7">
        <v>0</v>
      </c>
      <c r="ED34" s="19">
        <f>+IF('Datos delta'!DM34&gt;0,REASIGN('Datos delta'!DM34,'Datos Protegidos'!$K34,PARTIDOS!DN$8),0)</f>
        <v>0</v>
      </c>
      <c r="EE34" s="7">
        <v>0</v>
      </c>
      <c r="EF34" s="19">
        <f>+IF('Datos delta'!DO34&gt;0,REASIGN('Datos delta'!DO34,'Datos Protegidos'!$K34,PARTIDOS!DP$8),0)</f>
        <v>0</v>
      </c>
      <c r="EG34" s="7">
        <v>0</v>
      </c>
      <c r="EH34" s="19">
        <f>+IF('Datos delta'!DQ34&gt;0,REASIGN('Datos delta'!DQ34,'Datos Protegidos'!$K34,PARTIDOS!DR$8),0)</f>
        <v>0</v>
      </c>
      <c r="EI34" s="7">
        <v>0</v>
      </c>
      <c r="EJ34" s="19">
        <f>+IF('Datos delta'!DS34&gt;0,REASIGN('Datos delta'!DS34,'Datos Protegidos'!$K34,PARTIDOS!DT$8),0)</f>
        <v>0</v>
      </c>
      <c r="EK34" s="7">
        <v>0</v>
      </c>
      <c r="EL34" s="19">
        <f>+IF('Datos delta'!DU34&gt;0,REASIGN('Datos delta'!DU34,'Datos Protegidos'!$K34,PARTIDOS!DV$8),0)</f>
        <v>0</v>
      </c>
      <c r="EM34" s="7">
        <v>0</v>
      </c>
      <c r="EN34" s="19">
        <f>+IF('Datos delta'!DW34&gt;0,REASIGN('Datos delta'!DW34,'Datos Protegidos'!$K34,PARTIDOS!DX$8),0)</f>
        <v>0</v>
      </c>
      <c r="EO34" s="7">
        <v>0</v>
      </c>
      <c r="EP34" s="19">
        <f>+IF('Datos delta'!DY34&gt;0,REASIGN('Datos delta'!DY34,'Datos Protegidos'!$K34,PARTIDOS!DZ$8),0)</f>
        <v>0</v>
      </c>
      <c r="EQ34" s="7">
        <v>0</v>
      </c>
      <c r="ER34" s="19">
        <f>+IF('Datos delta'!EA34&gt;0,REASIGN('Datos delta'!EA34,'Datos Protegidos'!$K34,PARTIDOS!EB$8),0)</f>
        <v>0</v>
      </c>
      <c r="ES34" s="7">
        <v>0</v>
      </c>
      <c r="ET34" s="19">
        <f>+IF('Datos delta'!EC34&gt;0,REASIGN('Datos delta'!EC34,'Datos Protegidos'!$K34,PARTIDOS!ED$8),0)</f>
        <v>0</v>
      </c>
      <c r="EU34" s="7">
        <v>0</v>
      </c>
    </row>
    <row r="35" spans="1:151" x14ac:dyDescent="0.25">
      <c r="A35" s="7" t="s">
        <v>53</v>
      </c>
      <c r="B35" s="8">
        <v>43</v>
      </c>
      <c r="C35" s="7" t="s">
        <v>57</v>
      </c>
      <c r="D35" s="9">
        <v>795902</v>
      </c>
      <c r="E35" s="1">
        <v>1011</v>
      </c>
      <c r="F35" s="1">
        <v>556270</v>
      </c>
      <c r="G35" s="1">
        <v>18596</v>
      </c>
      <c r="H35" s="1">
        <v>574866</v>
      </c>
      <c r="I35" s="1"/>
      <c r="J35" s="1"/>
      <c r="K35" s="1"/>
      <c r="L35" s="3">
        <f t="shared" si="1"/>
        <v>385237</v>
      </c>
      <c r="M35" s="3">
        <f t="shared" si="2"/>
        <v>382568</v>
      </c>
      <c r="N35" s="6">
        <f t="shared" si="0"/>
        <v>379853</v>
      </c>
      <c r="O35" s="1">
        <v>2715</v>
      </c>
      <c r="P35" s="1">
        <v>2669</v>
      </c>
      <c r="Q35" s="6">
        <f t="shared" si="3"/>
        <v>6</v>
      </c>
      <c r="R35" s="19">
        <f>+IF('Datos delta'!A35&gt;0,REASIGN('Datos delta'!A35,'Datos Protegidos'!$K35,PARTIDOS!B$8),0)</f>
        <v>79604</v>
      </c>
      <c r="S35" s="7">
        <v>2</v>
      </c>
      <c r="T35" s="19">
        <f>+IF('Datos delta'!C35&gt;0,REASIGN('Datos delta'!C35,'Datos Protegidos'!$K35,PARTIDOS!D$8),0)</f>
        <v>48772</v>
      </c>
      <c r="U35" s="7">
        <v>0</v>
      </c>
      <c r="V35" s="19">
        <f>+IF('Datos delta'!E35&gt;0,REASIGN('Datos delta'!E35,'Datos Protegidos'!$K35,PARTIDOS!F$8),0)</f>
        <v>31746</v>
      </c>
      <c r="W35" s="7">
        <v>0</v>
      </c>
      <c r="X35" s="19">
        <f>+IF('Datos delta'!G35&gt;0,REASIGN('Datos delta'!G35,'Datos Protegidos'!$K35,PARTIDOS!H$8),0)</f>
        <v>0</v>
      </c>
      <c r="Y35" s="7">
        <v>0</v>
      </c>
      <c r="Z35" s="19">
        <f>+IF('Datos delta'!I35&gt;0,REASIGN('Datos delta'!I35,'Datos Protegidos'!$K35,PARTIDOS!J$8),0)</f>
        <v>96312</v>
      </c>
      <c r="AA35" s="7">
        <v>2</v>
      </c>
      <c r="AB35" s="19">
        <f>+IF('Datos delta'!K35&gt;0,REASIGN('Datos delta'!K35,'Datos Protegidos'!$K35,PARTIDOS!L$8),0)</f>
        <v>0</v>
      </c>
      <c r="AC35" s="7">
        <v>0</v>
      </c>
      <c r="AD35" s="19">
        <f>+IF('Datos delta'!M35&gt;0,REASIGN('Datos delta'!M35,'Datos Protegidos'!$K35,PARTIDOS!N$8),0)</f>
        <v>50174</v>
      </c>
      <c r="AE35" s="7">
        <v>1</v>
      </c>
      <c r="AF35" s="19">
        <f>+IF('Datos delta'!O35&gt;0,REASIGN('Datos delta'!O35,'Datos Protegidos'!$K35,PARTIDOS!P$8),0)</f>
        <v>45477</v>
      </c>
      <c r="AG35" s="7">
        <v>1</v>
      </c>
      <c r="AH35" s="19">
        <f>+IF('Datos delta'!Q35&gt;0,REASIGN('Datos delta'!Q35,'Datos Protegidos'!$K35,PARTIDOS!R$8),0)</f>
        <v>0</v>
      </c>
      <c r="AI35" s="7">
        <v>0</v>
      </c>
      <c r="AJ35" s="19">
        <f>+IF('Datos delta'!S35&gt;0,REASIGN('Datos delta'!S35,'Datos Protegidos'!$K35,PARTIDOS!T$8),0)</f>
        <v>0</v>
      </c>
      <c r="AK35" s="7">
        <v>0</v>
      </c>
      <c r="AL35" s="19">
        <f>+IF('Datos delta'!U35&gt;0,REASIGN('Datos delta'!U35,'Datos Protegidos'!$K35,PARTIDOS!V$8),0)</f>
        <v>0</v>
      </c>
      <c r="AM35" s="7">
        <v>0</v>
      </c>
      <c r="AN35" s="19">
        <f>+IF('Datos delta'!W35&gt;0,REASIGN('Datos delta'!W35,'Datos Protegidos'!$K35,PARTIDOS!X$8),0)</f>
        <v>21575</v>
      </c>
      <c r="AO35" s="7">
        <v>0</v>
      </c>
      <c r="AP35" s="19">
        <f>+IF('Datos delta'!Y35&gt;0,REASIGN('Datos delta'!Y35,'Datos Protegidos'!$K35,PARTIDOS!Z$8),0)</f>
        <v>0</v>
      </c>
      <c r="AQ35" s="7">
        <v>0</v>
      </c>
      <c r="AR35" s="19">
        <f>+IF('Datos delta'!AA35&gt;0,REASIGN('Datos delta'!AA35,'Datos Protegidos'!$K35,PARTIDOS!AB$8),0)</f>
        <v>0</v>
      </c>
      <c r="AS35" s="7">
        <v>0</v>
      </c>
      <c r="AT35" s="19">
        <f>+IF('Datos delta'!AC35&gt;0,REASIGN('Datos delta'!AC35,'Datos Protegidos'!$K35,PARTIDOS!AD$8),0)</f>
        <v>0</v>
      </c>
      <c r="AU35" s="7">
        <v>0</v>
      </c>
      <c r="AV35" s="19">
        <f>+IF('Datos delta'!AE35&gt;0,REASIGN('Datos delta'!AE35,'Datos Protegidos'!$K35,PARTIDOS!AF$8),0)</f>
        <v>0</v>
      </c>
      <c r="AW35" s="7">
        <v>0</v>
      </c>
      <c r="AX35" s="19">
        <f>+IF('Datos delta'!AG35&gt;0,REASIGN('Datos delta'!AG35,'Datos Protegidos'!$K35,PARTIDOS!AH$8),0)</f>
        <v>0</v>
      </c>
      <c r="AY35" s="7">
        <v>0</v>
      </c>
      <c r="AZ35" s="19">
        <f>+IF('Datos delta'!AI35&gt;0,REASIGN('Datos delta'!AI35,'Datos Protegidos'!$K35,PARTIDOS!AJ$8),0)</f>
        <v>0</v>
      </c>
      <c r="BA35" s="7">
        <v>0</v>
      </c>
      <c r="BB35" s="19">
        <f>+IF('Datos delta'!AK35&gt;0,REASIGN('Datos delta'!AK35,'Datos Protegidos'!$K35,PARTIDOS!AL$8),0)</f>
        <v>0</v>
      </c>
      <c r="BC35" s="7">
        <v>0</v>
      </c>
      <c r="BD35" s="19">
        <f>+IF('Datos delta'!AM35&gt;0,REASIGN('Datos delta'!AM35,'Datos Protegidos'!$K35,PARTIDOS!AN$8),0)</f>
        <v>4565</v>
      </c>
      <c r="BE35" s="7">
        <v>0</v>
      </c>
      <c r="BF35" s="19">
        <f>+IF('Datos delta'!AO35&gt;0,REASIGN('Datos delta'!AO35,'Datos Protegidos'!$K35,PARTIDOS!AP$8),0)</f>
        <v>0</v>
      </c>
      <c r="BG35" s="7">
        <v>0</v>
      </c>
      <c r="BH35" s="19">
        <f>+IF('Datos delta'!AQ35&gt;0,REASIGN('Datos delta'!AQ35,'Datos Protegidos'!$K35,PARTIDOS!AR$8),0)</f>
        <v>530</v>
      </c>
      <c r="BI35" s="7">
        <v>0</v>
      </c>
      <c r="BJ35" s="19">
        <f>+IF('Datos delta'!AS35&gt;0,REASIGN('Datos delta'!AS35,'Datos Protegidos'!$K35,PARTIDOS!AT$8),0)</f>
        <v>349</v>
      </c>
      <c r="BK35" s="7">
        <v>0</v>
      </c>
      <c r="BL35" s="19">
        <f>+IF('Datos delta'!AU35&gt;0,REASIGN('Datos delta'!AU35,'Datos Protegidos'!$K35,PARTIDOS!AV$8),0)</f>
        <v>0</v>
      </c>
      <c r="BM35" s="7">
        <v>0</v>
      </c>
      <c r="BN35" s="19">
        <f>+IF('Datos delta'!AW35&gt;0,REASIGN('Datos delta'!AW35,'Datos Protegidos'!$K35,PARTIDOS!AX$8),0)</f>
        <v>0</v>
      </c>
      <c r="BO35" s="7">
        <v>0</v>
      </c>
      <c r="BP35" s="19">
        <f>+IF('Datos delta'!AY35&gt;0,REASIGN('Datos delta'!AY35,'Datos Protegidos'!$K35,PARTIDOS!AZ$8),0)</f>
        <v>0</v>
      </c>
      <c r="BQ35" s="7">
        <v>0</v>
      </c>
      <c r="BR35" s="19">
        <f>+IF('Datos delta'!BA35&gt;0,REASIGN('Datos delta'!BA35,'Datos Protegidos'!$K35,PARTIDOS!BB$8),0)</f>
        <v>189</v>
      </c>
      <c r="BS35" s="7">
        <v>0</v>
      </c>
      <c r="BT35" s="19">
        <f>+IF('Datos delta'!BC35&gt;0,REASIGN('Datos delta'!BC35,'Datos Protegidos'!$K35,PARTIDOS!BD$8),0)</f>
        <v>200</v>
      </c>
      <c r="BU35" s="7">
        <v>0</v>
      </c>
      <c r="BV35" s="19">
        <f>+IF('Datos delta'!BE35&gt;0,REASIGN('Datos delta'!BE35,'Datos Protegidos'!$K35,PARTIDOS!BF$8),0)</f>
        <v>0</v>
      </c>
      <c r="BW35" s="7">
        <v>0</v>
      </c>
      <c r="BX35" s="19">
        <f>+IF('Datos delta'!BG35&gt;0,REASIGN('Datos delta'!BG35,'Datos Protegidos'!$K35,PARTIDOS!BH$8),0)</f>
        <v>0</v>
      </c>
      <c r="BY35" s="7">
        <v>0</v>
      </c>
      <c r="BZ35" s="19">
        <f>+IF('Datos delta'!BI35&gt;0,REASIGN('Datos delta'!BI35,'Datos Protegidos'!$K35,PARTIDOS!BJ$8),0)</f>
        <v>0</v>
      </c>
      <c r="CA35" s="7">
        <v>0</v>
      </c>
      <c r="CB35" s="19">
        <f>+IF('Datos delta'!BK35&gt;0,REASIGN('Datos delta'!BK35,'Datos Protegidos'!$K35,PARTIDOS!BL$8),0)</f>
        <v>0</v>
      </c>
      <c r="CC35" s="7">
        <v>0</v>
      </c>
      <c r="CD35" s="19">
        <f>+IF('Datos delta'!BM35&gt;0,REASIGN('Datos delta'!BM35,'Datos Protegidos'!$K35,PARTIDOS!BN$8),0)</f>
        <v>0</v>
      </c>
      <c r="CE35" s="7">
        <v>0</v>
      </c>
      <c r="CF35" s="19">
        <f>+IF('Datos delta'!BO35&gt;0,REASIGN('Datos delta'!BO35,'Datos Protegidos'!$K35,PARTIDOS!BP$8),0)</f>
        <v>0</v>
      </c>
      <c r="CG35" s="7">
        <v>0</v>
      </c>
      <c r="CH35" s="19">
        <f>+IF('Datos delta'!BQ35&gt;0,REASIGN('Datos delta'!BQ35,'Datos Protegidos'!$K35,PARTIDOS!BR$8),0)</f>
        <v>0</v>
      </c>
      <c r="CI35" s="7">
        <v>0</v>
      </c>
      <c r="CJ35" s="19">
        <f>+IF('Datos delta'!BS35&gt;0,REASIGN('Datos delta'!BS35,'Datos Protegidos'!$K35,PARTIDOS!BT$8),0)</f>
        <v>0</v>
      </c>
      <c r="CK35" s="7">
        <v>0</v>
      </c>
      <c r="CL35" s="19">
        <f>+IF('Datos delta'!BU35&gt;0,REASIGN('Datos delta'!BU35,'Datos Protegidos'!$K35,PARTIDOS!BV$8),0)</f>
        <v>0</v>
      </c>
      <c r="CM35" s="7">
        <v>0</v>
      </c>
      <c r="CN35" s="19">
        <f>+IF('Datos delta'!BW35&gt;0,REASIGN('Datos delta'!BW35,'Datos Protegidos'!$K35,PARTIDOS!BX$8),0)</f>
        <v>0</v>
      </c>
      <c r="CO35" s="7">
        <v>0</v>
      </c>
      <c r="CP35" s="19">
        <f>+IF('Datos delta'!BY35&gt;0,REASIGN('Datos delta'!BY35,'Datos Protegidos'!$K35,PARTIDOS!BZ$8),0)</f>
        <v>0</v>
      </c>
      <c r="CQ35" s="7">
        <v>0</v>
      </c>
      <c r="CR35" s="19">
        <f>+IF('Datos delta'!CA35&gt;0,REASIGN('Datos delta'!CA35,'Datos Protegidos'!$K35,PARTIDOS!CB$8),0)</f>
        <v>0</v>
      </c>
      <c r="CS35" s="7">
        <v>0</v>
      </c>
      <c r="CT35" s="19">
        <f>+IF('Datos delta'!CC35&gt;0,REASIGN('Datos delta'!CC35,'Datos Protegidos'!$K35,PARTIDOS!CD$8),0)</f>
        <v>0</v>
      </c>
      <c r="CU35" s="7">
        <v>0</v>
      </c>
      <c r="CV35" s="19">
        <f>+IF('Datos delta'!CE35&gt;0,REASIGN('Datos delta'!CE35,'Datos Protegidos'!$K35,PARTIDOS!CF$8),0)</f>
        <v>360</v>
      </c>
      <c r="CW35" s="7">
        <v>0</v>
      </c>
      <c r="CX35" s="19">
        <f>+IF('Datos delta'!CG35&gt;0,REASIGN('Datos delta'!CG35,'Datos Protegidos'!$K35,PARTIDOS!CH$8),0)</f>
        <v>0</v>
      </c>
      <c r="CY35" s="7">
        <v>0</v>
      </c>
      <c r="CZ35" s="19">
        <f>+IF('Datos delta'!CI35&gt;0,REASIGN('Datos delta'!CI35,'Datos Protegidos'!$K35,PARTIDOS!CJ$8),0)</f>
        <v>0</v>
      </c>
      <c r="DA35" s="7">
        <v>0</v>
      </c>
      <c r="DB35" s="19">
        <f>+IF('Datos delta'!CK35&gt;0,REASIGN('Datos delta'!CK35,'Datos Protegidos'!$K35,PARTIDOS!CL$8),0)</f>
        <v>0</v>
      </c>
      <c r="DC35" s="7">
        <v>0</v>
      </c>
      <c r="DD35" s="19">
        <f>+IF('Datos delta'!CM35&gt;0,REASIGN('Datos delta'!CM35,'Datos Protegidos'!$K35,PARTIDOS!CN$8),0)</f>
        <v>0</v>
      </c>
      <c r="DE35" s="7">
        <v>0</v>
      </c>
      <c r="DF35" s="19">
        <f>+IF('Datos delta'!CO35&gt;0,REASIGN('Datos delta'!CO35,'Datos Protegidos'!$K35,PARTIDOS!CP$8),0)</f>
        <v>0</v>
      </c>
      <c r="DG35" s="7">
        <v>0</v>
      </c>
      <c r="DH35" s="19">
        <f>+IF('Datos delta'!CQ35&gt;0,REASIGN('Datos delta'!CQ35,'Datos Protegidos'!$K35,PARTIDOS!CR$8),0)</f>
        <v>0</v>
      </c>
      <c r="DI35" s="7">
        <v>0</v>
      </c>
      <c r="DJ35" s="19">
        <f>+IF('Datos delta'!CS35&gt;0,REASIGN('Datos delta'!CS35,'Datos Protegidos'!$K35,PARTIDOS!CT$8),0)</f>
        <v>0</v>
      </c>
      <c r="DK35" s="7">
        <v>0</v>
      </c>
      <c r="DL35" s="19">
        <f>+IF('Datos delta'!CU35&gt;0,REASIGN('Datos delta'!CU35,'Datos Protegidos'!$K35,PARTIDOS!CV$8),0)</f>
        <v>0</v>
      </c>
      <c r="DM35" s="7">
        <v>0</v>
      </c>
      <c r="DN35" s="19">
        <f>+IF('Datos delta'!CW35&gt;0,REASIGN('Datos delta'!CW35,'Datos Protegidos'!$K35,PARTIDOS!CX$8),0)</f>
        <v>0</v>
      </c>
      <c r="DO35" s="7">
        <v>0</v>
      </c>
      <c r="DP35" s="19">
        <f>+IF('Datos delta'!CY35&gt;0,REASIGN('Datos delta'!CY35,'Datos Protegidos'!$K35,PARTIDOS!CZ$8),0)</f>
        <v>0</v>
      </c>
      <c r="DQ35" s="7">
        <v>0</v>
      </c>
      <c r="DR35" s="19">
        <f>+IF('Datos delta'!DA35&gt;0,REASIGN('Datos delta'!DA35,'Datos Protegidos'!$K35,PARTIDOS!DB$8),0)</f>
        <v>0</v>
      </c>
      <c r="DS35" s="7">
        <v>0</v>
      </c>
      <c r="DT35" s="19">
        <f>+IF('Datos delta'!DC35&gt;0,REASIGN('Datos delta'!DC35,'Datos Protegidos'!$K35,PARTIDOS!DD$8),0)</f>
        <v>0</v>
      </c>
      <c r="DU35" s="7">
        <v>0</v>
      </c>
      <c r="DV35" s="19">
        <f>+IF('Datos delta'!DE35&gt;0,REASIGN('Datos delta'!DE35,'Datos Protegidos'!$K35,PARTIDOS!DF$8),0)</f>
        <v>0</v>
      </c>
      <c r="DW35" s="7">
        <v>0</v>
      </c>
      <c r="DX35" s="19">
        <f>+IF('Datos delta'!DG35&gt;0,REASIGN('Datos delta'!DG35,'Datos Protegidos'!$K35,PARTIDOS!DH$8),0)</f>
        <v>0</v>
      </c>
      <c r="DY35" s="7">
        <v>0</v>
      </c>
      <c r="DZ35" s="19">
        <f>+IF('Datos delta'!DI35&gt;0,REASIGN('Datos delta'!DI35,'Datos Protegidos'!$K35,PARTIDOS!DJ$8),0)</f>
        <v>0</v>
      </c>
      <c r="EA35" s="7">
        <v>0</v>
      </c>
      <c r="EB35" s="19">
        <f>+IF('Datos delta'!DK35&gt;0,REASIGN('Datos delta'!DK35,'Datos Protegidos'!$K35,PARTIDOS!DL$8),0)</f>
        <v>0</v>
      </c>
      <c r="EC35" s="7">
        <v>0</v>
      </c>
      <c r="ED35" s="19">
        <f>+IF('Datos delta'!DM35&gt;0,REASIGN('Datos delta'!DM35,'Datos Protegidos'!$K35,PARTIDOS!DN$8),0)</f>
        <v>0</v>
      </c>
      <c r="EE35" s="7">
        <v>0</v>
      </c>
      <c r="EF35" s="19">
        <f>+IF('Datos delta'!DO35&gt;0,REASIGN('Datos delta'!DO35,'Datos Protegidos'!$K35,PARTIDOS!DP$8),0)</f>
        <v>0</v>
      </c>
      <c r="EG35" s="7">
        <v>0</v>
      </c>
      <c r="EH35" s="19">
        <f>+IF('Datos delta'!DQ35&gt;0,REASIGN('Datos delta'!DQ35,'Datos Protegidos'!$K35,PARTIDOS!DR$8),0)</f>
        <v>0</v>
      </c>
      <c r="EI35" s="7">
        <v>0</v>
      </c>
      <c r="EJ35" s="19">
        <f>+IF('Datos delta'!DS35&gt;0,REASIGN('Datos delta'!DS35,'Datos Protegidos'!$K35,PARTIDOS!DT$8),0)</f>
        <v>0</v>
      </c>
      <c r="EK35" s="7">
        <v>0</v>
      </c>
      <c r="EL35" s="19">
        <f>+IF('Datos delta'!DU35&gt;0,REASIGN('Datos delta'!DU35,'Datos Protegidos'!$K35,PARTIDOS!DV$8),0)</f>
        <v>0</v>
      </c>
      <c r="EM35" s="7">
        <v>0</v>
      </c>
      <c r="EN35" s="19">
        <f>+IF('Datos delta'!DW35&gt;0,REASIGN('Datos delta'!DW35,'Datos Protegidos'!$K35,PARTIDOS!DX$8),0)</f>
        <v>0</v>
      </c>
      <c r="EO35" s="7">
        <v>0</v>
      </c>
      <c r="EP35" s="19">
        <f>+IF('Datos delta'!DY35&gt;0,REASIGN('Datos delta'!DY35,'Datos Protegidos'!$K35,PARTIDOS!DZ$8),0)</f>
        <v>0</v>
      </c>
      <c r="EQ35" s="7">
        <v>0</v>
      </c>
      <c r="ER35" s="19">
        <f>+IF('Datos delta'!EA35&gt;0,REASIGN('Datos delta'!EA35,'Datos Protegidos'!$K35,PARTIDOS!EB$8),0)</f>
        <v>0</v>
      </c>
      <c r="ES35" s="7">
        <v>0</v>
      </c>
      <c r="ET35" s="19">
        <f>+IF('Datos delta'!EC35&gt;0,REASIGN('Datos delta'!EC35,'Datos Protegidos'!$K35,PARTIDOS!ED$8),0)</f>
        <v>0</v>
      </c>
      <c r="EU35" s="7">
        <v>0</v>
      </c>
    </row>
    <row r="36" spans="1:151" x14ac:dyDescent="0.25">
      <c r="A36" s="7" t="s">
        <v>58</v>
      </c>
      <c r="B36" s="8">
        <v>6</v>
      </c>
      <c r="C36" s="7" t="s">
        <v>59</v>
      </c>
      <c r="D36" s="9">
        <v>676376</v>
      </c>
      <c r="E36">
        <v>898</v>
      </c>
      <c r="F36" s="1">
        <v>543391</v>
      </c>
      <c r="G36" s="1">
        <v>11603</v>
      </c>
      <c r="H36" s="1">
        <v>554994</v>
      </c>
      <c r="I36" s="1"/>
      <c r="J36" s="1"/>
      <c r="K36"/>
      <c r="L36" s="3">
        <f t="shared" si="1"/>
        <v>385914</v>
      </c>
      <c r="M36" s="3">
        <f t="shared" si="2"/>
        <v>379133</v>
      </c>
      <c r="N36" s="6">
        <f t="shared" si="0"/>
        <v>375534</v>
      </c>
      <c r="O36" s="1">
        <v>3599</v>
      </c>
      <c r="P36" s="1">
        <v>6781</v>
      </c>
      <c r="Q36" s="6">
        <f t="shared" si="3"/>
        <v>6</v>
      </c>
      <c r="R36" s="19">
        <f>+IF('Datos delta'!A36&gt;0,REASIGN('Datos delta'!A36,'Datos Protegidos'!$K36,PARTIDOS!B$8),0)</f>
        <v>152379</v>
      </c>
      <c r="S36" s="7">
        <v>3</v>
      </c>
      <c r="T36" s="19">
        <f>+IF('Datos delta'!C36&gt;0,REASIGN('Datos delta'!C36,'Datos Protegidos'!$K36,PARTIDOS!D$8),0)</f>
        <v>118212</v>
      </c>
      <c r="U36" s="7">
        <v>2</v>
      </c>
      <c r="V36" s="19">
        <f>+IF('Datos delta'!E36&gt;0,REASIGN('Datos delta'!E36,'Datos Protegidos'!$K36,PARTIDOS!F$8),0)</f>
        <v>65296</v>
      </c>
      <c r="W36" s="7">
        <v>1</v>
      </c>
      <c r="X36" s="19">
        <f>+IF('Datos delta'!G36&gt;0,REASIGN('Datos delta'!G36,'Datos Protegidos'!$K36,PARTIDOS!H$8),0)</f>
        <v>35669</v>
      </c>
      <c r="Y36" s="7">
        <v>0</v>
      </c>
      <c r="Z36" s="19">
        <f>+IF('Datos delta'!I36&gt;0,REASIGN('Datos delta'!I36,'Datos Protegidos'!$K36,PARTIDOS!J$8),0)</f>
        <v>0</v>
      </c>
      <c r="AA36" s="7">
        <v>0</v>
      </c>
      <c r="AB36" s="19">
        <f>+IF('Datos delta'!K36&gt;0,REASIGN('Datos delta'!K36,'Datos Protegidos'!$K36,PARTIDOS!L$8),0)</f>
        <v>0</v>
      </c>
      <c r="AC36" s="7">
        <v>0</v>
      </c>
      <c r="AD36" s="19">
        <f>+IF('Datos delta'!M36&gt;0,REASIGN('Datos delta'!M36,'Datos Protegidos'!$K36,PARTIDOS!N$8),0)</f>
        <v>0</v>
      </c>
      <c r="AE36" s="7">
        <v>0</v>
      </c>
      <c r="AF36" s="19">
        <f>+IF('Datos delta'!O36&gt;0,REASIGN('Datos delta'!O36,'Datos Protegidos'!$K36,PARTIDOS!P$8),0)</f>
        <v>0</v>
      </c>
      <c r="AG36" s="7">
        <v>0</v>
      </c>
      <c r="AH36" s="19">
        <f>+IF('Datos delta'!Q36&gt;0,REASIGN('Datos delta'!Q36,'Datos Protegidos'!$K36,PARTIDOS!R$8),0)</f>
        <v>0</v>
      </c>
      <c r="AI36" s="7">
        <v>0</v>
      </c>
      <c r="AJ36" s="19">
        <f>+IF('Datos delta'!S36&gt;0,REASIGN('Datos delta'!S36,'Datos Protegidos'!$K36,PARTIDOS!T$8),0)</f>
        <v>0</v>
      </c>
      <c r="AK36" s="7">
        <v>0</v>
      </c>
      <c r="AL36" s="19">
        <f>+IF('Datos delta'!U36&gt;0,REASIGN('Datos delta'!U36,'Datos Protegidos'!$K36,PARTIDOS!V$8),0)</f>
        <v>0</v>
      </c>
      <c r="AM36" s="7">
        <v>0</v>
      </c>
      <c r="AN36" s="19">
        <f>+IF('Datos delta'!W36&gt;0,REASIGN('Datos delta'!W36,'Datos Protegidos'!$K36,PARTIDOS!X$8),0)</f>
        <v>0</v>
      </c>
      <c r="AO36" s="7">
        <v>0</v>
      </c>
      <c r="AP36" s="19">
        <f>+IF('Datos delta'!Y36&gt;0,REASIGN('Datos delta'!Y36,'Datos Protegidos'!$K36,PARTIDOS!Z$8),0)</f>
        <v>0</v>
      </c>
      <c r="AQ36" s="7">
        <v>0</v>
      </c>
      <c r="AR36" s="19">
        <f>+IF('Datos delta'!AA36&gt;0,REASIGN('Datos delta'!AA36,'Datos Protegidos'!$K36,PARTIDOS!AB$8),0)</f>
        <v>0</v>
      </c>
      <c r="AS36" s="7">
        <v>0</v>
      </c>
      <c r="AT36" s="19">
        <f>+IF('Datos delta'!AC36&gt;0,REASIGN('Datos delta'!AC36,'Datos Protegidos'!$K36,PARTIDOS!AD$8),0)</f>
        <v>0</v>
      </c>
      <c r="AU36" s="7">
        <v>0</v>
      </c>
      <c r="AV36" s="19">
        <f>+IF('Datos delta'!AE36&gt;0,REASIGN('Datos delta'!AE36,'Datos Protegidos'!$K36,PARTIDOS!AF$8),0)</f>
        <v>0</v>
      </c>
      <c r="AW36" s="7">
        <v>0</v>
      </c>
      <c r="AX36" s="19">
        <f>+IF('Datos delta'!AG36&gt;0,REASIGN('Datos delta'!AG36,'Datos Protegidos'!$K36,PARTIDOS!AH$8),0)</f>
        <v>0</v>
      </c>
      <c r="AY36" s="7">
        <v>0</v>
      </c>
      <c r="AZ36" s="19">
        <f>+IF('Datos delta'!AI36&gt;0,REASIGN('Datos delta'!AI36,'Datos Protegidos'!$K36,PARTIDOS!AJ$8),0)</f>
        <v>0</v>
      </c>
      <c r="BA36" s="7">
        <v>0</v>
      </c>
      <c r="BB36" s="19">
        <f>+IF('Datos delta'!AK36&gt;0,REASIGN('Datos delta'!AK36,'Datos Protegidos'!$K36,PARTIDOS!AL$8),0)</f>
        <v>0</v>
      </c>
      <c r="BC36" s="7">
        <v>0</v>
      </c>
      <c r="BD36" s="19">
        <f>+IF('Datos delta'!AM36&gt;0,REASIGN('Datos delta'!AM36,'Datos Protegidos'!$K36,PARTIDOS!AN$8),0)</f>
        <v>2388</v>
      </c>
      <c r="BE36" s="7">
        <v>0</v>
      </c>
      <c r="BF36" s="19">
        <f>+IF('Datos delta'!AO36&gt;0,REASIGN('Datos delta'!AO36,'Datos Protegidos'!$K36,PARTIDOS!AP$8),0)</f>
        <v>0</v>
      </c>
      <c r="BG36" s="7">
        <v>0</v>
      </c>
      <c r="BH36" s="19">
        <f>+IF('Datos delta'!AQ36&gt;0,REASIGN('Datos delta'!AQ36,'Datos Protegidos'!$K36,PARTIDOS!AR$8),0)</f>
        <v>670</v>
      </c>
      <c r="BI36" s="7">
        <v>0</v>
      </c>
      <c r="BJ36" s="19">
        <f>+IF('Datos delta'!AS36&gt;0,REASIGN('Datos delta'!AS36,'Datos Protegidos'!$K36,PARTIDOS!AT$8),0)</f>
        <v>920</v>
      </c>
      <c r="BK36" s="7">
        <v>0</v>
      </c>
      <c r="BL36" s="19">
        <f>+IF('Datos delta'!AU36&gt;0,REASIGN('Datos delta'!AU36,'Datos Protegidos'!$K36,PARTIDOS!AV$8),0)</f>
        <v>0</v>
      </c>
      <c r="BM36" s="7">
        <v>0</v>
      </c>
      <c r="BN36" s="19">
        <f>+IF('Datos delta'!AW36&gt;0,REASIGN('Datos delta'!AW36,'Datos Protegidos'!$K36,PARTIDOS!AX$8),0)</f>
        <v>0</v>
      </c>
      <c r="BO36" s="7">
        <v>0</v>
      </c>
      <c r="BP36" s="19">
        <f>+IF('Datos delta'!AY36&gt;0,REASIGN('Datos delta'!AY36,'Datos Protegidos'!$K36,PARTIDOS!AZ$8),0)</f>
        <v>0</v>
      </c>
      <c r="BQ36" s="7">
        <v>0</v>
      </c>
      <c r="BR36" s="19">
        <f>+IF('Datos delta'!BA36&gt;0,REASIGN('Datos delta'!BA36,'Datos Protegidos'!$K36,PARTIDOS!BB$8),0)</f>
        <v>0</v>
      </c>
      <c r="BS36" s="7">
        <v>0</v>
      </c>
      <c r="BT36" s="19">
        <f>+IF('Datos delta'!BC36&gt;0,REASIGN('Datos delta'!BC36,'Datos Protegidos'!$K36,PARTIDOS!BD$8),0)</f>
        <v>0</v>
      </c>
      <c r="BU36" s="7">
        <v>0</v>
      </c>
      <c r="BV36" s="19">
        <f>+IF('Datos delta'!BE36&gt;0,REASIGN('Datos delta'!BE36,'Datos Protegidos'!$K36,PARTIDOS!BF$8),0)</f>
        <v>0</v>
      </c>
      <c r="BW36" s="7">
        <v>0</v>
      </c>
      <c r="BX36" s="19">
        <f>+IF('Datos delta'!BG36&gt;0,REASIGN('Datos delta'!BG36,'Datos Protegidos'!$K36,PARTIDOS!BH$8),0)</f>
        <v>0</v>
      </c>
      <c r="BY36" s="7">
        <v>0</v>
      </c>
      <c r="BZ36" s="19">
        <f>+IF('Datos delta'!BI36&gt;0,REASIGN('Datos delta'!BI36,'Datos Protegidos'!$K36,PARTIDOS!BJ$8),0)</f>
        <v>0</v>
      </c>
      <c r="CA36" s="7">
        <v>0</v>
      </c>
      <c r="CB36" s="19">
        <f>+IF('Datos delta'!BK36&gt;0,REASIGN('Datos delta'!BK36,'Datos Protegidos'!$K36,PARTIDOS!BL$8),0)</f>
        <v>0</v>
      </c>
      <c r="CC36" s="7">
        <v>0</v>
      </c>
      <c r="CD36" s="19">
        <f>+IF('Datos delta'!BM36&gt;0,REASIGN('Datos delta'!BM36,'Datos Protegidos'!$K36,PARTIDOS!BN$8),0)</f>
        <v>0</v>
      </c>
      <c r="CE36" s="7">
        <v>0</v>
      </c>
      <c r="CF36" s="19">
        <f>+IF('Datos delta'!BO36&gt;0,REASIGN('Datos delta'!BO36,'Datos Protegidos'!$K36,PARTIDOS!BP$8),0)</f>
        <v>0</v>
      </c>
      <c r="CG36" s="7">
        <v>0</v>
      </c>
      <c r="CH36" s="19">
        <f>+IF('Datos delta'!BQ36&gt;0,REASIGN('Datos delta'!BQ36,'Datos Protegidos'!$K36,PARTIDOS!BR$8),0)</f>
        <v>0</v>
      </c>
      <c r="CI36" s="7">
        <v>0</v>
      </c>
      <c r="CJ36" s="19">
        <f>+IF('Datos delta'!BS36&gt;0,REASIGN('Datos delta'!BS36,'Datos Protegidos'!$K36,PARTIDOS!BT$8),0)</f>
        <v>0</v>
      </c>
      <c r="CK36" s="7">
        <v>0</v>
      </c>
      <c r="CL36" s="19">
        <f>+IF('Datos delta'!BU36&gt;0,REASIGN('Datos delta'!BU36,'Datos Protegidos'!$K36,PARTIDOS!BV$8),0)</f>
        <v>0</v>
      </c>
      <c r="CM36" s="7">
        <v>0</v>
      </c>
      <c r="CN36" s="19">
        <f>+IF('Datos delta'!BW36&gt;0,REASIGN('Datos delta'!BW36,'Datos Protegidos'!$K36,PARTIDOS!BX$8),0)</f>
        <v>0</v>
      </c>
      <c r="CO36" s="7">
        <v>0</v>
      </c>
      <c r="CP36" s="19">
        <f>+IF('Datos delta'!BY36&gt;0,REASIGN('Datos delta'!BY36,'Datos Protegidos'!$K36,PARTIDOS!BZ$8),0)</f>
        <v>0</v>
      </c>
      <c r="CQ36" s="7">
        <v>0</v>
      </c>
      <c r="CR36" s="19">
        <f>+IF('Datos delta'!CA36&gt;0,REASIGN('Datos delta'!CA36,'Datos Protegidos'!$K36,PARTIDOS!CB$8),0)</f>
        <v>0</v>
      </c>
      <c r="CS36" s="7">
        <v>0</v>
      </c>
      <c r="CT36" s="19">
        <f>+IF('Datos delta'!CC36&gt;0,REASIGN('Datos delta'!CC36,'Datos Protegidos'!$K36,PARTIDOS!CD$8),0)</f>
        <v>0</v>
      </c>
      <c r="CU36" s="7">
        <v>0</v>
      </c>
      <c r="CV36" s="19">
        <f>+IF('Datos delta'!CE36&gt;0,REASIGN('Datos delta'!CE36,'Datos Protegidos'!$K36,PARTIDOS!CF$8),0)</f>
        <v>0</v>
      </c>
      <c r="CW36" s="7">
        <v>0</v>
      </c>
      <c r="CX36" s="19">
        <f>+IF('Datos delta'!CG36&gt;0,REASIGN('Datos delta'!CG36,'Datos Protegidos'!$K36,PARTIDOS!CH$8),0)</f>
        <v>0</v>
      </c>
      <c r="CY36" s="7">
        <v>0</v>
      </c>
      <c r="CZ36" s="19">
        <f>+IF('Datos delta'!CI36&gt;0,REASIGN('Datos delta'!CI36,'Datos Protegidos'!$K36,PARTIDOS!CJ$8),0)</f>
        <v>0</v>
      </c>
      <c r="DA36" s="7">
        <v>0</v>
      </c>
      <c r="DB36" s="19">
        <f>+IF('Datos delta'!CK36&gt;0,REASIGN('Datos delta'!CK36,'Datos Protegidos'!$K36,PARTIDOS!CL$8),0)</f>
        <v>0</v>
      </c>
      <c r="DC36" s="7">
        <v>0</v>
      </c>
      <c r="DD36" s="19">
        <f>+IF('Datos delta'!CM36&gt;0,REASIGN('Datos delta'!CM36,'Datos Protegidos'!$K36,PARTIDOS!CN$8),0)</f>
        <v>0</v>
      </c>
      <c r="DE36" s="7">
        <v>0</v>
      </c>
      <c r="DF36" s="19">
        <f>+IF('Datos delta'!CO36&gt;0,REASIGN('Datos delta'!CO36,'Datos Protegidos'!$K36,PARTIDOS!CP$8),0)</f>
        <v>0</v>
      </c>
      <c r="DG36" s="7">
        <v>0</v>
      </c>
      <c r="DH36" s="19">
        <f>+IF('Datos delta'!CQ36&gt;0,REASIGN('Datos delta'!CQ36,'Datos Protegidos'!$K36,PARTIDOS!CR$8),0)</f>
        <v>0</v>
      </c>
      <c r="DI36" s="7">
        <v>0</v>
      </c>
      <c r="DJ36" s="19">
        <f>+IF('Datos delta'!CS36&gt;0,REASIGN('Datos delta'!CS36,'Datos Protegidos'!$K36,PARTIDOS!CT$8),0)</f>
        <v>0</v>
      </c>
      <c r="DK36" s="7">
        <v>0</v>
      </c>
      <c r="DL36" s="19">
        <f>+IF('Datos delta'!CU36&gt;0,REASIGN('Datos delta'!CU36,'Datos Protegidos'!$K36,PARTIDOS!CV$8),0)</f>
        <v>0</v>
      </c>
      <c r="DM36" s="7">
        <v>0</v>
      </c>
      <c r="DN36" s="19">
        <f>+IF('Datos delta'!CW36&gt;0,REASIGN('Datos delta'!CW36,'Datos Protegidos'!$K36,PARTIDOS!CX$8),0)</f>
        <v>0</v>
      </c>
      <c r="DO36" s="7">
        <v>0</v>
      </c>
      <c r="DP36" s="19">
        <f>+IF('Datos delta'!CY36&gt;0,REASIGN('Datos delta'!CY36,'Datos Protegidos'!$K36,PARTIDOS!CZ$8),0)</f>
        <v>0</v>
      </c>
      <c r="DQ36" s="7">
        <v>0</v>
      </c>
      <c r="DR36" s="19">
        <f>+IF('Datos delta'!DA36&gt;0,REASIGN('Datos delta'!DA36,'Datos Protegidos'!$K36,PARTIDOS!DB$8),0)</f>
        <v>0</v>
      </c>
      <c r="DS36" s="7">
        <v>0</v>
      </c>
      <c r="DT36" s="19">
        <f>+IF('Datos delta'!DC36&gt;0,REASIGN('Datos delta'!DC36,'Datos Protegidos'!$K36,PARTIDOS!DD$8),0)</f>
        <v>0</v>
      </c>
      <c r="DU36" s="7">
        <v>0</v>
      </c>
      <c r="DV36" s="19">
        <f>+IF('Datos delta'!DE36&gt;0,REASIGN('Datos delta'!DE36,'Datos Protegidos'!$K36,PARTIDOS!DF$8),0)</f>
        <v>0</v>
      </c>
      <c r="DW36" s="7">
        <v>0</v>
      </c>
      <c r="DX36" s="19">
        <f>+IF('Datos delta'!DG36&gt;0,REASIGN('Datos delta'!DG36,'Datos Protegidos'!$K36,PARTIDOS!DH$8),0)</f>
        <v>0</v>
      </c>
      <c r="DY36" s="7">
        <v>0</v>
      </c>
      <c r="DZ36" s="19">
        <f>+IF('Datos delta'!DI36&gt;0,REASIGN('Datos delta'!DI36,'Datos Protegidos'!$K36,PARTIDOS!DJ$8),0)</f>
        <v>0</v>
      </c>
      <c r="EA36" s="7">
        <v>0</v>
      </c>
      <c r="EB36" s="19">
        <f>+IF('Datos delta'!DK36&gt;0,REASIGN('Datos delta'!DK36,'Datos Protegidos'!$K36,PARTIDOS!DL$8),0)</f>
        <v>0</v>
      </c>
      <c r="EC36" s="7">
        <v>0</v>
      </c>
      <c r="ED36" s="19">
        <f>+IF('Datos delta'!DM36&gt;0,REASIGN('Datos delta'!DM36,'Datos Protegidos'!$K36,PARTIDOS!DN$8),0)</f>
        <v>0</v>
      </c>
      <c r="EE36" s="7">
        <v>0</v>
      </c>
      <c r="EF36" s="19">
        <f>+IF('Datos delta'!DO36&gt;0,REASIGN('Datos delta'!DO36,'Datos Protegidos'!$K36,PARTIDOS!DP$8),0)</f>
        <v>0</v>
      </c>
      <c r="EG36" s="7">
        <v>0</v>
      </c>
      <c r="EH36" s="19">
        <f>+IF('Datos delta'!DQ36&gt;0,REASIGN('Datos delta'!DQ36,'Datos Protegidos'!$K36,PARTIDOS!DR$8),0)</f>
        <v>0</v>
      </c>
      <c r="EI36" s="7">
        <v>0</v>
      </c>
      <c r="EJ36" s="19">
        <f>+IF('Datos delta'!DS36&gt;0,REASIGN('Datos delta'!DS36,'Datos Protegidos'!$K36,PARTIDOS!DT$8),0)</f>
        <v>0</v>
      </c>
      <c r="EK36" s="7">
        <v>0</v>
      </c>
      <c r="EL36" s="19">
        <f>+IF('Datos delta'!DU36&gt;0,REASIGN('Datos delta'!DU36,'Datos Protegidos'!$K36,PARTIDOS!DV$8),0)</f>
        <v>0</v>
      </c>
      <c r="EM36" s="7">
        <v>0</v>
      </c>
      <c r="EN36" s="19">
        <f>+IF('Datos delta'!DW36&gt;0,REASIGN('Datos delta'!DW36,'Datos Protegidos'!$K36,PARTIDOS!DX$8),0)</f>
        <v>0</v>
      </c>
      <c r="EO36" s="7">
        <v>0</v>
      </c>
      <c r="EP36" s="19">
        <f>+IF('Datos delta'!DY36&gt;0,REASIGN('Datos delta'!DY36,'Datos Protegidos'!$K36,PARTIDOS!DZ$8),0)</f>
        <v>0</v>
      </c>
      <c r="EQ36" s="7">
        <v>0</v>
      </c>
      <c r="ER36" s="19">
        <f>+IF('Datos delta'!EA36&gt;0,REASIGN('Datos delta'!EA36,'Datos Protegidos'!$K36,PARTIDOS!EB$8),0)</f>
        <v>0</v>
      </c>
      <c r="ES36" s="7">
        <v>0</v>
      </c>
      <c r="ET36" s="19">
        <f>+IF('Datos delta'!EC36&gt;0,REASIGN('Datos delta'!EC36,'Datos Protegidos'!$K36,PARTIDOS!ED$8),0)</f>
        <v>0</v>
      </c>
      <c r="EU36" s="7">
        <v>0</v>
      </c>
    </row>
    <row r="37" spans="1:151" x14ac:dyDescent="0.25">
      <c r="A37" s="7" t="s">
        <v>58</v>
      </c>
      <c r="B37" s="8">
        <v>10</v>
      </c>
      <c r="C37" s="7" t="s">
        <v>60</v>
      </c>
      <c r="D37" s="9">
        <v>396487</v>
      </c>
      <c r="E37">
        <v>513</v>
      </c>
      <c r="F37" s="1">
        <v>328213</v>
      </c>
      <c r="G37" s="1">
        <v>16232</v>
      </c>
      <c r="H37" s="1">
        <v>344445</v>
      </c>
      <c r="I37" s="1"/>
      <c r="J37" s="1"/>
      <c r="K37" s="1"/>
      <c r="L37" s="3">
        <f t="shared" si="1"/>
        <v>233256</v>
      </c>
      <c r="M37" s="3">
        <f t="shared" si="2"/>
        <v>228892</v>
      </c>
      <c r="N37" s="6">
        <f t="shared" si="0"/>
        <v>226998</v>
      </c>
      <c r="O37" s="1">
        <v>1894</v>
      </c>
      <c r="P37" s="1">
        <v>4364</v>
      </c>
      <c r="Q37" s="6">
        <f t="shared" si="3"/>
        <v>4</v>
      </c>
      <c r="R37" s="19">
        <f>+IF('Datos delta'!A37&gt;0,REASIGN('Datos delta'!A37,'Datos Protegidos'!$K37,PARTIDOS!B$8),0)</f>
        <v>90944</v>
      </c>
      <c r="S37" s="7">
        <v>2</v>
      </c>
      <c r="T37" s="19">
        <f>+IF('Datos delta'!C37&gt;0,REASIGN('Datos delta'!C37,'Datos Protegidos'!$K37,PARTIDOS!D$8),0)</f>
        <v>75183</v>
      </c>
      <c r="U37" s="7">
        <v>1</v>
      </c>
      <c r="V37" s="19">
        <f>+IF('Datos delta'!E37&gt;0,REASIGN('Datos delta'!E37,'Datos Protegidos'!$K37,PARTIDOS!F$8),0)</f>
        <v>36523</v>
      </c>
      <c r="W37" s="7">
        <v>1</v>
      </c>
      <c r="X37" s="19">
        <f>+IF('Datos delta'!G37&gt;0,REASIGN('Datos delta'!G37,'Datos Protegidos'!$K37,PARTIDOS!H$8),0)</f>
        <v>21106</v>
      </c>
      <c r="Y37" s="7">
        <v>0</v>
      </c>
      <c r="Z37" s="19">
        <f>+IF('Datos delta'!I37&gt;0,REASIGN('Datos delta'!I37,'Datos Protegidos'!$K37,PARTIDOS!J$8),0)</f>
        <v>0</v>
      </c>
      <c r="AA37" s="7">
        <v>0</v>
      </c>
      <c r="AB37" s="19">
        <f>+IF('Datos delta'!K37&gt;0,REASIGN('Datos delta'!K37,'Datos Protegidos'!$K37,PARTIDOS!L$8),0)</f>
        <v>0</v>
      </c>
      <c r="AC37" s="7">
        <v>0</v>
      </c>
      <c r="AD37" s="19">
        <f>+IF('Datos delta'!M37&gt;0,REASIGN('Datos delta'!M37,'Datos Protegidos'!$K37,PARTIDOS!N$8),0)</f>
        <v>0</v>
      </c>
      <c r="AE37" s="7">
        <v>0</v>
      </c>
      <c r="AF37" s="19">
        <f>+IF('Datos delta'!O37&gt;0,REASIGN('Datos delta'!O37,'Datos Protegidos'!$K37,PARTIDOS!P$8),0)</f>
        <v>0</v>
      </c>
      <c r="AG37" s="7">
        <v>0</v>
      </c>
      <c r="AH37" s="19">
        <f>+IF('Datos delta'!Q37&gt;0,REASIGN('Datos delta'!Q37,'Datos Protegidos'!$K37,PARTIDOS!R$8),0)</f>
        <v>0</v>
      </c>
      <c r="AI37" s="7">
        <v>0</v>
      </c>
      <c r="AJ37" s="19">
        <f>+IF('Datos delta'!S37&gt;0,REASIGN('Datos delta'!S37,'Datos Protegidos'!$K37,PARTIDOS!T$8),0)</f>
        <v>0</v>
      </c>
      <c r="AK37" s="7">
        <v>0</v>
      </c>
      <c r="AL37" s="19">
        <f>+IF('Datos delta'!U37&gt;0,REASIGN('Datos delta'!U37,'Datos Protegidos'!$K37,PARTIDOS!V$8),0)</f>
        <v>0</v>
      </c>
      <c r="AM37" s="7">
        <v>0</v>
      </c>
      <c r="AN37" s="19">
        <f>+IF('Datos delta'!W37&gt;0,REASIGN('Datos delta'!W37,'Datos Protegidos'!$K37,PARTIDOS!X$8),0)</f>
        <v>0</v>
      </c>
      <c r="AO37" s="7">
        <v>0</v>
      </c>
      <c r="AP37" s="19">
        <f>+IF('Datos delta'!Y37&gt;0,REASIGN('Datos delta'!Y37,'Datos Protegidos'!$K37,PARTIDOS!Z$8),0)</f>
        <v>0</v>
      </c>
      <c r="AQ37" s="7">
        <v>0</v>
      </c>
      <c r="AR37" s="19">
        <f>+IF('Datos delta'!AA37&gt;0,REASIGN('Datos delta'!AA37,'Datos Protegidos'!$K37,PARTIDOS!AB$8),0)</f>
        <v>0</v>
      </c>
      <c r="AS37" s="7">
        <v>0</v>
      </c>
      <c r="AT37" s="19">
        <f>+IF('Datos delta'!AC37&gt;0,REASIGN('Datos delta'!AC37,'Datos Protegidos'!$K37,PARTIDOS!AD$8),0)</f>
        <v>0</v>
      </c>
      <c r="AU37" s="7">
        <v>0</v>
      </c>
      <c r="AV37" s="19">
        <f>+IF('Datos delta'!AE37&gt;0,REASIGN('Datos delta'!AE37,'Datos Protegidos'!$K37,PARTIDOS!AF$8),0)</f>
        <v>0</v>
      </c>
      <c r="AW37" s="7">
        <v>0</v>
      </c>
      <c r="AX37" s="19">
        <f>+IF('Datos delta'!AG37&gt;0,REASIGN('Datos delta'!AG37,'Datos Protegidos'!$K37,PARTIDOS!AH$8),0)</f>
        <v>0</v>
      </c>
      <c r="AY37" s="7">
        <v>0</v>
      </c>
      <c r="AZ37" s="19">
        <f>+IF('Datos delta'!AI37&gt;0,REASIGN('Datos delta'!AI37,'Datos Protegidos'!$K37,PARTIDOS!AJ$8),0)</f>
        <v>0</v>
      </c>
      <c r="BA37" s="7">
        <v>0</v>
      </c>
      <c r="BB37" s="19">
        <f>+IF('Datos delta'!AK37&gt;0,REASIGN('Datos delta'!AK37,'Datos Protegidos'!$K37,PARTIDOS!AL$8),0)</f>
        <v>0</v>
      </c>
      <c r="BC37" s="7">
        <v>0</v>
      </c>
      <c r="BD37" s="19">
        <f>+IF('Datos delta'!AM37&gt;0,REASIGN('Datos delta'!AM37,'Datos Protegidos'!$K37,PARTIDOS!AN$8),0)</f>
        <v>1269</v>
      </c>
      <c r="BE37" s="7">
        <v>0</v>
      </c>
      <c r="BF37" s="19">
        <f>+IF('Datos delta'!AO37&gt;0,REASIGN('Datos delta'!AO37,'Datos Protegidos'!$K37,PARTIDOS!AP$8),0)</f>
        <v>0</v>
      </c>
      <c r="BG37" s="7">
        <v>0</v>
      </c>
      <c r="BH37" s="19">
        <f>+IF('Datos delta'!AQ37&gt;0,REASIGN('Datos delta'!AQ37,'Datos Protegidos'!$K37,PARTIDOS!AR$8),0)</f>
        <v>340</v>
      </c>
      <c r="BI37" s="7">
        <v>0</v>
      </c>
      <c r="BJ37" s="19">
        <f>+IF('Datos delta'!AS37&gt;0,REASIGN('Datos delta'!AS37,'Datos Protegidos'!$K37,PARTIDOS!AT$8),0)</f>
        <v>293</v>
      </c>
      <c r="BK37" s="7">
        <v>0</v>
      </c>
      <c r="BL37" s="19">
        <f>+IF('Datos delta'!AU37&gt;0,REASIGN('Datos delta'!AU37,'Datos Protegidos'!$K37,PARTIDOS!AV$8),0)</f>
        <v>0</v>
      </c>
      <c r="BM37" s="7">
        <v>0</v>
      </c>
      <c r="BN37" s="19">
        <f>+IF('Datos delta'!AW37&gt;0,REASIGN('Datos delta'!AW37,'Datos Protegidos'!$K37,PARTIDOS!AX$8),0)</f>
        <v>0</v>
      </c>
      <c r="BO37" s="7">
        <v>0</v>
      </c>
      <c r="BP37" s="19">
        <f>+IF('Datos delta'!AY37&gt;0,REASIGN('Datos delta'!AY37,'Datos Protegidos'!$K37,PARTIDOS!AZ$8),0)</f>
        <v>0</v>
      </c>
      <c r="BQ37" s="7">
        <v>0</v>
      </c>
      <c r="BR37" s="19">
        <f>+IF('Datos delta'!BA37&gt;0,REASIGN('Datos delta'!BA37,'Datos Protegidos'!$K37,PARTIDOS!BB$8),0)</f>
        <v>0</v>
      </c>
      <c r="BS37" s="7">
        <v>0</v>
      </c>
      <c r="BT37" s="19">
        <f>+IF('Datos delta'!BC37&gt;0,REASIGN('Datos delta'!BC37,'Datos Protegidos'!$K37,PARTIDOS!BD$8),0)</f>
        <v>0</v>
      </c>
      <c r="BU37" s="7">
        <v>0</v>
      </c>
      <c r="BV37" s="19">
        <f>+IF('Datos delta'!BE37&gt;0,REASIGN('Datos delta'!BE37,'Datos Protegidos'!$K37,PARTIDOS!BF$8),0)</f>
        <v>0</v>
      </c>
      <c r="BW37" s="7">
        <v>0</v>
      </c>
      <c r="BX37" s="19">
        <f>+IF('Datos delta'!BG37&gt;0,REASIGN('Datos delta'!BG37,'Datos Protegidos'!$K37,PARTIDOS!BH$8),0)</f>
        <v>0</v>
      </c>
      <c r="BY37" s="7">
        <v>0</v>
      </c>
      <c r="BZ37" s="19">
        <f>+IF('Datos delta'!BI37&gt;0,REASIGN('Datos delta'!BI37,'Datos Protegidos'!$K37,PARTIDOS!BJ$8),0)</f>
        <v>0</v>
      </c>
      <c r="CA37" s="7">
        <v>0</v>
      </c>
      <c r="CB37" s="19">
        <f>+IF('Datos delta'!BK37&gt;0,REASIGN('Datos delta'!BK37,'Datos Protegidos'!$K37,PARTIDOS!BL$8),0)</f>
        <v>0</v>
      </c>
      <c r="CC37" s="7">
        <v>0</v>
      </c>
      <c r="CD37" s="19">
        <f>+IF('Datos delta'!BM37&gt;0,REASIGN('Datos delta'!BM37,'Datos Protegidos'!$K37,PARTIDOS!BN$8),0)</f>
        <v>0</v>
      </c>
      <c r="CE37" s="7">
        <v>0</v>
      </c>
      <c r="CF37" s="19">
        <f>+IF('Datos delta'!BO37&gt;0,REASIGN('Datos delta'!BO37,'Datos Protegidos'!$K37,PARTIDOS!BP$8),0)</f>
        <v>0</v>
      </c>
      <c r="CG37" s="7">
        <v>0</v>
      </c>
      <c r="CH37" s="19">
        <f>+IF('Datos delta'!BQ37&gt;0,REASIGN('Datos delta'!BQ37,'Datos Protegidos'!$K37,PARTIDOS!BR$8),0)</f>
        <v>0</v>
      </c>
      <c r="CI37" s="7">
        <v>0</v>
      </c>
      <c r="CJ37" s="19">
        <f>+IF('Datos delta'!BS37&gt;0,REASIGN('Datos delta'!BS37,'Datos Protegidos'!$K37,PARTIDOS!BT$8),0)</f>
        <v>0</v>
      </c>
      <c r="CK37" s="7">
        <v>0</v>
      </c>
      <c r="CL37" s="19">
        <f>+IF('Datos delta'!BU37&gt;0,REASIGN('Datos delta'!BU37,'Datos Protegidos'!$K37,PARTIDOS!BV$8),0)</f>
        <v>0</v>
      </c>
      <c r="CM37" s="7">
        <v>0</v>
      </c>
      <c r="CN37" s="19">
        <f>+IF('Datos delta'!BW37&gt;0,REASIGN('Datos delta'!BW37,'Datos Protegidos'!$K37,PARTIDOS!BX$8),0)</f>
        <v>0</v>
      </c>
      <c r="CO37" s="7">
        <v>0</v>
      </c>
      <c r="CP37" s="19">
        <f>+IF('Datos delta'!BY37&gt;0,REASIGN('Datos delta'!BY37,'Datos Protegidos'!$K37,PARTIDOS!BZ$8),0)</f>
        <v>0</v>
      </c>
      <c r="CQ37" s="7">
        <v>0</v>
      </c>
      <c r="CR37" s="19">
        <f>+IF('Datos delta'!CA37&gt;0,REASIGN('Datos delta'!CA37,'Datos Protegidos'!$K37,PARTIDOS!CB$8),0)</f>
        <v>0</v>
      </c>
      <c r="CS37" s="7">
        <v>0</v>
      </c>
      <c r="CT37" s="19">
        <f>+IF('Datos delta'!CC37&gt;0,REASIGN('Datos delta'!CC37,'Datos Protegidos'!$K37,PARTIDOS!CD$8),0)</f>
        <v>0</v>
      </c>
      <c r="CU37" s="7">
        <v>0</v>
      </c>
      <c r="CV37" s="19">
        <f>+IF('Datos delta'!CE37&gt;0,REASIGN('Datos delta'!CE37,'Datos Protegidos'!$K37,PARTIDOS!CF$8),0)</f>
        <v>0</v>
      </c>
      <c r="CW37" s="7">
        <v>0</v>
      </c>
      <c r="CX37" s="19">
        <f>+IF('Datos delta'!CG37&gt;0,REASIGN('Datos delta'!CG37,'Datos Protegidos'!$K37,PARTIDOS!CH$8),0)</f>
        <v>0</v>
      </c>
      <c r="CY37" s="7">
        <v>0</v>
      </c>
      <c r="CZ37" s="19">
        <f>+IF('Datos delta'!CI37&gt;0,REASIGN('Datos delta'!CI37,'Datos Protegidos'!$K37,PARTIDOS!CJ$8),0)</f>
        <v>0</v>
      </c>
      <c r="DA37" s="7">
        <v>0</v>
      </c>
      <c r="DB37" s="19">
        <f>+IF('Datos delta'!CK37&gt;0,REASIGN('Datos delta'!CK37,'Datos Protegidos'!$K37,PARTIDOS!CL$8),0)</f>
        <v>0</v>
      </c>
      <c r="DC37" s="7">
        <v>0</v>
      </c>
      <c r="DD37" s="19">
        <f>+IF('Datos delta'!CM37&gt;0,REASIGN('Datos delta'!CM37,'Datos Protegidos'!$K37,PARTIDOS!CN$8),0)</f>
        <v>0</v>
      </c>
      <c r="DE37" s="7">
        <v>0</v>
      </c>
      <c r="DF37" s="19">
        <f>+IF('Datos delta'!CO37&gt;0,REASIGN('Datos delta'!CO37,'Datos Protegidos'!$K37,PARTIDOS!CP$8),0)</f>
        <v>1340</v>
      </c>
      <c r="DG37" s="7">
        <v>0</v>
      </c>
      <c r="DH37" s="19">
        <f>+IF('Datos delta'!CQ37&gt;0,REASIGN('Datos delta'!CQ37,'Datos Protegidos'!$K37,PARTIDOS!CR$8),0)</f>
        <v>0</v>
      </c>
      <c r="DI37" s="7">
        <v>0</v>
      </c>
      <c r="DJ37" s="19">
        <f>+IF('Datos delta'!CS37&gt;0,REASIGN('Datos delta'!CS37,'Datos Protegidos'!$K37,PARTIDOS!CT$8),0)</f>
        <v>0</v>
      </c>
      <c r="DK37" s="7">
        <v>0</v>
      </c>
      <c r="DL37" s="19">
        <f>+IF('Datos delta'!CU37&gt;0,REASIGN('Datos delta'!CU37,'Datos Protegidos'!$K37,PARTIDOS!CV$8),0)</f>
        <v>0</v>
      </c>
      <c r="DM37" s="7">
        <v>0</v>
      </c>
      <c r="DN37" s="19">
        <f>+IF('Datos delta'!CW37&gt;0,REASIGN('Datos delta'!CW37,'Datos Protegidos'!$K37,PARTIDOS!CX$8),0)</f>
        <v>0</v>
      </c>
      <c r="DO37" s="7">
        <v>0</v>
      </c>
      <c r="DP37" s="19">
        <f>+IF('Datos delta'!CY37&gt;0,REASIGN('Datos delta'!CY37,'Datos Protegidos'!$K37,PARTIDOS!CZ$8),0)</f>
        <v>0</v>
      </c>
      <c r="DQ37" s="7">
        <v>0</v>
      </c>
      <c r="DR37" s="19">
        <f>+IF('Datos delta'!DA37&gt;0,REASIGN('Datos delta'!DA37,'Datos Protegidos'!$K37,PARTIDOS!DB$8),0)</f>
        <v>0</v>
      </c>
      <c r="DS37" s="7">
        <v>0</v>
      </c>
      <c r="DT37" s="19">
        <f>+IF('Datos delta'!DC37&gt;0,REASIGN('Datos delta'!DC37,'Datos Protegidos'!$K37,PARTIDOS!DD$8),0)</f>
        <v>0</v>
      </c>
      <c r="DU37" s="7">
        <v>0</v>
      </c>
      <c r="DV37" s="19">
        <f>+IF('Datos delta'!DE37&gt;0,REASIGN('Datos delta'!DE37,'Datos Protegidos'!$K37,PARTIDOS!DF$8),0)</f>
        <v>0</v>
      </c>
      <c r="DW37" s="7">
        <v>0</v>
      </c>
      <c r="DX37" s="19">
        <f>+IF('Datos delta'!DG37&gt;0,REASIGN('Datos delta'!DG37,'Datos Protegidos'!$K37,PARTIDOS!DH$8),0)</f>
        <v>0</v>
      </c>
      <c r="DY37" s="7">
        <v>0</v>
      </c>
      <c r="DZ37" s="19">
        <f>+IF('Datos delta'!DI37&gt;0,REASIGN('Datos delta'!DI37,'Datos Protegidos'!$K37,PARTIDOS!DJ$8),0)</f>
        <v>0</v>
      </c>
      <c r="EA37" s="7">
        <v>0</v>
      </c>
      <c r="EB37" s="19">
        <f>+IF('Datos delta'!DK37&gt;0,REASIGN('Datos delta'!DK37,'Datos Protegidos'!$K37,PARTIDOS!DL$8),0)</f>
        <v>0</v>
      </c>
      <c r="EC37" s="7">
        <v>0</v>
      </c>
      <c r="ED37" s="19">
        <f>+IF('Datos delta'!DM37&gt;0,REASIGN('Datos delta'!DM37,'Datos Protegidos'!$K37,PARTIDOS!DN$8),0)</f>
        <v>0</v>
      </c>
      <c r="EE37" s="7">
        <v>0</v>
      </c>
      <c r="EF37" s="19">
        <f>+IF('Datos delta'!DO37&gt;0,REASIGN('Datos delta'!DO37,'Datos Protegidos'!$K37,PARTIDOS!DP$8),0)</f>
        <v>0</v>
      </c>
      <c r="EG37" s="7">
        <v>0</v>
      </c>
      <c r="EH37" s="19">
        <f>+IF('Datos delta'!DQ37&gt;0,REASIGN('Datos delta'!DQ37,'Datos Protegidos'!$K37,PARTIDOS!DR$8),0)</f>
        <v>0</v>
      </c>
      <c r="EI37" s="7">
        <v>0</v>
      </c>
      <c r="EJ37" s="19">
        <f>+IF('Datos delta'!DS37&gt;0,REASIGN('Datos delta'!DS37,'Datos Protegidos'!$K37,PARTIDOS!DT$8),0)</f>
        <v>0</v>
      </c>
      <c r="EK37" s="7">
        <v>0</v>
      </c>
      <c r="EL37" s="19">
        <f>+IF('Datos delta'!DU37&gt;0,REASIGN('Datos delta'!DU37,'Datos Protegidos'!$K37,PARTIDOS!DV$8),0)</f>
        <v>0</v>
      </c>
      <c r="EM37" s="7">
        <v>0</v>
      </c>
      <c r="EN37" s="19">
        <f>+IF('Datos delta'!DW37&gt;0,REASIGN('Datos delta'!DW37,'Datos Protegidos'!$K37,PARTIDOS!DX$8),0)</f>
        <v>0</v>
      </c>
      <c r="EO37" s="7">
        <v>0</v>
      </c>
      <c r="EP37" s="19">
        <f>+IF('Datos delta'!DY37&gt;0,REASIGN('Datos delta'!DY37,'Datos Protegidos'!$K37,PARTIDOS!DZ$8),0)</f>
        <v>0</v>
      </c>
      <c r="EQ37" s="7">
        <v>0</v>
      </c>
      <c r="ER37" s="19">
        <f>+IF('Datos delta'!EA37&gt;0,REASIGN('Datos delta'!EA37,'Datos Protegidos'!$K37,PARTIDOS!EB$8),0)</f>
        <v>0</v>
      </c>
      <c r="ES37" s="7">
        <v>0</v>
      </c>
      <c r="ET37" s="19">
        <f>+IF('Datos delta'!EC37&gt;0,REASIGN('Datos delta'!EC37,'Datos Protegidos'!$K37,PARTIDOS!ED$8),0)</f>
        <v>0</v>
      </c>
      <c r="EU37" s="7">
        <v>0</v>
      </c>
    </row>
    <row r="38" spans="1:151" x14ac:dyDescent="0.25">
      <c r="A38" s="7" t="s">
        <v>61</v>
      </c>
      <c r="B38" s="8">
        <v>15</v>
      </c>
      <c r="C38" s="7" t="s">
        <v>62</v>
      </c>
      <c r="D38" s="9">
        <v>1119351</v>
      </c>
      <c r="E38" s="1">
        <v>1541</v>
      </c>
      <c r="F38" s="1">
        <v>928240</v>
      </c>
      <c r="G38" s="1">
        <v>159599</v>
      </c>
      <c r="H38" s="1">
        <v>1087839</v>
      </c>
      <c r="I38" s="1"/>
      <c r="J38" s="1"/>
      <c r="K38" s="1"/>
      <c r="L38" s="3">
        <f t="shared" si="1"/>
        <v>628982</v>
      </c>
      <c r="M38" s="3">
        <f t="shared" si="2"/>
        <v>621926</v>
      </c>
      <c r="N38" s="6">
        <f t="shared" si="0"/>
        <v>614619</v>
      </c>
      <c r="O38" s="1">
        <v>7307</v>
      </c>
      <c r="P38" s="1">
        <v>7056</v>
      </c>
      <c r="Q38" s="6">
        <f t="shared" si="3"/>
        <v>8</v>
      </c>
      <c r="R38" s="19">
        <f>+IF('Datos delta'!A38&gt;0,REASIGN('Datos delta'!A38,'Datos Protegidos'!$K38,PARTIDOS!B$8),0)</f>
        <v>196232</v>
      </c>
      <c r="S38" s="7">
        <v>3</v>
      </c>
      <c r="T38" s="19">
        <f>+IF('Datos delta'!C38&gt;0,REASIGN('Datos delta'!C38,'Datos Protegidos'!$K38,PARTIDOS!D$8),0)</f>
        <v>213644</v>
      </c>
      <c r="U38" s="7">
        <v>3</v>
      </c>
      <c r="V38" s="19">
        <f>+IF('Datos delta'!E38&gt;0,REASIGN('Datos delta'!E38,'Datos Protegidos'!$K38,PARTIDOS!F$8),0)</f>
        <v>51331</v>
      </c>
      <c r="W38" s="7">
        <v>0</v>
      </c>
      <c r="X38" s="19">
        <f>+IF('Datos delta'!G38&gt;0,REASIGN('Datos delta'!G38,'Datos Protegidos'!$K38,PARTIDOS!H$8),0)</f>
        <v>0</v>
      </c>
      <c r="Y38" s="7">
        <v>0</v>
      </c>
      <c r="Z38" s="19">
        <f>+IF('Datos delta'!I38&gt;0,REASIGN('Datos delta'!I38,'Datos Protegidos'!$K38,PARTIDOS!J$8),0)</f>
        <v>0</v>
      </c>
      <c r="AA38" s="7">
        <v>0</v>
      </c>
      <c r="AB38" s="19">
        <f>+IF('Datos delta'!K38&gt;0,REASIGN('Datos delta'!K38,'Datos Protegidos'!$K38,PARTIDOS!L$8),0)</f>
        <v>0</v>
      </c>
      <c r="AC38" s="7">
        <v>0</v>
      </c>
      <c r="AD38" s="19">
        <f>+IF('Datos delta'!M38&gt;0,REASIGN('Datos delta'!M38,'Datos Protegidos'!$K38,PARTIDOS!N$8),0)</f>
        <v>0</v>
      </c>
      <c r="AE38" s="7">
        <v>0</v>
      </c>
      <c r="AF38" s="19">
        <f>+IF('Datos delta'!O38&gt;0,REASIGN('Datos delta'!O38,'Datos Protegidos'!$K38,PARTIDOS!P$8),0)</f>
        <v>0</v>
      </c>
      <c r="AG38" s="7">
        <v>0</v>
      </c>
      <c r="AH38" s="19">
        <f>+IF('Datos delta'!Q38&gt;0,REASIGN('Datos delta'!Q38,'Datos Protegidos'!$K38,PARTIDOS!R$8),0)</f>
        <v>0</v>
      </c>
      <c r="AI38" s="7">
        <v>0</v>
      </c>
      <c r="AJ38" s="19">
        <f>+IF('Datos delta'!S38&gt;0,REASIGN('Datos delta'!S38,'Datos Protegidos'!$K38,PARTIDOS!T$8),0)</f>
        <v>0</v>
      </c>
      <c r="AK38" s="7">
        <v>0</v>
      </c>
      <c r="AL38" s="19">
        <f>+IF('Datos delta'!U38&gt;0,REASIGN('Datos delta'!U38,'Datos Protegidos'!$K38,PARTIDOS!V$8),0)</f>
        <v>13249</v>
      </c>
      <c r="AM38" s="7">
        <v>0</v>
      </c>
      <c r="AN38" s="19">
        <f>+IF('Datos delta'!W38&gt;0,REASIGN('Datos delta'!W38,'Datos Protegidos'!$K38,PARTIDOS!X$8),0)</f>
        <v>0</v>
      </c>
      <c r="AO38" s="7">
        <v>0</v>
      </c>
      <c r="AP38" s="19">
        <f>+IF('Datos delta'!Y38&gt;0,REASIGN('Datos delta'!Y38,'Datos Protegidos'!$K38,PARTIDOS!Z$8),0)</f>
        <v>75142</v>
      </c>
      <c r="AQ38" s="7">
        <v>1</v>
      </c>
      <c r="AR38" s="19">
        <f>+IF('Datos delta'!AA38&gt;0,REASIGN('Datos delta'!AA38,'Datos Protegidos'!$K38,PARTIDOS!AB$8),0)</f>
        <v>0</v>
      </c>
      <c r="AS38" s="7">
        <v>0</v>
      </c>
      <c r="AT38" s="19">
        <f>+IF('Datos delta'!AC38&gt;0,REASIGN('Datos delta'!AC38,'Datos Protegidos'!$K38,PARTIDOS!AD$8),0)</f>
        <v>0</v>
      </c>
      <c r="AU38" s="7">
        <v>0</v>
      </c>
      <c r="AV38" s="19">
        <f>+IF('Datos delta'!AE38&gt;0,REASIGN('Datos delta'!AE38,'Datos Protegidos'!$K38,PARTIDOS!AF$8),0)</f>
        <v>0</v>
      </c>
      <c r="AW38" s="7">
        <v>0</v>
      </c>
      <c r="AX38" s="19">
        <f>+IF('Datos delta'!AG38&gt;0,REASIGN('Datos delta'!AG38,'Datos Protegidos'!$K38,PARTIDOS!AH$8),0)</f>
        <v>56681</v>
      </c>
      <c r="AY38" s="7">
        <v>1</v>
      </c>
      <c r="AZ38" s="19">
        <f>+IF('Datos delta'!AI38&gt;0,REASIGN('Datos delta'!AI38,'Datos Protegidos'!$K38,PARTIDOS!AJ$8),0)</f>
        <v>0</v>
      </c>
      <c r="BA38" s="7">
        <v>0</v>
      </c>
      <c r="BB38" s="19">
        <f>+IF('Datos delta'!AK38&gt;0,REASIGN('Datos delta'!AK38,'Datos Protegidos'!$K38,PARTIDOS!AL$8),0)</f>
        <v>0</v>
      </c>
      <c r="BC38" s="7">
        <v>0</v>
      </c>
      <c r="BD38" s="19">
        <f>+IF('Datos delta'!AM38&gt;0,REASIGN('Datos delta'!AM38,'Datos Protegidos'!$K38,PARTIDOS!AN$8),0)</f>
        <v>4549</v>
      </c>
      <c r="BE38" s="7">
        <v>0</v>
      </c>
      <c r="BF38" s="19">
        <f>+IF('Datos delta'!AO38&gt;0,REASIGN('Datos delta'!AO38,'Datos Protegidos'!$K38,PARTIDOS!AP$8),0)</f>
        <v>0</v>
      </c>
      <c r="BG38" s="7">
        <v>0</v>
      </c>
      <c r="BH38" s="19">
        <f>+IF('Datos delta'!AQ38&gt;0,REASIGN('Datos delta'!AQ38,'Datos Protegidos'!$K38,PARTIDOS!AR$8),0)</f>
        <v>920</v>
      </c>
      <c r="BI38" s="7">
        <v>0</v>
      </c>
      <c r="BJ38" s="19">
        <f>+IF('Datos delta'!AS38&gt;0,REASIGN('Datos delta'!AS38,'Datos Protegidos'!$K38,PARTIDOS!AT$8),0)</f>
        <v>603</v>
      </c>
      <c r="BK38" s="7">
        <v>0</v>
      </c>
      <c r="BL38" s="19">
        <f>+IF('Datos delta'!AU38&gt;0,REASIGN('Datos delta'!AU38,'Datos Protegidos'!$K38,PARTIDOS!AV$8),0)</f>
        <v>0</v>
      </c>
      <c r="BM38" s="7">
        <v>0</v>
      </c>
      <c r="BN38" s="19">
        <f>+IF('Datos delta'!AW38&gt;0,REASIGN('Datos delta'!AW38,'Datos Protegidos'!$K38,PARTIDOS!AX$8),0)</f>
        <v>0</v>
      </c>
      <c r="BO38" s="7">
        <v>0</v>
      </c>
      <c r="BP38" s="19">
        <f>+IF('Datos delta'!AY38&gt;0,REASIGN('Datos delta'!AY38,'Datos Protegidos'!$K38,PARTIDOS!AZ$8),0)</f>
        <v>0</v>
      </c>
      <c r="BQ38" s="7">
        <v>0</v>
      </c>
      <c r="BR38" s="19">
        <f>+IF('Datos delta'!BA38&gt;0,REASIGN('Datos delta'!BA38,'Datos Protegidos'!$K38,PARTIDOS!BB$8),0)</f>
        <v>0</v>
      </c>
      <c r="BS38" s="7">
        <v>0</v>
      </c>
      <c r="BT38" s="19">
        <f>+IF('Datos delta'!BC38&gt;0,REASIGN('Datos delta'!BC38,'Datos Protegidos'!$K38,PARTIDOS!BD$8),0)</f>
        <v>495</v>
      </c>
      <c r="BU38" s="7">
        <v>0</v>
      </c>
      <c r="BV38" s="19">
        <f>+IF('Datos delta'!BE38&gt;0,REASIGN('Datos delta'!BE38,'Datos Protegidos'!$K38,PARTIDOS!BF$8),0)</f>
        <v>0</v>
      </c>
      <c r="BW38" s="7">
        <v>0</v>
      </c>
      <c r="BX38" s="19">
        <f>+IF('Datos delta'!BG38&gt;0,REASIGN('Datos delta'!BG38,'Datos Protegidos'!$K38,PARTIDOS!BH$8),0)</f>
        <v>0</v>
      </c>
      <c r="BY38" s="7">
        <v>0</v>
      </c>
      <c r="BZ38" s="19">
        <f>+IF('Datos delta'!BI38&gt;0,REASIGN('Datos delta'!BI38,'Datos Protegidos'!$K38,PARTIDOS!BJ$8),0)</f>
        <v>1773</v>
      </c>
      <c r="CA38" s="7">
        <v>0</v>
      </c>
      <c r="CB38" s="19">
        <f>+IF('Datos delta'!BK38&gt;0,REASIGN('Datos delta'!BK38,'Datos Protegidos'!$K38,PARTIDOS!BL$8),0)</f>
        <v>0</v>
      </c>
      <c r="CC38" s="7">
        <v>0</v>
      </c>
      <c r="CD38" s="19">
        <f>+IF('Datos delta'!BM38&gt;0,REASIGN('Datos delta'!BM38,'Datos Protegidos'!$K38,PARTIDOS!BN$8),0)</f>
        <v>0</v>
      </c>
      <c r="CE38" s="7">
        <v>0</v>
      </c>
      <c r="CF38" s="19">
        <f>+IF('Datos delta'!BO38&gt;0,REASIGN('Datos delta'!BO38,'Datos Protegidos'!$K38,PARTIDOS!BP$8),0)</f>
        <v>0</v>
      </c>
      <c r="CG38" s="7">
        <v>0</v>
      </c>
      <c r="CH38" s="19">
        <f>+IF('Datos delta'!BQ38&gt;0,REASIGN('Datos delta'!BQ38,'Datos Protegidos'!$K38,PARTIDOS!BR$8),0)</f>
        <v>0</v>
      </c>
      <c r="CI38" s="7">
        <v>0</v>
      </c>
      <c r="CJ38" s="19">
        <f>+IF('Datos delta'!BS38&gt;0,REASIGN('Datos delta'!BS38,'Datos Protegidos'!$K38,PARTIDOS!BT$8),0)</f>
        <v>0</v>
      </c>
      <c r="CK38" s="7">
        <v>0</v>
      </c>
      <c r="CL38" s="19">
        <f>+IF('Datos delta'!BU38&gt;0,REASIGN('Datos delta'!BU38,'Datos Protegidos'!$K38,PARTIDOS!BV$8),0)</f>
        <v>0</v>
      </c>
      <c r="CM38" s="7">
        <v>0</v>
      </c>
      <c r="CN38" s="19">
        <f>+IF('Datos delta'!BW38&gt;0,REASIGN('Datos delta'!BW38,'Datos Protegidos'!$K38,PARTIDOS!BX$8),0)</f>
        <v>0</v>
      </c>
      <c r="CO38" s="7">
        <v>0</v>
      </c>
      <c r="CP38" s="19">
        <f>+IF('Datos delta'!BY38&gt;0,REASIGN('Datos delta'!BY38,'Datos Protegidos'!$K38,PARTIDOS!BZ$8),0)</f>
        <v>0</v>
      </c>
      <c r="CQ38" s="7">
        <v>0</v>
      </c>
      <c r="CR38" s="19">
        <f>+IF('Datos delta'!CA38&gt;0,REASIGN('Datos delta'!CA38,'Datos Protegidos'!$K38,PARTIDOS!CB$8),0)</f>
        <v>0</v>
      </c>
      <c r="CS38" s="7">
        <v>0</v>
      </c>
      <c r="CT38" s="19">
        <f>+IF('Datos delta'!CC38&gt;0,REASIGN('Datos delta'!CC38,'Datos Protegidos'!$K38,PARTIDOS!CD$8),0)</f>
        <v>0</v>
      </c>
      <c r="CU38" s="7">
        <v>0</v>
      </c>
      <c r="CV38" s="19">
        <f>+IF('Datos delta'!CE38&gt;0,REASIGN('Datos delta'!CE38,'Datos Protegidos'!$K38,PARTIDOS!CF$8),0)</f>
        <v>0</v>
      </c>
      <c r="CW38" s="7">
        <v>0</v>
      </c>
      <c r="CX38" s="19">
        <f>+IF('Datos delta'!CG38&gt;0,REASIGN('Datos delta'!CG38,'Datos Protegidos'!$K38,PARTIDOS!CH$8),0)</f>
        <v>0</v>
      </c>
      <c r="CY38" s="7">
        <v>0</v>
      </c>
      <c r="CZ38" s="19">
        <f>+IF('Datos delta'!CI38&gt;0,REASIGN('Datos delta'!CI38,'Datos Protegidos'!$K38,PARTIDOS!CJ$8),0)</f>
        <v>0</v>
      </c>
      <c r="DA38" s="7">
        <v>0</v>
      </c>
      <c r="DB38" s="19">
        <f>+IF('Datos delta'!CK38&gt;0,REASIGN('Datos delta'!CK38,'Datos Protegidos'!$K38,PARTIDOS!CL$8),0)</f>
        <v>0</v>
      </c>
      <c r="DC38" s="7">
        <v>0</v>
      </c>
      <c r="DD38" s="19">
        <f>+IF('Datos delta'!CM38&gt;0,REASIGN('Datos delta'!CM38,'Datos Protegidos'!$K38,PARTIDOS!CN$8),0)</f>
        <v>0</v>
      </c>
      <c r="DE38" s="7">
        <v>0</v>
      </c>
      <c r="DF38" s="19">
        <f>+IF('Datos delta'!CO38&gt;0,REASIGN('Datos delta'!CO38,'Datos Protegidos'!$K38,PARTIDOS!CP$8),0)</f>
        <v>0</v>
      </c>
      <c r="DG38" s="7">
        <v>0</v>
      </c>
      <c r="DH38" s="19">
        <f>+IF('Datos delta'!CQ38&gt;0,REASIGN('Datos delta'!CQ38,'Datos Protegidos'!$K38,PARTIDOS!CR$8),0)</f>
        <v>0</v>
      </c>
      <c r="DI38" s="7">
        <v>0</v>
      </c>
      <c r="DJ38" s="19">
        <f>+IF('Datos delta'!CS38&gt;0,REASIGN('Datos delta'!CS38,'Datos Protegidos'!$K38,PARTIDOS!CT$8),0)</f>
        <v>0</v>
      </c>
      <c r="DK38" s="7">
        <v>0</v>
      </c>
      <c r="DL38" s="19">
        <f>+IF('Datos delta'!CU38&gt;0,REASIGN('Datos delta'!CU38,'Datos Protegidos'!$K38,PARTIDOS!CV$8),0)</f>
        <v>0</v>
      </c>
      <c r="DM38" s="7">
        <v>0</v>
      </c>
      <c r="DN38" s="19">
        <f>+IF('Datos delta'!CW38&gt;0,REASIGN('Datos delta'!CW38,'Datos Protegidos'!$K38,PARTIDOS!CX$8),0)</f>
        <v>0</v>
      </c>
      <c r="DO38" s="7">
        <v>0</v>
      </c>
      <c r="DP38" s="19">
        <f>+IF('Datos delta'!CY38&gt;0,REASIGN('Datos delta'!CY38,'Datos Protegidos'!$K38,PARTIDOS!CZ$8),0)</f>
        <v>0</v>
      </c>
      <c r="DQ38" s="7">
        <v>0</v>
      </c>
      <c r="DR38" s="19">
        <f>+IF('Datos delta'!DA38&gt;0,REASIGN('Datos delta'!DA38,'Datos Protegidos'!$K38,PARTIDOS!DB$8),0)</f>
        <v>0</v>
      </c>
      <c r="DS38" s="7">
        <v>0</v>
      </c>
      <c r="DT38" s="19">
        <f>+IF('Datos delta'!DC38&gt;0,REASIGN('Datos delta'!DC38,'Datos Protegidos'!$K38,PARTIDOS!DD$8),0)</f>
        <v>0</v>
      </c>
      <c r="DU38" s="7">
        <v>0</v>
      </c>
      <c r="DV38" s="19">
        <f>+IF('Datos delta'!DE38&gt;0,REASIGN('Datos delta'!DE38,'Datos Protegidos'!$K38,PARTIDOS!DF$8),0)</f>
        <v>0</v>
      </c>
      <c r="DW38" s="7">
        <v>0</v>
      </c>
      <c r="DX38" s="19">
        <f>+IF('Datos delta'!DG38&gt;0,REASIGN('Datos delta'!DG38,'Datos Protegidos'!$K38,PARTIDOS!DH$8),0)</f>
        <v>0</v>
      </c>
      <c r="DY38" s="7">
        <v>0</v>
      </c>
      <c r="DZ38" s="19">
        <f>+IF('Datos delta'!DI38&gt;0,REASIGN('Datos delta'!DI38,'Datos Protegidos'!$K38,PARTIDOS!DJ$8),0)</f>
        <v>0</v>
      </c>
      <c r="EA38" s="7">
        <v>0</v>
      </c>
      <c r="EB38" s="19">
        <f>+IF('Datos delta'!DK38&gt;0,REASIGN('Datos delta'!DK38,'Datos Protegidos'!$K38,PARTIDOS!DL$8),0)</f>
        <v>0</v>
      </c>
      <c r="EC38" s="7">
        <v>0</v>
      </c>
      <c r="ED38" s="19">
        <f>+IF('Datos delta'!DM38&gt;0,REASIGN('Datos delta'!DM38,'Datos Protegidos'!$K38,PARTIDOS!DN$8),0)</f>
        <v>0</v>
      </c>
      <c r="EE38" s="7">
        <v>0</v>
      </c>
      <c r="EF38" s="19">
        <f>+IF('Datos delta'!DO38&gt;0,REASIGN('Datos delta'!DO38,'Datos Protegidos'!$K38,PARTIDOS!DP$8),0)</f>
        <v>0</v>
      </c>
      <c r="EG38" s="7">
        <v>0</v>
      </c>
      <c r="EH38" s="19">
        <f>+IF('Datos delta'!DQ38&gt;0,REASIGN('Datos delta'!DQ38,'Datos Protegidos'!$K38,PARTIDOS!DR$8),0)</f>
        <v>0</v>
      </c>
      <c r="EI38" s="7">
        <v>0</v>
      </c>
      <c r="EJ38" s="19">
        <f>+IF('Datos delta'!DS38&gt;0,REASIGN('Datos delta'!DS38,'Datos Protegidos'!$K38,PARTIDOS!DT$8),0)</f>
        <v>0</v>
      </c>
      <c r="EK38" s="7">
        <v>0</v>
      </c>
      <c r="EL38" s="19">
        <f>+IF('Datos delta'!DU38&gt;0,REASIGN('Datos delta'!DU38,'Datos Protegidos'!$K38,PARTIDOS!DV$8),0)</f>
        <v>0</v>
      </c>
      <c r="EM38" s="7">
        <v>0</v>
      </c>
      <c r="EN38" s="19">
        <f>+IF('Datos delta'!DW38&gt;0,REASIGN('Datos delta'!DW38,'Datos Protegidos'!$K38,PARTIDOS!DX$8),0)</f>
        <v>0</v>
      </c>
      <c r="EO38" s="7">
        <v>0</v>
      </c>
      <c r="EP38" s="19">
        <f>+IF('Datos delta'!DY38&gt;0,REASIGN('Datos delta'!DY38,'Datos Protegidos'!$K38,PARTIDOS!DZ$8),0)</f>
        <v>0</v>
      </c>
      <c r="EQ38" s="7">
        <v>0</v>
      </c>
      <c r="ER38" s="19">
        <f>+IF('Datos delta'!EA38&gt;0,REASIGN('Datos delta'!EA38,'Datos Protegidos'!$K38,PARTIDOS!EB$8),0)</f>
        <v>0</v>
      </c>
      <c r="ES38" s="7">
        <v>0</v>
      </c>
      <c r="ET38" s="19">
        <f>+IF('Datos delta'!EC38&gt;0,REASIGN('Datos delta'!EC38,'Datos Protegidos'!$K38,PARTIDOS!ED$8),0)</f>
        <v>0</v>
      </c>
      <c r="EU38" s="7">
        <v>0</v>
      </c>
    </row>
    <row r="39" spans="1:151" x14ac:dyDescent="0.25">
      <c r="A39" s="7" t="s">
        <v>61</v>
      </c>
      <c r="B39" s="8">
        <v>27</v>
      </c>
      <c r="C39" s="7" t="s">
        <v>63</v>
      </c>
      <c r="D39" s="9">
        <v>331327</v>
      </c>
      <c r="E39">
        <v>538</v>
      </c>
      <c r="F39" s="1">
        <v>277220</v>
      </c>
      <c r="G39" s="1">
        <v>67226</v>
      </c>
      <c r="H39" s="1">
        <v>344446</v>
      </c>
      <c r="I39" s="1"/>
      <c r="J39" s="1"/>
      <c r="K39" s="1"/>
      <c r="L39" s="3">
        <f t="shared" si="1"/>
        <v>186364</v>
      </c>
      <c r="M39" s="3">
        <f t="shared" si="2"/>
        <v>183368</v>
      </c>
      <c r="N39" s="6">
        <f t="shared" si="0"/>
        <v>181274</v>
      </c>
      <c r="O39" s="1">
        <v>2094</v>
      </c>
      <c r="P39" s="1">
        <v>2996</v>
      </c>
      <c r="Q39" s="6">
        <f t="shared" si="3"/>
        <v>4</v>
      </c>
      <c r="R39" s="19">
        <f>+IF('Datos delta'!A39&gt;0,REASIGN('Datos delta'!A39,'Datos Protegidos'!$K39,PARTIDOS!B$8),0)</f>
        <v>60994</v>
      </c>
      <c r="S39" s="7">
        <v>2</v>
      </c>
      <c r="T39" s="19">
        <f>+IF('Datos delta'!C39&gt;0,REASIGN('Datos delta'!C39,'Datos Protegidos'!$K39,PARTIDOS!D$8),0)</f>
        <v>74548</v>
      </c>
      <c r="U39" s="7">
        <v>2</v>
      </c>
      <c r="V39" s="19">
        <f>+IF('Datos delta'!E39&gt;0,REASIGN('Datos delta'!E39,'Datos Protegidos'!$K39,PARTIDOS!F$8),0)</f>
        <v>14945</v>
      </c>
      <c r="W39" s="7">
        <v>0</v>
      </c>
      <c r="X39" s="19">
        <f>+IF('Datos delta'!G39&gt;0,REASIGN('Datos delta'!G39,'Datos Protegidos'!$K39,PARTIDOS!H$8),0)</f>
        <v>0</v>
      </c>
      <c r="Y39" s="7">
        <v>0</v>
      </c>
      <c r="Z39" s="19">
        <f>+IF('Datos delta'!I39&gt;0,REASIGN('Datos delta'!I39,'Datos Protegidos'!$K39,PARTIDOS!J$8),0)</f>
        <v>0</v>
      </c>
      <c r="AA39" s="7">
        <v>0</v>
      </c>
      <c r="AB39" s="19">
        <f>+IF('Datos delta'!K39&gt;0,REASIGN('Datos delta'!K39,'Datos Protegidos'!$K39,PARTIDOS!L$8),0)</f>
        <v>0</v>
      </c>
      <c r="AC39" s="7">
        <v>0</v>
      </c>
      <c r="AD39" s="19">
        <f>+IF('Datos delta'!M39&gt;0,REASIGN('Datos delta'!M39,'Datos Protegidos'!$K39,PARTIDOS!N$8),0)</f>
        <v>0</v>
      </c>
      <c r="AE39" s="7">
        <v>0</v>
      </c>
      <c r="AF39" s="19">
        <f>+IF('Datos delta'!O39&gt;0,REASIGN('Datos delta'!O39,'Datos Protegidos'!$K39,PARTIDOS!P$8),0)</f>
        <v>0</v>
      </c>
      <c r="AG39" s="7">
        <v>0</v>
      </c>
      <c r="AH39" s="19">
        <f>+IF('Datos delta'!Q39&gt;0,REASIGN('Datos delta'!Q39,'Datos Protegidos'!$K39,PARTIDOS!R$8),0)</f>
        <v>0</v>
      </c>
      <c r="AI39" s="7">
        <v>0</v>
      </c>
      <c r="AJ39" s="19">
        <f>+IF('Datos delta'!S39&gt;0,REASIGN('Datos delta'!S39,'Datos Protegidos'!$K39,PARTIDOS!T$8),0)</f>
        <v>0</v>
      </c>
      <c r="AK39" s="7">
        <v>0</v>
      </c>
      <c r="AL39" s="19">
        <f>+IF('Datos delta'!U39&gt;0,REASIGN('Datos delta'!U39,'Datos Protegidos'!$K39,PARTIDOS!V$8),0)</f>
        <v>0</v>
      </c>
      <c r="AM39" s="7">
        <v>0</v>
      </c>
      <c r="AN39" s="19">
        <f>+IF('Datos delta'!W39&gt;0,REASIGN('Datos delta'!W39,'Datos Protegidos'!$K39,PARTIDOS!X$8),0)</f>
        <v>0</v>
      </c>
      <c r="AO39" s="7">
        <v>0</v>
      </c>
      <c r="AP39" s="19">
        <f>+IF('Datos delta'!Y39&gt;0,REASIGN('Datos delta'!Y39,'Datos Protegidos'!$K39,PARTIDOS!Z$8),0)</f>
        <v>16134</v>
      </c>
      <c r="AQ39" s="7">
        <v>0</v>
      </c>
      <c r="AR39" s="19">
        <f>+IF('Datos delta'!AA39&gt;0,REASIGN('Datos delta'!AA39,'Datos Protegidos'!$K39,PARTIDOS!AB$8),0)</f>
        <v>0</v>
      </c>
      <c r="AS39" s="7">
        <v>0</v>
      </c>
      <c r="AT39" s="19">
        <f>+IF('Datos delta'!AC39&gt;0,REASIGN('Datos delta'!AC39,'Datos Protegidos'!$K39,PARTIDOS!AD$8),0)</f>
        <v>0</v>
      </c>
      <c r="AU39" s="7">
        <v>0</v>
      </c>
      <c r="AV39" s="19">
        <f>+IF('Datos delta'!AE39&gt;0,REASIGN('Datos delta'!AE39,'Datos Protegidos'!$K39,PARTIDOS!AF$8),0)</f>
        <v>0</v>
      </c>
      <c r="AW39" s="7">
        <v>0</v>
      </c>
      <c r="AX39" s="19">
        <f>+IF('Datos delta'!AG39&gt;0,REASIGN('Datos delta'!AG39,'Datos Protegidos'!$K39,PARTIDOS!AH$8),0)</f>
        <v>12616</v>
      </c>
      <c r="AY39" s="7">
        <v>0</v>
      </c>
      <c r="AZ39" s="19">
        <f>+IF('Datos delta'!AI39&gt;0,REASIGN('Datos delta'!AI39,'Datos Protegidos'!$K39,PARTIDOS!AJ$8),0)</f>
        <v>0</v>
      </c>
      <c r="BA39" s="7">
        <v>0</v>
      </c>
      <c r="BB39" s="19">
        <f>+IF('Datos delta'!AK39&gt;0,REASIGN('Datos delta'!AK39,'Datos Protegidos'!$K39,PARTIDOS!AL$8),0)</f>
        <v>0</v>
      </c>
      <c r="BC39" s="7">
        <v>0</v>
      </c>
      <c r="BD39" s="19">
        <f>+IF('Datos delta'!AM39&gt;0,REASIGN('Datos delta'!AM39,'Datos Protegidos'!$K39,PARTIDOS!AN$8),0)</f>
        <v>1184</v>
      </c>
      <c r="BE39" s="7">
        <v>0</v>
      </c>
      <c r="BF39" s="19">
        <f>+IF('Datos delta'!AO39&gt;0,REASIGN('Datos delta'!AO39,'Datos Protegidos'!$K39,PARTIDOS!AP$8),0)</f>
        <v>0</v>
      </c>
      <c r="BG39" s="7">
        <v>0</v>
      </c>
      <c r="BH39" s="19">
        <f>+IF('Datos delta'!AQ39&gt;0,REASIGN('Datos delta'!AQ39,'Datos Protegidos'!$K39,PARTIDOS!AR$8),0)</f>
        <v>235</v>
      </c>
      <c r="BI39" s="7">
        <v>0</v>
      </c>
      <c r="BJ39" s="19">
        <f>+IF('Datos delta'!AS39&gt;0,REASIGN('Datos delta'!AS39,'Datos Protegidos'!$K39,PARTIDOS!AT$8),0)</f>
        <v>219</v>
      </c>
      <c r="BK39" s="7">
        <v>0</v>
      </c>
      <c r="BL39" s="19">
        <f>+IF('Datos delta'!AU39&gt;0,REASIGN('Datos delta'!AU39,'Datos Protegidos'!$K39,PARTIDOS!AV$8),0)</f>
        <v>0</v>
      </c>
      <c r="BM39" s="7">
        <v>0</v>
      </c>
      <c r="BN39" s="19">
        <f>+IF('Datos delta'!AW39&gt;0,REASIGN('Datos delta'!AW39,'Datos Protegidos'!$K39,PARTIDOS!AX$8),0)</f>
        <v>0</v>
      </c>
      <c r="BO39" s="7">
        <v>0</v>
      </c>
      <c r="BP39" s="19">
        <f>+IF('Datos delta'!AY39&gt;0,REASIGN('Datos delta'!AY39,'Datos Protegidos'!$K39,PARTIDOS!AZ$8),0)</f>
        <v>0</v>
      </c>
      <c r="BQ39" s="7">
        <v>0</v>
      </c>
      <c r="BR39" s="19">
        <f>+IF('Datos delta'!BA39&gt;0,REASIGN('Datos delta'!BA39,'Datos Protegidos'!$K39,PARTIDOS!BB$8),0)</f>
        <v>0</v>
      </c>
      <c r="BS39" s="7">
        <v>0</v>
      </c>
      <c r="BT39" s="19">
        <f>+IF('Datos delta'!BC39&gt;0,REASIGN('Datos delta'!BC39,'Datos Protegidos'!$K39,PARTIDOS!BD$8),0)</f>
        <v>141</v>
      </c>
      <c r="BU39" s="7">
        <v>0</v>
      </c>
      <c r="BV39" s="19">
        <f>+IF('Datos delta'!BE39&gt;0,REASIGN('Datos delta'!BE39,'Datos Protegidos'!$K39,PARTIDOS!BF$8),0)</f>
        <v>0</v>
      </c>
      <c r="BW39" s="7">
        <v>0</v>
      </c>
      <c r="BX39" s="19">
        <f>+IF('Datos delta'!BG39&gt;0,REASIGN('Datos delta'!BG39,'Datos Protegidos'!$K39,PARTIDOS!BH$8),0)</f>
        <v>0</v>
      </c>
      <c r="BY39" s="7">
        <v>0</v>
      </c>
      <c r="BZ39" s="19">
        <f>+IF('Datos delta'!BI39&gt;0,REASIGN('Datos delta'!BI39,'Datos Protegidos'!$K39,PARTIDOS!BJ$8),0)</f>
        <v>186</v>
      </c>
      <c r="CA39" s="7">
        <v>0</v>
      </c>
      <c r="CB39" s="19">
        <f>+IF('Datos delta'!BK39&gt;0,REASIGN('Datos delta'!BK39,'Datos Protegidos'!$K39,PARTIDOS!BL$8),0)</f>
        <v>0</v>
      </c>
      <c r="CC39" s="7">
        <v>0</v>
      </c>
      <c r="CD39" s="19">
        <f>+IF('Datos delta'!BM39&gt;0,REASIGN('Datos delta'!BM39,'Datos Protegidos'!$K39,PARTIDOS!BN$8),0)</f>
        <v>0</v>
      </c>
      <c r="CE39" s="7">
        <v>0</v>
      </c>
      <c r="CF39" s="19">
        <f>+IF('Datos delta'!BO39&gt;0,REASIGN('Datos delta'!BO39,'Datos Protegidos'!$K39,PARTIDOS!BP$8),0)</f>
        <v>0</v>
      </c>
      <c r="CG39" s="7">
        <v>0</v>
      </c>
      <c r="CH39" s="19">
        <f>+IF('Datos delta'!BQ39&gt;0,REASIGN('Datos delta'!BQ39,'Datos Protegidos'!$K39,PARTIDOS!BR$8),0)</f>
        <v>0</v>
      </c>
      <c r="CI39" s="7">
        <v>0</v>
      </c>
      <c r="CJ39" s="19">
        <f>+IF('Datos delta'!BS39&gt;0,REASIGN('Datos delta'!BS39,'Datos Protegidos'!$K39,PARTIDOS!BT$8),0)</f>
        <v>0</v>
      </c>
      <c r="CK39" s="7">
        <v>0</v>
      </c>
      <c r="CL39" s="19">
        <f>+IF('Datos delta'!BU39&gt;0,REASIGN('Datos delta'!BU39,'Datos Protegidos'!$K39,PARTIDOS!BV$8),0)</f>
        <v>0</v>
      </c>
      <c r="CM39" s="7">
        <v>0</v>
      </c>
      <c r="CN39" s="19">
        <f>+IF('Datos delta'!BW39&gt;0,REASIGN('Datos delta'!BW39,'Datos Protegidos'!$K39,PARTIDOS!BX$8),0)</f>
        <v>0</v>
      </c>
      <c r="CO39" s="7">
        <v>0</v>
      </c>
      <c r="CP39" s="19">
        <f>+IF('Datos delta'!BY39&gt;0,REASIGN('Datos delta'!BY39,'Datos Protegidos'!$K39,PARTIDOS!BZ$8),0)</f>
        <v>0</v>
      </c>
      <c r="CQ39" s="7">
        <v>0</v>
      </c>
      <c r="CR39" s="19">
        <f>+IF('Datos delta'!CA39&gt;0,REASIGN('Datos delta'!CA39,'Datos Protegidos'!$K39,PARTIDOS!CB$8),0)</f>
        <v>0</v>
      </c>
      <c r="CS39" s="7">
        <v>0</v>
      </c>
      <c r="CT39" s="19">
        <f>+IF('Datos delta'!CC39&gt;0,REASIGN('Datos delta'!CC39,'Datos Protegidos'!$K39,PARTIDOS!CD$8),0)</f>
        <v>0</v>
      </c>
      <c r="CU39" s="7">
        <v>0</v>
      </c>
      <c r="CV39" s="19">
        <f>+IF('Datos delta'!CE39&gt;0,REASIGN('Datos delta'!CE39,'Datos Protegidos'!$K39,PARTIDOS!CF$8),0)</f>
        <v>0</v>
      </c>
      <c r="CW39" s="7">
        <v>0</v>
      </c>
      <c r="CX39" s="19">
        <f>+IF('Datos delta'!CG39&gt;0,REASIGN('Datos delta'!CG39,'Datos Protegidos'!$K39,PARTIDOS!CH$8),0)</f>
        <v>0</v>
      </c>
      <c r="CY39" s="7">
        <v>0</v>
      </c>
      <c r="CZ39" s="19">
        <f>+IF('Datos delta'!CI39&gt;0,REASIGN('Datos delta'!CI39,'Datos Protegidos'!$K39,PARTIDOS!CJ$8),0)</f>
        <v>0</v>
      </c>
      <c r="DA39" s="7">
        <v>0</v>
      </c>
      <c r="DB39" s="19">
        <f>+IF('Datos delta'!CK39&gt;0,REASIGN('Datos delta'!CK39,'Datos Protegidos'!$K39,PARTIDOS!CL$8),0)</f>
        <v>0</v>
      </c>
      <c r="DC39" s="7">
        <v>0</v>
      </c>
      <c r="DD39" s="19">
        <f>+IF('Datos delta'!CM39&gt;0,REASIGN('Datos delta'!CM39,'Datos Protegidos'!$K39,PARTIDOS!CN$8),0)</f>
        <v>0</v>
      </c>
      <c r="DE39" s="7">
        <v>0</v>
      </c>
      <c r="DF39" s="19">
        <f>+IF('Datos delta'!CO39&gt;0,REASIGN('Datos delta'!CO39,'Datos Protegidos'!$K39,PARTIDOS!CP$8),0)</f>
        <v>0</v>
      </c>
      <c r="DG39" s="7">
        <v>0</v>
      </c>
      <c r="DH39" s="19">
        <f>+IF('Datos delta'!CQ39&gt;0,REASIGN('Datos delta'!CQ39,'Datos Protegidos'!$K39,PARTIDOS!CR$8),0)</f>
        <v>0</v>
      </c>
      <c r="DI39" s="7">
        <v>0</v>
      </c>
      <c r="DJ39" s="19">
        <f>+IF('Datos delta'!CS39&gt;0,REASIGN('Datos delta'!CS39,'Datos Protegidos'!$K39,PARTIDOS!CT$8),0)</f>
        <v>0</v>
      </c>
      <c r="DK39" s="7">
        <v>0</v>
      </c>
      <c r="DL39" s="19">
        <f>+IF('Datos delta'!CU39&gt;0,REASIGN('Datos delta'!CU39,'Datos Protegidos'!$K39,PARTIDOS!CV$8),0)</f>
        <v>0</v>
      </c>
      <c r="DM39" s="7">
        <v>0</v>
      </c>
      <c r="DN39" s="19">
        <f>+IF('Datos delta'!CW39&gt;0,REASIGN('Datos delta'!CW39,'Datos Protegidos'!$K39,PARTIDOS!CX$8),0)</f>
        <v>0</v>
      </c>
      <c r="DO39" s="7">
        <v>0</v>
      </c>
      <c r="DP39" s="19">
        <f>+IF('Datos delta'!CY39&gt;0,REASIGN('Datos delta'!CY39,'Datos Protegidos'!$K39,PARTIDOS!CZ$8),0)</f>
        <v>0</v>
      </c>
      <c r="DQ39" s="7">
        <v>0</v>
      </c>
      <c r="DR39" s="19">
        <f>+IF('Datos delta'!DA39&gt;0,REASIGN('Datos delta'!DA39,'Datos Protegidos'!$K39,PARTIDOS!DB$8),0)</f>
        <v>0</v>
      </c>
      <c r="DS39" s="7">
        <v>0</v>
      </c>
      <c r="DT39" s="19">
        <f>+IF('Datos delta'!DC39&gt;0,REASIGN('Datos delta'!DC39,'Datos Protegidos'!$K39,PARTIDOS!DD$8),0)</f>
        <v>0</v>
      </c>
      <c r="DU39" s="7">
        <v>0</v>
      </c>
      <c r="DV39" s="19">
        <f>+IF('Datos delta'!DE39&gt;0,REASIGN('Datos delta'!DE39,'Datos Protegidos'!$K39,PARTIDOS!DF$8),0)</f>
        <v>0</v>
      </c>
      <c r="DW39" s="7">
        <v>0</v>
      </c>
      <c r="DX39" s="19">
        <f>+IF('Datos delta'!DG39&gt;0,REASIGN('Datos delta'!DG39,'Datos Protegidos'!$K39,PARTIDOS!DH$8),0)</f>
        <v>0</v>
      </c>
      <c r="DY39" s="7">
        <v>0</v>
      </c>
      <c r="DZ39" s="19">
        <f>+IF('Datos delta'!DI39&gt;0,REASIGN('Datos delta'!DI39,'Datos Protegidos'!$K39,PARTIDOS!DJ$8),0)</f>
        <v>0</v>
      </c>
      <c r="EA39" s="7">
        <v>0</v>
      </c>
      <c r="EB39" s="19">
        <f>+IF('Datos delta'!DK39&gt;0,REASIGN('Datos delta'!DK39,'Datos Protegidos'!$K39,PARTIDOS!DL$8),0)</f>
        <v>0</v>
      </c>
      <c r="EC39" s="7">
        <v>0</v>
      </c>
      <c r="ED39" s="19">
        <f>+IF('Datos delta'!DM39&gt;0,REASIGN('Datos delta'!DM39,'Datos Protegidos'!$K39,PARTIDOS!DN$8),0)</f>
        <v>0</v>
      </c>
      <c r="EE39" s="7">
        <v>0</v>
      </c>
      <c r="EF39" s="19">
        <f>+IF('Datos delta'!DO39&gt;0,REASIGN('Datos delta'!DO39,'Datos Protegidos'!$K39,PARTIDOS!DP$8),0)</f>
        <v>0</v>
      </c>
      <c r="EG39" s="7">
        <v>0</v>
      </c>
      <c r="EH39" s="19">
        <f>+IF('Datos delta'!DQ39&gt;0,REASIGN('Datos delta'!DQ39,'Datos Protegidos'!$K39,PARTIDOS!DR$8),0)</f>
        <v>0</v>
      </c>
      <c r="EI39" s="7">
        <v>0</v>
      </c>
      <c r="EJ39" s="19">
        <f>+IF('Datos delta'!DS39&gt;0,REASIGN('Datos delta'!DS39,'Datos Protegidos'!$K39,PARTIDOS!DT$8),0)</f>
        <v>0</v>
      </c>
      <c r="EK39" s="7">
        <v>0</v>
      </c>
      <c r="EL39" s="19">
        <f>+IF('Datos delta'!DU39&gt;0,REASIGN('Datos delta'!DU39,'Datos Protegidos'!$K39,PARTIDOS!DV$8),0)</f>
        <v>0</v>
      </c>
      <c r="EM39" s="7">
        <v>0</v>
      </c>
      <c r="EN39" s="19">
        <f>+IF('Datos delta'!DW39&gt;0,REASIGN('Datos delta'!DW39,'Datos Protegidos'!$K39,PARTIDOS!DX$8),0)</f>
        <v>0</v>
      </c>
      <c r="EO39" s="7">
        <v>0</v>
      </c>
      <c r="EP39" s="19">
        <f>+IF('Datos delta'!DY39&gt;0,REASIGN('Datos delta'!DY39,'Datos Protegidos'!$K39,PARTIDOS!DZ$8),0)</f>
        <v>0</v>
      </c>
      <c r="EQ39" s="7">
        <v>0</v>
      </c>
      <c r="ER39" s="19">
        <f>+IF('Datos delta'!EA39&gt;0,REASIGN('Datos delta'!EA39,'Datos Protegidos'!$K39,PARTIDOS!EB$8),0)</f>
        <v>72</v>
      </c>
      <c r="ES39" s="7">
        <v>0</v>
      </c>
      <c r="ET39" s="19">
        <f>+IF('Datos delta'!EC39&gt;0,REASIGN('Datos delta'!EC39,'Datos Protegidos'!$K39,PARTIDOS!ED$8),0)</f>
        <v>0</v>
      </c>
      <c r="EU39" s="7">
        <v>0</v>
      </c>
    </row>
    <row r="40" spans="1:151" x14ac:dyDescent="0.25">
      <c r="A40" s="7" t="s">
        <v>61</v>
      </c>
      <c r="B40" s="8">
        <v>32</v>
      </c>
      <c r="C40" s="7" t="s">
        <v>64</v>
      </c>
      <c r="D40" s="9">
        <v>309293</v>
      </c>
      <c r="E40">
        <v>542</v>
      </c>
      <c r="F40" s="1">
        <v>259175</v>
      </c>
      <c r="G40" s="1">
        <v>101127</v>
      </c>
      <c r="H40" s="1">
        <v>360302</v>
      </c>
      <c r="I40" s="1"/>
      <c r="J40" s="1"/>
      <c r="K40" s="1"/>
      <c r="L40" s="3">
        <f t="shared" si="1"/>
        <v>176819</v>
      </c>
      <c r="M40" s="3">
        <f t="shared" si="2"/>
        <v>174692</v>
      </c>
      <c r="N40" s="6">
        <f t="shared" si="0"/>
        <v>173026</v>
      </c>
      <c r="O40" s="1">
        <v>1666</v>
      </c>
      <c r="P40" s="1">
        <v>2127</v>
      </c>
      <c r="Q40" s="6">
        <f t="shared" si="3"/>
        <v>4</v>
      </c>
      <c r="R40" s="19">
        <f>+IF('Datos delta'!A40&gt;0,REASIGN('Datos delta'!A40,'Datos Protegidos'!$K40,PARTIDOS!B$8),0)</f>
        <v>60419</v>
      </c>
      <c r="S40" s="7">
        <v>2</v>
      </c>
      <c r="T40" s="19">
        <f>+IF('Datos delta'!C40&gt;0,REASIGN('Datos delta'!C40,'Datos Protegidos'!$K40,PARTIDOS!D$8),0)</f>
        <v>74048</v>
      </c>
      <c r="U40" s="7">
        <v>2</v>
      </c>
      <c r="V40" s="19">
        <f>+IF('Datos delta'!E40&gt;0,REASIGN('Datos delta'!E40,'Datos Protegidos'!$K40,PARTIDOS!F$8),0)</f>
        <v>13550</v>
      </c>
      <c r="W40" s="7">
        <v>0</v>
      </c>
      <c r="X40" s="19">
        <f>+IF('Datos delta'!G40&gt;0,REASIGN('Datos delta'!G40,'Datos Protegidos'!$K40,PARTIDOS!H$8),0)</f>
        <v>0</v>
      </c>
      <c r="Y40" s="7">
        <v>0</v>
      </c>
      <c r="Z40" s="19">
        <f>+IF('Datos delta'!I40&gt;0,REASIGN('Datos delta'!I40,'Datos Protegidos'!$K40,PARTIDOS!J$8),0)</f>
        <v>0</v>
      </c>
      <c r="AA40" s="7">
        <v>0</v>
      </c>
      <c r="AB40" s="19">
        <f>+IF('Datos delta'!K40&gt;0,REASIGN('Datos delta'!K40,'Datos Protegidos'!$K40,PARTIDOS!L$8),0)</f>
        <v>0</v>
      </c>
      <c r="AC40" s="7">
        <v>0</v>
      </c>
      <c r="AD40" s="19">
        <f>+IF('Datos delta'!M40&gt;0,REASIGN('Datos delta'!M40,'Datos Protegidos'!$K40,PARTIDOS!N$8),0)</f>
        <v>0</v>
      </c>
      <c r="AE40" s="7">
        <v>0</v>
      </c>
      <c r="AF40" s="19">
        <f>+IF('Datos delta'!O40&gt;0,REASIGN('Datos delta'!O40,'Datos Protegidos'!$K40,PARTIDOS!P$8),0)</f>
        <v>0</v>
      </c>
      <c r="AG40" s="7">
        <v>0</v>
      </c>
      <c r="AH40" s="19">
        <f>+IF('Datos delta'!Q40&gt;0,REASIGN('Datos delta'!Q40,'Datos Protegidos'!$K40,PARTIDOS!R$8),0)</f>
        <v>0</v>
      </c>
      <c r="AI40" s="7">
        <v>0</v>
      </c>
      <c r="AJ40" s="19">
        <f>+IF('Datos delta'!S40&gt;0,REASIGN('Datos delta'!S40,'Datos Protegidos'!$K40,PARTIDOS!T$8),0)</f>
        <v>0</v>
      </c>
      <c r="AK40" s="7">
        <v>0</v>
      </c>
      <c r="AL40" s="19">
        <f>+IF('Datos delta'!U40&gt;0,REASIGN('Datos delta'!U40,'Datos Protegidos'!$K40,PARTIDOS!V$8),0)</f>
        <v>0</v>
      </c>
      <c r="AM40" s="7">
        <v>0</v>
      </c>
      <c r="AN40" s="19">
        <f>+IF('Datos delta'!W40&gt;0,REASIGN('Datos delta'!W40,'Datos Protegidos'!$K40,PARTIDOS!X$8),0)</f>
        <v>0</v>
      </c>
      <c r="AO40" s="7">
        <v>0</v>
      </c>
      <c r="AP40" s="19">
        <f>+IF('Datos delta'!Y40&gt;0,REASIGN('Datos delta'!Y40,'Datos Protegidos'!$K40,PARTIDOS!Z$8),0)</f>
        <v>13233</v>
      </c>
      <c r="AQ40" s="7">
        <v>0</v>
      </c>
      <c r="AR40" s="19">
        <f>+IF('Datos delta'!AA40&gt;0,REASIGN('Datos delta'!AA40,'Datos Protegidos'!$K40,PARTIDOS!AB$8),0)</f>
        <v>0</v>
      </c>
      <c r="AS40" s="7">
        <v>0</v>
      </c>
      <c r="AT40" s="19">
        <f>+IF('Datos delta'!AC40&gt;0,REASIGN('Datos delta'!AC40,'Datos Protegidos'!$K40,PARTIDOS!AD$8),0)</f>
        <v>0</v>
      </c>
      <c r="AU40" s="7">
        <v>0</v>
      </c>
      <c r="AV40" s="19">
        <f>+IF('Datos delta'!AE40&gt;0,REASIGN('Datos delta'!AE40,'Datos Protegidos'!$K40,PARTIDOS!AF$8),0)</f>
        <v>0</v>
      </c>
      <c r="AW40" s="7">
        <v>0</v>
      </c>
      <c r="AX40" s="19">
        <f>+IF('Datos delta'!AG40&gt;0,REASIGN('Datos delta'!AG40,'Datos Protegidos'!$K40,PARTIDOS!AH$8),0)</f>
        <v>9999</v>
      </c>
      <c r="AY40" s="7">
        <v>0</v>
      </c>
      <c r="AZ40" s="19">
        <f>+IF('Datos delta'!AI40&gt;0,REASIGN('Datos delta'!AI40,'Datos Protegidos'!$K40,PARTIDOS!AJ$8),0)</f>
        <v>0</v>
      </c>
      <c r="BA40" s="7">
        <v>0</v>
      </c>
      <c r="BB40" s="19">
        <f>+IF('Datos delta'!AK40&gt;0,REASIGN('Datos delta'!AK40,'Datos Protegidos'!$K40,PARTIDOS!AL$8),0)</f>
        <v>0</v>
      </c>
      <c r="BC40" s="7">
        <v>0</v>
      </c>
      <c r="BD40" s="19">
        <f>+IF('Datos delta'!AM40&gt;0,REASIGN('Datos delta'!AM40,'Datos Protegidos'!$K40,PARTIDOS!AN$8),0)</f>
        <v>1088</v>
      </c>
      <c r="BE40" s="7">
        <v>0</v>
      </c>
      <c r="BF40" s="19">
        <f>+IF('Datos delta'!AO40&gt;0,REASIGN('Datos delta'!AO40,'Datos Protegidos'!$K40,PARTIDOS!AP$8),0)</f>
        <v>0</v>
      </c>
      <c r="BG40" s="7">
        <v>0</v>
      </c>
      <c r="BH40" s="19">
        <f>+IF('Datos delta'!AQ40&gt;0,REASIGN('Datos delta'!AQ40,'Datos Protegidos'!$K40,PARTIDOS!AR$8),0)</f>
        <v>219</v>
      </c>
      <c r="BI40" s="7">
        <v>0</v>
      </c>
      <c r="BJ40" s="19">
        <f>+IF('Datos delta'!AS40&gt;0,REASIGN('Datos delta'!AS40,'Datos Protegidos'!$K40,PARTIDOS!AT$8),0)</f>
        <v>305</v>
      </c>
      <c r="BK40" s="7">
        <v>0</v>
      </c>
      <c r="BL40" s="19">
        <f>+IF('Datos delta'!AU40&gt;0,REASIGN('Datos delta'!AU40,'Datos Protegidos'!$K40,PARTIDOS!AV$8),0)</f>
        <v>0</v>
      </c>
      <c r="BM40" s="7">
        <v>0</v>
      </c>
      <c r="BN40" s="19">
        <f>+IF('Datos delta'!AW40&gt;0,REASIGN('Datos delta'!AW40,'Datos Protegidos'!$K40,PARTIDOS!AX$8),0)</f>
        <v>0</v>
      </c>
      <c r="BO40" s="7">
        <v>0</v>
      </c>
      <c r="BP40" s="19">
        <f>+IF('Datos delta'!AY40&gt;0,REASIGN('Datos delta'!AY40,'Datos Protegidos'!$K40,PARTIDOS!AZ$8),0)</f>
        <v>0</v>
      </c>
      <c r="BQ40" s="7">
        <v>0</v>
      </c>
      <c r="BR40" s="19">
        <f>+IF('Datos delta'!BA40&gt;0,REASIGN('Datos delta'!BA40,'Datos Protegidos'!$K40,PARTIDOS!BB$8),0)</f>
        <v>0</v>
      </c>
      <c r="BS40" s="7">
        <v>0</v>
      </c>
      <c r="BT40" s="19">
        <f>+IF('Datos delta'!BC40&gt;0,REASIGN('Datos delta'!BC40,'Datos Protegidos'!$K40,PARTIDOS!BD$8),0)</f>
        <v>165</v>
      </c>
      <c r="BU40" s="7">
        <v>0</v>
      </c>
      <c r="BV40" s="19">
        <f>+IF('Datos delta'!BE40&gt;0,REASIGN('Datos delta'!BE40,'Datos Protegidos'!$K40,PARTIDOS!BF$8),0)</f>
        <v>0</v>
      </c>
      <c r="BW40" s="7">
        <v>0</v>
      </c>
      <c r="BX40" s="19">
        <f>+IF('Datos delta'!BG40&gt;0,REASIGN('Datos delta'!BG40,'Datos Protegidos'!$K40,PARTIDOS!BH$8),0)</f>
        <v>0</v>
      </c>
      <c r="BY40" s="7">
        <v>0</v>
      </c>
      <c r="BZ40" s="19">
        <f>+IF('Datos delta'!BI40&gt;0,REASIGN('Datos delta'!BI40,'Datos Protegidos'!$K40,PARTIDOS!BJ$8),0)</f>
        <v>0</v>
      </c>
      <c r="CA40" s="7">
        <v>0</v>
      </c>
      <c r="CB40" s="19">
        <f>+IF('Datos delta'!BK40&gt;0,REASIGN('Datos delta'!BK40,'Datos Protegidos'!$K40,PARTIDOS!BL$8),0)</f>
        <v>0</v>
      </c>
      <c r="CC40" s="7">
        <v>0</v>
      </c>
      <c r="CD40" s="19">
        <f>+IF('Datos delta'!BM40&gt;0,REASIGN('Datos delta'!BM40,'Datos Protegidos'!$K40,PARTIDOS!BN$8),0)</f>
        <v>0</v>
      </c>
      <c r="CE40" s="7">
        <v>0</v>
      </c>
      <c r="CF40" s="19">
        <f>+IF('Datos delta'!BO40&gt;0,REASIGN('Datos delta'!BO40,'Datos Protegidos'!$K40,PARTIDOS!BP$8),0)</f>
        <v>0</v>
      </c>
      <c r="CG40" s="7">
        <v>0</v>
      </c>
      <c r="CH40" s="19">
        <f>+IF('Datos delta'!BQ40&gt;0,REASIGN('Datos delta'!BQ40,'Datos Protegidos'!$K40,PARTIDOS!BR$8),0)</f>
        <v>0</v>
      </c>
      <c r="CI40" s="7">
        <v>0</v>
      </c>
      <c r="CJ40" s="19">
        <f>+IF('Datos delta'!BS40&gt;0,REASIGN('Datos delta'!BS40,'Datos Protegidos'!$K40,PARTIDOS!BT$8),0)</f>
        <v>0</v>
      </c>
      <c r="CK40" s="7">
        <v>0</v>
      </c>
      <c r="CL40" s="19">
        <f>+IF('Datos delta'!BU40&gt;0,REASIGN('Datos delta'!BU40,'Datos Protegidos'!$K40,PARTIDOS!BV$8),0)</f>
        <v>0</v>
      </c>
      <c r="CM40" s="7">
        <v>0</v>
      </c>
      <c r="CN40" s="19">
        <f>+IF('Datos delta'!BW40&gt;0,REASIGN('Datos delta'!BW40,'Datos Protegidos'!$K40,PARTIDOS!BX$8),0)</f>
        <v>0</v>
      </c>
      <c r="CO40" s="7">
        <v>0</v>
      </c>
      <c r="CP40" s="19">
        <f>+IF('Datos delta'!BY40&gt;0,REASIGN('Datos delta'!BY40,'Datos Protegidos'!$K40,PARTIDOS!BZ$8),0)</f>
        <v>0</v>
      </c>
      <c r="CQ40" s="7">
        <v>0</v>
      </c>
      <c r="CR40" s="19">
        <f>+IF('Datos delta'!CA40&gt;0,REASIGN('Datos delta'!CA40,'Datos Protegidos'!$K40,PARTIDOS!CB$8),0)</f>
        <v>0</v>
      </c>
      <c r="CS40" s="7">
        <v>0</v>
      </c>
      <c r="CT40" s="19">
        <f>+IF('Datos delta'!CC40&gt;0,REASIGN('Datos delta'!CC40,'Datos Protegidos'!$K40,PARTIDOS!CD$8),0)</f>
        <v>0</v>
      </c>
      <c r="CU40" s="7">
        <v>0</v>
      </c>
      <c r="CV40" s="19">
        <f>+IF('Datos delta'!CE40&gt;0,REASIGN('Datos delta'!CE40,'Datos Protegidos'!$K40,PARTIDOS!CF$8),0)</f>
        <v>0</v>
      </c>
      <c r="CW40" s="7">
        <v>0</v>
      </c>
      <c r="CX40" s="19">
        <f>+IF('Datos delta'!CG40&gt;0,REASIGN('Datos delta'!CG40,'Datos Protegidos'!$K40,PARTIDOS!CH$8),0)</f>
        <v>0</v>
      </c>
      <c r="CY40" s="7">
        <v>0</v>
      </c>
      <c r="CZ40" s="19">
        <f>+IF('Datos delta'!CI40&gt;0,REASIGN('Datos delta'!CI40,'Datos Protegidos'!$K40,PARTIDOS!CJ$8),0)</f>
        <v>0</v>
      </c>
      <c r="DA40" s="7">
        <v>0</v>
      </c>
      <c r="DB40" s="19">
        <f>+IF('Datos delta'!CK40&gt;0,REASIGN('Datos delta'!CK40,'Datos Protegidos'!$K40,PARTIDOS!CL$8),0)</f>
        <v>0</v>
      </c>
      <c r="DC40" s="7">
        <v>0</v>
      </c>
      <c r="DD40" s="19">
        <f>+IF('Datos delta'!CM40&gt;0,REASIGN('Datos delta'!CM40,'Datos Protegidos'!$K40,PARTIDOS!CN$8),0)</f>
        <v>0</v>
      </c>
      <c r="DE40" s="7">
        <v>0</v>
      </c>
      <c r="DF40" s="19">
        <f>+IF('Datos delta'!CO40&gt;0,REASIGN('Datos delta'!CO40,'Datos Protegidos'!$K40,PARTIDOS!CP$8),0)</f>
        <v>0</v>
      </c>
      <c r="DG40" s="7">
        <v>0</v>
      </c>
      <c r="DH40" s="19">
        <f>+IF('Datos delta'!CQ40&gt;0,REASIGN('Datos delta'!CQ40,'Datos Protegidos'!$K40,PARTIDOS!CR$8),0)</f>
        <v>0</v>
      </c>
      <c r="DI40" s="7">
        <v>0</v>
      </c>
      <c r="DJ40" s="19">
        <f>+IF('Datos delta'!CS40&gt;0,REASIGN('Datos delta'!CS40,'Datos Protegidos'!$K40,PARTIDOS!CT$8),0)</f>
        <v>0</v>
      </c>
      <c r="DK40" s="7">
        <v>0</v>
      </c>
      <c r="DL40" s="19">
        <f>+IF('Datos delta'!CU40&gt;0,REASIGN('Datos delta'!CU40,'Datos Protegidos'!$K40,PARTIDOS!CV$8),0)</f>
        <v>0</v>
      </c>
      <c r="DM40" s="7">
        <v>0</v>
      </c>
      <c r="DN40" s="19">
        <f>+IF('Datos delta'!CW40&gt;0,REASIGN('Datos delta'!CW40,'Datos Protegidos'!$K40,PARTIDOS!CX$8),0)</f>
        <v>0</v>
      </c>
      <c r="DO40" s="7">
        <v>0</v>
      </c>
      <c r="DP40" s="19">
        <f>+IF('Datos delta'!CY40&gt;0,REASIGN('Datos delta'!CY40,'Datos Protegidos'!$K40,PARTIDOS!CZ$8),0)</f>
        <v>0</v>
      </c>
      <c r="DQ40" s="7">
        <v>0</v>
      </c>
      <c r="DR40" s="19">
        <f>+IF('Datos delta'!DA40&gt;0,REASIGN('Datos delta'!DA40,'Datos Protegidos'!$K40,PARTIDOS!DB$8),0)</f>
        <v>0</v>
      </c>
      <c r="DS40" s="7">
        <v>0</v>
      </c>
      <c r="DT40" s="19">
        <f>+IF('Datos delta'!DC40&gt;0,REASIGN('Datos delta'!DC40,'Datos Protegidos'!$K40,PARTIDOS!DD$8),0)</f>
        <v>0</v>
      </c>
      <c r="DU40" s="7">
        <v>0</v>
      </c>
      <c r="DV40" s="19">
        <f>+IF('Datos delta'!DE40&gt;0,REASIGN('Datos delta'!DE40,'Datos Protegidos'!$K40,PARTIDOS!DF$8),0)</f>
        <v>0</v>
      </c>
      <c r="DW40" s="7">
        <v>0</v>
      </c>
      <c r="DX40" s="19">
        <f>+IF('Datos delta'!DG40&gt;0,REASIGN('Datos delta'!DG40,'Datos Protegidos'!$K40,PARTIDOS!DH$8),0)</f>
        <v>0</v>
      </c>
      <c r="DY40" s="7">
        <v>0</v>
      </c>
      <c r="DZ40" s="19">
        <f>+IF('Datos delta'!DI40&gt;0,REASIGN('Datos delta'!DI40,'Datos Protegidos'!$K40,PARTIDOS!DJ$8),0)</f>
        <v>0</v>
      </c>
      <c r="EA40" s="7">
        <v>0</v>
      </c>
      <c r="EB40" s="19">
        <f>+IF('Datos delta'!DK40&gt;0,REASIGN('Datos delta'!DK40,'Datos Protegidos'!$K40,PARTIDOS!DL$8),0)</f>
        <v>0</v>
      </c>
      <c r="EC40" s="7">
        <v>0</v>
      </c>
      <c r="ED40" s="19">
        <f>+IF('Datos delta'!DM40&gt;0,REASIGN('Datos delta'!DM40,'Datos Protegidos'!$K40,PARTIDOS!DN$8),0)</f>
        <v>0</v>
      </c>
      <c r="EE40" s="7">
        <v>0</v>
      </c>
      <c r="EF40" s="19">
        <f>+IF('Datos delta'!DO40&gt;0,REASIGN('Datos delta'!DO40,'Datos Protegidos'!$K40,PARTIDOS!DP$8),0)</f>
        <v>0</v>
      </c>
      <c r="EG40" s="7">
        <v>0</v>
      </c>
      <c r="EH40" s="19">
        <f>+IF('Datos delta'!DQ40&gt;0,REASIGN('Datos delta'!DQ40,'Datos Protegidos'!$K40,PARTIDOS!DR$8),0)</f>
        <v>0</v>
      </c>
      <c r="EI40" s="7">
        <v>0</v>
      </c>
      <c r="EJ40" s="19">
        <f>+IF('Datos delta'!DS40&gt;0,REASIGN('Datos delta'!DS40,'Datos Protegidos'!$K40,PARTIDOS!DT$8),0)</f>
        <v>0</v>
      </c>
      <c r="EK40" s="7">
        <v>0</v>
      </c>
      <c r="EL40" s="19">
        <f>+IF('Datos delta'!DU40&gt;0,REASIGN('Datos delta'!DU40,'Datos Protegidos'!$K40,PARTIDOS!DV$8),0)</f>
        <v>0</v>
      </c>
      <c r="EM40" s="7">
        <v>0</v>
      </c>
      <c r="EN40" s="19">
        <f>+IF('Datos delta'!DW40&gt;0,REASIGN('Datos delta'!DW40,'Datos Protegidos'!$K40,PARTIDOS!DX$8),0)</f>
        <v>0</v>
      </c>
      <c r="EO40" s="7">
        <v>0</v>
      </c>
      <c r="EP40" s="19">
        <f>+IF('Datos delta'!DY40&gt;0,REASIGN('Datos delta'!DY40,'Datos Protegidos'!$K40,PARTIDOS!DZ$8),0)</f>
        <v>0</v>
      </c>
      <c r="EQ40" s="7">
        <v>0</v>
      </c>
      <c r="ER40" s="19">
        <f>+IF('Datos delta'!EA40&gt;0,REASIGN('Datos delta'!EA40,'Datos Protegidos'!$K40,PARTIDOS!EB$8),0)</f>
        <v>0</v>
      </c>
      <c r="ES40" s="7">
        <v>0</v>
      </c>
      <c r="ET40" s="19">
        <f>+IF('Datos delta'!EC40&gt;0,REASIGN('Datos delta'!EC40,'Datos Protegidos'!$K40,PARTIDOS!ED$8),0)</f>
        <v>0</v>
      </c>
      <c r="EU40" s="7">
        <v>0</v>
      </c>
    </row>
    <row r="41" spans="1:151" x14ac:dyDescent="0.25">
      <c r="A41" s="7" t="s">
        <v>61</v>
      </c>
      <c r="B41" s="8">
        <v>36</v>
      </c>
      <c r="C41" s="7" t="s">
        <v>65</v>
      </c>
      <c r="D41" s="9">
        <v>941772</v>
      </c>
      <c r="E41" s="1">
        <v>1333</v>
      </c>
      <c r="F41" s="1">
        <v>772748</v>
      </c>
      <c r="G41" s="1">
        <v>133363</v>
      </c>
      <c r="H41" s="1">
        <v>906111</v>
      </c>
      <c r="I41" s="1"/>
      <c r="J41" s="1"/>
      <c r="K41" s="1"/>
      <c r="L41" s="3">
        <f t="shared" si="1"/>
        <v>537290</v>
      </c>
      <c r="M41" s="3">
        <f t="shared" si="2"/>
        <v>530210</v>
      </c>
      <c r="N41" s="6">
        <f t="shared" si="0"/>
        <v>525068</v>
      </c>
      <c r="O41" s="1">
        <v>5142</v>
      </c>
      <c r="P41" s="1">
        <v>7080</v>
      </c>
      <c r="Q41" s="6">
        <f t="shared" si="3"/>
        <v>7</v>
      </c>
      <c r="R41" s="19">
        <f>+IF('Datos delta'!A41&gt;0,REASIGN('Datos delta'!A41,'Datos Protegidos'!$K41,PARTIDOS!B$8),0)</f>
        <v>177093</v>
      </c>
      <c r="S41" s="7">
        <v>3</v>
      </c>
      <c r="T41" s="19">
        <f>+IF('Datos delta'!C41&gt;0,REASIGN('Datos delta'!C41,'Datos Protegidos'!$K41,PARTIDOS!D$8),0)</f>
        <v>174187</v>
      </c>
      <c r="U41" s="7">
        <v>3</v>
      </c>
      <c r="V41" s="19">
        <f>+IF('Datos delta'!E41&gt;0,REASIGN('Datos delta'!E41,'Datos Protegidos'!$K41,PARTIDOS!F$8),0)</f>
        <v>38881</v>
      </c>
      <c r="W41" s="7">
        <v>0</v>
      </c>
      <c r="X41" s="19">
        <f>+IF('Datos delta'!G41&gt;0,REASIGN('Datos delta'!G41,'Datos Protegidos'!$K41,PARTIDOS!H$8),0)</f>
        <v>0</v>
      </c>
      <c r="Y41" s="7">
        <v>0</v>
      </c>
      <c r="Z41" s="19">
        <f>+IF('Datos delta'!I41&gt;0,REASIGN('Datos delta'!I41,'Datos Protegidos'!$K41,PARTIDOS!J$8),0)</f>
        <v>0</v>
      </c>
      <c r="AA41" s="7">
        <v>0</v>
      </c>
      <c r="AB41" s="19">
        <f>+IF('Datos delta'!K41&gt;0,REASIGN('Datos delta'!K41,'Datos Protegidos'!$K41,PARTIDOS!L$8),0)</f>
        <v>0</v>
      </c>
      <c r="AC41" s="7">
        <v>0</v>
      </c>
      <c r="AD41" s="19">
        <f>+IF('Datos delta'!M41&gt;0,REASIGN('Datos delta'!M41,'Datos Protegidos'!$K41,PARTIDOS!N$8),0)</f>
        <v>0</v>
      </c>
      <c r="AE41" s="7">
        <v>0</v>
      </c>
      <c r="AF41" s="19">
        <f>+IF('Datos delta'!O41&gt;0,REASIGN('Datos delta'!O41,'Datos Protegidos'!$K41,PARTIDOS!P$8),0)</f>
        <v>0</v>
      </c>
      <c r="AG41" s="7">
        <v>0</v>
      </c>
      <c r="AH41" s="19">
        <f>+IF('Datos delta'!Q41&gt;0,REASIGN('Datos delta'!Q41,'Datos Protegidos'!$K41,PARTIDOS!R$8),0)</f>
        <v>0</v>
      </c>
      <c r="AI41" s="7">
        <v>0</v>
      </c>
      <c r="AJ41" s="19">
        <f>+IF('Datos delta'!S41&gt;0,REASIGN('Datos delta'!S41,'Datos Protegidos'!$K41,PARTIDOS!T$8),0)</f>
        <v>0</v>
      </c>
      <c r="AK41" s="7">
        <v>0</v>
      </c>
      <c r="AL41" s="19">
        <f>+IF('Datos delta'!U41&gt;0,REASIGN('Datos delta'!U41,'Datos Protegidos'!$K41,PARTIDOS!V$8),0)</f>
        <v>10717</v>
      </c>
      <c r="AM41" s="7">
        <v>0</v>
      </c>
      <c r="AN41" s="19">
        <f>+IF('Datos delta'!W41&gt;0,REASIGN('Datos delta'!W41,'Datos Protegidos'!$K41,PARTIDOS!X$8),0)</f>
        <v>0</v>
      </c>
      <c r="AO41" s="7">
        <v>0</v>
      </c>
      <c r="AP41" s="19">
        <f>+IF('Datos delta'!Y41&gt;0,REASIGN('Datos delta'!Y41,'Datos Protegidos'!$K41,PARTIDOS!Z$8),0)</f>
        <v>79014</v>
      </c>
      <c r="AQ41" s="7">
        <v>1</v>
      </c>
      <c r="AR41" s="19">
        <f>+IF('Datos delta'!AA41&gt;0,REASIGN('Datos delta'!AA41,'Datos Protegidos'!$K41,PARTIDOS!AB$8),0)</f>
        <v>0</v>
      </c>
      <c r="AS41" s="7">
        <v>0</v>
      </c>
      <c r="AT41" s="19">
        <f>+IF('Datos delta'!AC41&gt;0,REASIGN('Datos delta'!AC41,'Datos Protegidos'!$K41,PARTIDOS!AD$8),0)</f>
        <v>0</v>
      </c>
      <c r="AU41" s="7">
        <v>0</v>
      </c>
      <c r="AV41" s="19">
        <f>+IF('Datos delta'!AE41&gt;0,REASIGN('Datos delta'!AE41,'Datos Protegidos'!$K41,PARTIDOS!AF$8),0)</f>
        <v>0</v>
      </c>
      <c r="AW41" s="7">
        <v>0</v>
      </c>
      <c r="AX41" s="19">
        <f>+IF('Datos delta'!AG41&gt;0,REASIGN('Datos delta'!AG41,'Datos Protegidos'!$K41,PARTIDOS!AH$8),0)</f>
        <v>38146</v>
      </c>
      <c r="AY41" s="7">
        <v>0</v>
      </c>
      <c r="AZ41" s="19">
        <f>+IF('Datos delta'!AI41&gt;0,REASIGN('Datos delta'!AI41,'Datos Protegidos'!$K41,PARTIDOS!AJ$8),0)</f>
        <v>0</v>
      </c>
      <c r="BA41" s="7">
        <v>0</v>
      </c>
      <c r="BB41" s="19">
        <f>+IF('Datos delta'!AK41&gt;0,REASIGN('Datos delta'!AK41,'Datos Protegidos'!$K41,PARTIDOS!AL$8),0)</f>
        <v>0</v>
      </c>
      <c r="BC41" s="7">
        <v>0</v>
      </c>
      <c r="BD41" s="19">
        <f>+IF('Datos delta'!AM41&gt;0,REASIGN('Datos delta'!AM41,'Datos Protegidos'!$K41,PARTIDOS!AN$8),0)</f>
        <v>4595</v>
      </c>
      <c r="BE41" s="7">
        <v>0</v>
      </c>
      <c r="BF41" s="19">
        <f>+IF('Datos delta'!AO41&gt;0,REASIGN('Datos delta'!AO41,'Datos Protegidos'!$K41,PARTIDOS!AP$8),0)</f>
        <v>0</v>
      </c>
      <c r="BG41" s="7">
        <v>0</v>
      </c>
      <c r="BH41" s="19">
        <f>+IF('Datos delta'!AQ41&gt;0,REASIGN('Datos delta'!AQ41,'Datos Protegidos'!$K41,PARTIDOS!AR$8),0)</f>
        <v>786</v>
      </c>
      <c r="BI41" s="7">
        <v>0</v>
      </c>
      <c r="BJ41" s="19">
        <f>+IF('Datos delta'!AS41&gt;0,REASIGN('Datos delta'!AS41,'Datos Protegidos'!$K41,PARTIDOS!AT$8),0)</f>
        <v>444</v>
      </c>
      <c r="BK41" s="7">
        <v>0</v>
      </c>
      <c r="BL41" s="19">
        <f>+IF('Datos delta'!AU41&gt;0,REASIGN('Datos delta'!AU41,'Datos Protegidos'!$K41,PARTIDOS!AV$8),0)</f>
        <v>0</v>
      </c>
      <c r="BM41" s="7">
        <v>0</v>
      </c>
      <c r="BN41" s="19">
        <f>+IF('Datos delta'!AW41&gt;0,REASIGN('Datos delta'!AW41,'Datos Protegidos'!$K41,PARTIDOS!AX$8),0)</f>
        <v>0</v>
      </c>
      <c r="BO41" s="7">
        <v>0</v>
      </c>
      <c r="BP41" s="19">
        <f>+IF('Datos delta'!AY41&gt;0,REASIGN('Datos delta'!AY41,'Datos Protegidos'!$K41,PARTIDOS!AZ$8),0)</f>
        <v>0</v>
      </c>
      <c r="BQ41" s="7">
        <v>0</v>
      </c>
      <c r="BR41" s="19">
        <f>+IF('Datos delta'!BA41&gt;0,REASIGN('Datos delta'!BA41,'Datos Protegidos'!$K41,PARTIDOS!BB$8),0)</f>
        <v>0</v>
      </c>
      <c r="BS41" s="7">
        <v>0</v>
      </c>
      <c r="BT41" s="19">
        <f>+IF('Datos delta'!BC41&gt;0,REASIGN('Datos delta'!BC41,'Datos Protegidos'!$K41,PARTIDOS!BD$8),0)</f>
        <v>517</v>
      </c>
      <c r="BU41" s="7">
        <v>0</v>
      </c>
      <c r="BV41" s="19">
        <f>+IF('Datos delta'!BE41&gt;0,REASIGN('Datos delta'!BE41,'Datos Protegidos'!$K41,PARTIDOS!BF$8),0)</f>
        <v>0</v>
      </c>
      <c r="BW41" s="7">
        <v>0</v>
      </c>
      <c r="BX41" s="19">
        <f>+IF('Datos delta'!BG41&gt;0,REASIGN('Datos delta'!BG41,'Datos Protegidos'!$K41,PARTIDOS!BH$8),0)</f>
        <v>0</v>
      </c>
      <c r="BY41" s="7">
        <v>0</v>
      </c>
      <c r="BZ41" s="19">
        <f>+IF('Datos delta'!BI41&gt;0,REASIGN('Datos delta'!BI41,'Datos Protegidos'!$K41,PARTIDOS!BJ$8),0)</f>
        <v>0</v>
      </c>
      <c r="CA41" s="7">
        <v>0</v>
      </c>
      <c r="CB41" s="19">
        <f>+IF('Datos delta'!BK41&gt;0,REASIGN('Datos delta'!BK41,'Datos Protegidos'!$K41,PARTIDOS!BL$8),0)</f>
        <v>0</v>
      </c>
      <c r="CC41" s="7">
        <v>0</v>
      </c>
      <c r="CD41" s="19">
        <f>+IF('Datos delta'!BM41&gt;0,REASIGN('Datos delta'!BM41,'Datos Protegidos'!$K41,PARTIDOS!BN$8),0)</f>
        <v>688</v>
      </c>
      <c r="CE41" s="7">
        <v>0</v>
      </c>
      <c r="CF41" s="19">
        <f>+IF('Datos delta'!BO41&gt;0,REASIGN('Datos delta'!BO41,'Datos Protegidos'!$K41,PARTIDOS!BP$8),0)</f>
        <v>0</v>
      </c>
      <c r="CG41" s="7">
        <v>0</v>
      </c>
      <c r="CH41" s="19">
        <f>+IF('Datos delta'!BQ41&gt;0,REASIGN('Datos delta'!BQ41,'Datos Protegidos'!$K41,PARTIDOS!BR$8),0)</f>
        <v>0</v>
      </c>
      <c r="CI41" s="7">
        <v>0</v>
      </c>
      <c r="CJ41" s="19">
        <f>+IF('Datos delta'!BS41&gt;0,REASIGN('Datos delta'!BS41,'Datos Protegidos'!$K41,PARTIDOS!BT$8),0)</f>
        <v>0</v>
      </c>
      <c r="CK41" s="7">
        <v>0</v>
      </c>
      <c r="CL41" s="19">
        <f>+IF('Datos delta'!BU41&gt;0,REASIGN('Datos delta'!BU41,'Datos Protegidos'!$K41,PARTIDOS!BV$8),0)</f>
        <v>0</v>
      </c>
      <c r="CM41" s="7">
        <v>0</v>
      </c>
      <c r="CN41" s="19">
        <f>+IF('Datos delta'!BW41&gt;0,REASIGN('Datos delta'!BW41,'Datos Protegidos'!$K41,PARTIDOS!BX$8),0)</f>
        <v>0</v>
      </c>
      <c r="CO41" s="7">
        <v>0</v>
      </c>
      <c r="CP41" s="19">
        <f>+IF('Datos delta'!BY41&gt;0,REASIGN('Datos delta'!BY41,'Datos Protegidos'!$K41,PARTIDOS!BZ$8),0)</f>
        <v>0</v>
      </c>
      <c r="CQ41" s="7">
        <v>0</v>
      </c>
      <c r="CR41" s="19">
        <f>+IF('Datos delta'!CA41&gt;0,REASIGN('Datos delta'!CA41,'Datos Protegidos'!$K41,PARTIDOS!CB$8),0)</f>
        <v>0</v>
      </c>
      <c r="CS41" s="7">
        <v>0</v>
      </c>
      <c r="CT41" s="19">
        <f>+IF('Datos delta'!CC41&gt;0,REASIGN('Datos delta'!CC41,'Datos Protegidos'!$K41,PARTIDOS!CD$8),0)</f>
        <v>0</v>
      </c>
      <c r="CU41" s="7">
        <v>0</v>
      </c>
      <c r="CV41" s="19">
        <f>+IF('Datos delta'!CE41&gt;0,REASIGN('Datos delta'!CE41,'Datos Protegidos'!$K41,PARTIDOS!CF$8),0)</f>
        <v>0</v>
      </c>
      <c r="CW41" s="7">
        <v>0</v>
      </c>
      <c r="CX41" s="19">
        <f>+IF('Datos delta'!CG41&gt;0,REASIGN('Datos delta'!CG41,'Datos Protegidos'!$K41,PARTIDOS!CH$8),0)</f>
        <v>0</v>
      </c>
      <c r="CY41" s="7">
        <v>0</v>
      </c>
      <c r="CZ41" s="19">
        <f>+IF('Datos delta'!CI41&gt;0,REASIGN('Datos delta'!CI41,'Datos Protegidos'!$K41,PARTIDOS!CJ$8),0)</f>
        <v>0</v>
      </c>
      <c r="DA41" s="7">
        <v>0</v>
      </c>
      <c r="DB41" s="19">
        <f>+IF('Datos delta'!CK41&gt;0,REASIGN('Datos delta'!CK41,'Datos Protegidos'!$K41,PARTIDOS!CL$8),0)</f>
        <v>0</v>
      </c>
      <c r="DC41" s="7">
        <v>0</v>
      </c>
      <c r="DD41" s="19">
        <f>+IF('Datos delta'!CM41&gt;0,REASIGN('Datos delta'!CM41,'Datos Protegidos'!$K41,PARTIDOS!CN$8),0)</f>
        <v>0</v>
      </c>
      <c r="DE41" s="7">
        <v>0</v>
      </c>
      <c r="DF41" s="19">
        <f>+IF('Datos delta'!CO41&gt;0,REASIGN('Datos delta'!CO41,'Datos Protegidos'!$K41,PARTIDOS!CP$8),0)</f>
        <v>0</v>
      </c>
      <c r="DG41" s="7">
        <v>0</v>
      </c>
      <c r="DH41" s="19">
        <f>+IF('Datos delta'!CQ41&gt;0,REASIGN('Datos delta'!CQ41,'Datos Protegidos'!$K41,PARTIDOS!CR$8),0)</f>
        <v>0</v>
      </c>
      <c r="DI41" s="7">
        <v>0</v>
      </c>
      <c r="DJ41" s="19">
        <f>+IF('Datos delta'!CS41&gt;0,REASIGN('Datos delta'!CS41,'Datos Protegidos'!$K41,PARTIDOS!CT$8),0)</f>
        <v>0</v>
      </c>
      <c r="DK41" s="7">
        <v>0</v>
      </c>
      <c r="DL41" s="19">
        <f>+IF('Datos delta'!CU41&gt;0,REASIGN('Datos delta'!CU41,'Datos Protegidos'!$K41,PARTIDOS!CV$8),0)</f>
        <v>0</v>
      </c>
      <c r="DM41" s="7">
        <v>0</v>
      </c>
      <c r="DN41" s="19">
        <f>+IF('Datos delta'!CW41&gt;0,REASIGN('Datos delta'!CW41,'Datos Protegidos'!$K41,PARTIDOS!CX$8),0)</f>
        <v>0</v>
      </c>
      <c r="DO41" s="7">
        <v>0</v>
      </c>
      <c r="DP41" s="19">
        <f>+IF('Datos delta'!CY41&gt;0,REASIGN('Datos delta'!CY41,'Datos Protegidos'!$K41,PARTIDOS!CZ$8),0)</f>
        <v>0</v>
      </c>
      <c r="DQ41" s="7">
        <v>0</v>
      </c>
      <c r="DR41" s="19">
        <f>+IF('Datos delta'!DA41&gt;0,REASIGN('Datos delta'!DA41,'Datos Protegidos'!$K41,PARTIDOS!DB$8),0)</f>
        <v>0</v>
      </c>
      <c r="DS41" s="7">
        <v>0</v>
      </c>
      <c r="DT41" s="19">
        <f>+IF('Datos delta'!DC41&gt;0,REASIGN('Datos delta'!DC41,'Datos Protegidos'!$K41,PARTIDOS!DD$8),0)</f>
        <v>0</v>
      </c>
      <c r="DU41" s="7">
        <v>0</v>
      </c>
      <c r="DV41" s="19">
        <f>+IF('Datos delta'!DE41&gt;0,REASIGN('Datos delta'!DE41,'Datos Protegidos'!$K41,PARTIDOS!DF$8),0)</f>
        <v>0</v>
      </c>
      <c r="DW41" s="7">
        <v>0</v>
      </c>
      <c r="DX41" s="19">
        <f>+IF('Datos delta'!DG41&gt;0,REASIGN('Datos delta'!DG41,'Datos Protegidos'!$K41,PARTIDOS!DH$8),0)</f>
        <v>0</v>
      </c>
      <c r="DY41" s="7">
        <v>0</v>
      </c>
      <c r="DZ41" s="19">
        <f>+IF('Datos delta'!DI41&gt;0,REASIGN('Datos delta'!DI41,'Datos Protegidos'!$K41,PARTIDOS!DJ$8),0)</f>
        <v>0</v>
      </c>
      <c r="EA41" s="7">
        <v>0</v>
      </c>
      <c r="EB41" s="19">
        <f>+IF('Datos delta'!DK41&gt;0,REASIGN('Datos delta'!DK41,'Datos Protegidos'!$K41,PARTIDOS!DL$8),0)</f>
        <v>0</v>
      </c>
      <c r="EC41" s="7">
        <v>0</v>
      </c>
      <c r="ED41" s="19">
        <f>+IF('Datos delta'!DM41&gt;0,REASIGN('Datos delta'!DM41,'Datos Protegidos'!$K41,PARTIDOS!DN$8),0)</f>
        <v>0</v>
      </c>
      <c r="EE41" s="7">
        <v>0</v>
      </c>
      <c r="EF41" s="19">
        <f>+IF('Datos delta'!DO41&gt;0,REASIGN('Datos delta'!DO41,'Datos Protegidos'!$K41,PARTIDOS!DP$8),0)</f>
        <v>0</v>
      </c>
      <c r="EG41" s="7">
        <v>0</v>
      </c>
      <c r="EH41" s="19">
        <f>+IF('Datos delta'!DQ41&gt;0,REASIGN('Datos delta'!DQ41,'Datos Protegidos'!$K41,PARTIDOS!DR$8),0)</f>
        <v>0</v>
      </c>
      <c r="EI41" s="7">
        <v>0</v>
      </c>
      <c r="EJ41" s="19">
        <f>+IF('Datos delta'!DS41&gt;0,REASIGN('Datos delta'!DS41,'Datos Protegidos'!$K41,PARTIDOS!DT$8),0)</f>
        <v>0</v>
      </c>
      <c r="EK41" s="7">
        <v>0</v>
      </c>
      <c r="EL41" s="19">
        <f>+IF('Datos delta'!DU41&gt;0,REASIGN('Datos delta'!DU41,'Datos Protegidos'!$K41,PARTIDOS!DV$8),0)</f>
        <v>0</v>
      </c>
      <c r="EM41" s="7">
        <v>0</v>
      </c>
      <c r="EN41" s="19">
        <f>+IF('Datos delta'!DW41&gt;0,REASIGN('Datos delta'!DW41,'Datos Protegidos'!$K41,PARTIDOS!DX$8),0)</f>
        <v>0</v>
      </c>
      <c r="EO41" s="7">
        <v>0</v>
      </c>
      <c r="EP41" s="19">
        <f>+IF('Datos delta'!DY41&gt;0,REASIGN('Datos delta'!DY41,'Datos Protegidos'!$K41,PARTIDOS!DZ$8),0)</f>
        <v>0</v>
      </c>
      <c r="EQ41" s="7">
        <v>0</v>
      </c>
      <c r="ER41" s="19">
        <f>+IF('Datos delta'!EA41&gt;0,REASIGN('Datos delta'!EA41,'Datos Protegidos'!$K41,PARTIDOS!EB$8),0)</f>
        <v>0</v>
      </c>
      <c r="ES41" s="7">
        <v>0</v>
      </c>
      <c r="ET41" s="19">
        <f>+IF('Datos delta'!EC41&gt;0,REASIGN('Datos delta'!EC41,'Datos Protegidos'!$K41,PARTIDOS!ED$8),0)</f>
        <v>0</v>
      </c>
      <c r="EU41" s="7">
        <v>0</v>
      </c>
    </row>
    <row r="42" spans="1:151" x14ac:dyDescent="0.25">
      <c r="A42" s="7" t="s">
        <v>66</v>
      </c>
      <c r="B42" s="8">
        <v>28</v>
      </c>
      <c r="C42" s="7" t="s">
        <v>67</v>
      </c>
      <c r="D42" s="9">
        <v>6578079</v>
      </c>
      <c r="E42" s="1">
        <v>7564</v>
      </c>
      <c r="F42" s="1">
        <v>4773718</v>
      </c>
      <c r="G42" s="1">
        <v>314375</v>
      </c>
      <c r="H42" s="1">
        <v>5088093</v>
      </c>
      <c r="I42" s="1"/>
      <c r="J42" s="1"/>
      <c r="K42" s="1"/>
      <c r="L42" s="3">
        <f t="shared" si="1"/>
        <v>3671070</v>
      </c>
      <c r="M42" s="3">
        <f t="shared" si="2"/>
        <v>3642753</v>
      </c>
      <c r="N42" s="6">
        <f t="shared" si="0"/>
        <v>3613970</v>
      </c>
      <c r="O42" s="1">
        <v>28783</v>
      </c>
      <c r="P42" s="1">
        <v>28317</v>
      </c>
      <c r="Q42" s="6">
        <f t="shared" si="3"/>
        <v>37</v>
      </c>
      <c r="R42" s="19">
        <f>+IF('Datos delta'!A42&gt;0,REASIGN('Datos delta'!A42,'Datos Protegidos'!$K42,PARTIDOS!B$8),0)</f>
        <v>1037578</v>
      </c>
      <c r="S42" s="7">
        <v>10</v>
      </c>
      <c r="T42" s="19">
        <f>+IF('Datos delta'!C42&gt;0,REASIGN('Datos delta'!C42,'Datos Protegidos'!$K42,PARTIDOS!D$8),0)</f>
        <v>1163683</v>
      </c>
      <c r="U42" s="7">
        <v>10</v>
      </c>
      <c r="V42" s="19">
        <f>+IF('Datos delta'!E42&gt;0,REASIGN('Datos delta'!E42,'Datos Protegidos'!$K42,PARTIDOS!F$8),0)</f>
        <v>666545</v>
      </c>
      <c r="W42" s="7">
        <v>7</v>
      </c>
      <c r="X42" s="19">
        <f>+IF('Datos delta'!G42&gt;0,REASIGN('Datos delta'!G42,'Datos Protegidos'!$K42,PARTIDOS!H$8),0)</f>
        <v>486810</v>
      </c>
      <c r="Y42" s="7">
        <v>5</v>
      </c>
      <c r="Z42" s="19">
        <f>+IF('Datos delta'!I42&gt;0,REASIGN('Datos delta'!I42,'Datos Protegidos'!$K42,PARTIDOS!J$8),0)</f>
        <v>0</v>
      </c>
      <c r="AA42" s="7">
        <v>0</v>
      </c>
      <c r="AB42" s="19">
        <f>+IF('Datos delta'!K42&gt;0,REASIGN('Datos delta'!K42,'Datos Protegidos'!$K42,PARTIDOS!L$8),0)</f>
        <v>0</v>
      </c>
      <c r="AC42" s="7">
        <v>3</v>
      </c>
      <c r="AD42" s="19">
        <f>+IF('Datos delta'!M42&gt;0,REASIGN('Datos delta'!M42,'Datos Protegidos'!$K42,PARTIDOS!N$8),0)</f>
        <v>0</v>
      </c>
      <c r="AE42" s="7">
        <v>0</v>
      </c>
      <c r="AF42" s="19">
        <f>+IF('Datos delta'!O42&gt;0,REASIGN('Datos delta'!O42,'Datos Protegidos'!$K42,PARTIDOS!P$8),0)</f>
        <v>0</v>
      </c>
      <c r="AG42" s="7">
        <v>0</v>
      </c>
      <c r="AH42" s="19">
        <f>+IF('Datos delta'!Q42&gt;0,REASIGN('Datos delta'!Q42,'Datos Protegidos'!$K42,PARTIDOS!R$8),0)</f>
        <v>0</v>
      </c>
      <c r="AI42" s="7">
        <v>0</v>
      </c>
      <c r="AJ42" s="19">
        <f>+IF('Datos delta'!S42&gt;0,REASIGN('Datos delta'!S42,'Datos Protegidos'!$K42,PARTIDOS!T$8),0)</f>
        <v>0</v>
      </c>
      <c r="AK42" s="7">
        <v>0</v>
      </c>
      <c r="AL42" s="19">
        <f>+IF('Datos delta'!U42&gt;0,REASIGN('Datos delta'!U42,'Datos Protegidos'!$K42,PARTIDOS!V$8),0)</f>
        <v>211458</v>
      </c>
      <c r="AM42" s="7">
        <v>2</v>
      </c>
      <c r="AN42" s="19">
        <f>+IF('Datos delta'!W42&gt;0,REASIGN('Datos delta'!W42,'Datos Protegidos'!$K42,PARTIDOS!X$8),0)</f>
        <v>0</v>
      </c>
      <c r="AO42" s="7">
        <v>0</v>
      </c>
      <c r="AP42" s="19">
        <f>+IF('Datos delta'!Y42&gt;0,REASIGN('Datos delta'!Y42,'Datos Protegidos'!$K42,PARTIDOS!Z$8),0)</f>
        <v>0</v>
      </c>
      <c r="AQ42" s="7">
        <v>0</v>
      </c>
      <c r="AR42" s="19">
        <f>+IF('Datos delta'!AA42&gt;0,REASIGN('Datos delta'!AA42,'Datos Protegidos'!$K42,PARTIDOS!AB$8),0)</f>
        <v>0</v>
      </c>
      <c r="AS42" s="7">
        <v>0</v>
      </c>
      <c r="AT42" s="19">
        <f>+IF('Datos delta'!AC42&gt;0,REASIGN('Datos delta'!AC42,'Datos Protegidos'!$K42,PARTIDOS!AD$8),0)</f>
        <v>0</v>
      </c>
      <c r="AU42" s="7">
        <v>0</v>
      </c>
      <c r="AV42" s="19">
        <f>+IF('Datos delta'!AE42&gt;0,REASIGN('Datos delta'!AE42,'Datos Protegidos'!$K42,PARTIDOS!AF$8),0)</f>
        <v>0</v>
      </c>
      <c r="AW42" s="7">
        <v>0</v>
      </c>
      <c r="AX42" s="19">
        <f>+IF('Datos delta'!AG42&gt;0,REASIGN('Datos delta'!AG42,'Datos Protegidos'!$K42,PARTIDOS!AH$8),0)</f>
        <v>0</v>
      </c>
      <c r="AY42" s="7">
        <v>0</v>
      </c>
      <c r="AZ42" s="19">
        <f>+IF('Datos delta'!AI42&gt;0,REASIGN('Datos delta'!AI42,'Datos Protegidos'!$K42,PARTIDOS!AJ$8),0)</f>
        <v>0</v>
      </c>
      <c r="BA42" s="7">
        <v>0</v>
      </c>
      <c r="BB42" s="19">
        <f>+IF('Datos delta'!AK42&gt;0,REASIGN('Datos delta'!AK42,'Datos Protegidos'!$K42,PARTIDOS!AL$8),0)</f>
        <v>0</v>
      </c>
      <c r="BC42" s="7">
        <v>0</v>
      </c>
      <c r="BD42" s="19">
        <f>+IF('Datos delta'!AM42&gt;0,REASIGN('Datos delta'!AM42,'Datos Protegidos'!$K42,PARTIDOS!AN$8),0)</f>
        <v>31823</v>
      </c>
      <c r="BE42" s="7">
        <v>0</v>
      </c>
      <c r="BF42" s="19">
        <f>+IF('Datos delta'!AO42&gt;0,REASIGN('Datos delta'!AO42,'Datos Protegidos'!$K42,PARTIDOS!AP$8),0)</f>
        <v>0</v>
      </c>
      <c r="BG42" s="7">
        <v>0</v>
      </c>
      <c r="BH42" s="19">
        <f>+IF('Datos delta'!AQ42&gt;0,REASIGN('Datos delta'!AQ42,'Datos Protegidos'!$K42,PARTIDOS!AR$8),0)</f>
        <v>5103</v>
      </c>
      <c r="BI42" s="7">
        <v>0</v>
      </c>
      <c r="BJ42" s="19">
        <f>+IF('Datos delta'!AS42&gt;0,REASIGN('Datos delta'!AS42,'Datos Protegidos'!$K42,PARTIDOS!AT$8),0)</f>
        <v>4283</v>
      </c>
      <c r="BK42" s="7">
        <v>0</v>
      </c>
      <c r="BL42" s="19">
        <f>+IF('Datos delta'!AU42&gt;0,REASIGN('Datos delta'!AU42,'Datos Protegidos'!$K42,PARTIDOS!AV$8),0)</f>
        <v>0</v>
      </c>
      <c r="BM42" s="7">
        <v>0</v>
      </c>
      <c r="BN42" s="19">
        <f>+IF('Datos delta'!AW42&gt;0,REASIGN('Datos delta'!AW42,'Datos Protegidos'!$K42,PARTIDOS!AX$8),0)</f>
        <v>0</v>
      </c>
      <c r="BO42" s="7">
        <v>0</v>
      </c>
      <c r="BP42" s="19">
        <f>+IF('Datos delta'!AY42&gt;0,REASIGN('Datos delta'!AY42,'Datos Protegidos'!$K42,PARTIDOS!AZ$8),0)</f>
        <v>0</v>
      </c>
      <c r="BQ42" s="7">
        <v>0</v>
      </c>
      <c r="BR42" s="19">
        <f>+IF('Datos delta'!BA42&gt;0,REASIGN('Datos delta'!BA42,'Datos Protegidos'!$K42,PARTIDOS!BB$8),0)</f>
        <v>2203</v>
      </c>
      <c r="BS42" s="7">
        <v>0</v>
      </c>
      <c r="BT42" s="19">
        <f>+IF('Datos delta'!BC42&gt;0,REASIGN('Datos delta'!BC42,'Datos Protegidos'!$K42,PARTIDOS!BD$8),0)</f>
        <v>1989</v>
      </c>
      <c r="BU42" s="7">
        <v>0</v>
      </c>
      <c r="BV42" s="19">
        <f>+IF('Datos delta'!BE42&gt;0,REASIGN('Datos delta'!BE42,'Datos Protegidos'!$K42,PARTIDOS!BF$8),0)</f>
        <v>0</v>
      </c>
      <c r="BW42" s="7">
        <v>0</v>
      </c>
      <c r="BX42" s="19">
        <f>+IF('Datos delta'!BG42&gt;0,REASIGN('Datos delta'!BG42,'Datos Protegidos'!$K42,PARTIDOS!BH$8),0)</f>
        <v>0</v>
      </c>
      <c r="BY42" s="7">
        <v>0</v>
      </c>
      <c r="BZ42" s="19">
        <f>+IF('Datos delta'!BI42&gt;0,REASIGN('Datos delta'!BI42,'Datos Protegidos'!$K42,PARTIDOS!BJ$8),0)</f>
        <v>0</v>
      </c>
      <c r="CA42" s="7">
        <v>0</v>
      </c>
      <c r="CB42" s="19">
        <f>+IF('Datos delta'!BK42&gt;0,REASIGN('Datos delta'!BK42,'Datos Protegidos'!$K42,PARTIDOS!BL$8),0)</f>
        <v>0</v>
      </c>
      <c r="CC42" s="7">
        <v>0</v>
      </c>
      <c r="CD42" s="19">
        <f>+IF('Datos delta'!BM42&gt;0,REASIGN('Datos delta'!BM42,'Datos Protegidos'!$K42,PARTIDOS!BN$8),0)</f>
        <v>0</v>
      </c>
      <c r="CE42" s="7">
        <v>0</v>
      </c>
      <c r="CF42" s="19">
        <f>+IF('Datos delta'!BO42&gt;0,REASIGN('Datos delta'!BO42,'Datos Protegidos'!$K42,PARTIDOS!BP$8),0)</f>
        <v>0</v>
      </c>
      <c r="CG42" s="7">
        <v>0</v>
      </c>
      <c r="CH42" s="19">
        <f>+IF('Datos delta'!BQ42&gt;0,REASIGN('Datos delta'!BQ42,'Datos Protegidos'!$K42,PARTIDOS!BR$8),0)</f>
        <v>0</v>
      </c>
      <c r="CI42" s="7">
        <v>0</v>
      </c>
      <c r="CJ42" s="19">
        <f>+IF('Datos delta'!BS42&gt;0,REASIGN('Datos delta'!BS42,'Datos Protegidos'!$K42,PARTIDOS!BT$8),0)</f>
        <v>0</v>
      </c>
      <c r="CK42" s="7">
        <v>0</v>
      </c>
      <c r="CL42" s="19">
        <f>+IF('Datos delta'!BU42&gt;0,REASIGN('Datos delta'!BU42,'Datos Protegidos'!$K42,PARTIDOS!BV$8),0)</f>
        <v>0</v>
      </c>
      <c r="CM42" s="7">
        <v>0</v>
      </c>
      <c r="CN42" s="19">
        <f>+IF('Datos delta'!BW42&gt;0,REASIGN('Datos delta'!BW42,'Datos Protegidos'!$K42,PARTIDOS!BX$8),0)</f>
        <v>2495</v>
      </c>
      <c r="CO42" s="7">
        <v>0</v>
      </c>
      <c r="CP42" s="19">
        <f>+IF('Datos delta'!BY42&gt;0,REASIGN('Datos delta'!BY42,'Datos Protegidos'!$K42,PARTIDOS!BZ$8),0)</f>
        <v>0</v>
      </c>
      <c r="CQ42" s="7">
        <v>0</v>
      </c>
      <c r="CR42" s="19">
        <f>+IF('Datos delta'!CA42&gt;0,REASIGN('Datos delta'!CA42,'Datos Protegidos'!$K42,PARTIDOS!CB$8),0)</f>
        <v>0</v>
      </c>
      <c r="CS42" s="7">
        <v>0</v>
      </c>
      <c r="CT42" s="19">
        <f>+IF('Datos delta'!CC42&gt;0,REASIGN('Datos delta'!CC42,'Datos Protegidos'!$K42,PARTIDOS!CD$8),0)</f>
        <v>0</v>
      </c>
      <c r="CU42" s="7">
        <v>0</v>
      </c>
      <c r="CV42" s="19">
        <f>+IF('Datos delta'!CE42&gt;0,REASIGN('Datos delta'!CE42,'Datos Protegidos'!$K42,PARTIDOS!CF$8),0)</f>
        <v>0</v>
      </c>
      <c r="CW42" s="7">
        <v>0</v>
      </c>
      <c r="CX42" s="19">
        <f>+IF('Datos delta'!CG42&gt;0,REASIGN('Datos delta'!CG42,'Datos Protegidos'!$K42,PARTIDOS!CH$8),0)</f>
        <v>0</v>
      </c>
      <c r="CY42" s="7">
        <v>0</v>
      </c>
      <c r="CZ42" s="19">
        <f>+IF('Datos delta'!CI42&gt;0,REASIGN('Datos delta'!CI42,'Datos Protegidos'!$K42,PARTIDOS!CJ$8),0)</f>
        <v>0</v>
      </c>
      <c r="DA42" s="7">
        <v>0</v>
      </c>
      <c r="DB42" s="19">
        <f>+IF('Datos delta'!CK42&gt;0,REASIGN('Datos delta'!CK42,'Datos Protegidos'!$K42,PARTIDOS!CL$8),0)</f>
        <v>0</v>
      </c>
      <c r="DC42" s="7">
        <v>0</v>
      </c>
      <c r="DD42" s="19">
        <f>+IF('Datos delta'!CM42&gt;0,REASIGN('Datos delta'!CM42,'Datos Protegidos'!$K42,PARTIDOS!CN$8),0)</f>
        <v>0</v>
      </c>
      <c r="DE42" s="7">
        <v>0</v>
      </c>
      <c r="DF42" s="19">
        <f>+IF('Datos delta'!CO42&gt;0,REASIGN('Datos delta'!CO42,'Datos Protegidos'!$K42,PARTIDOS!CP$8),0)</f>
        <v>0</v>
      </c>
      <c r="DG42" s="7">
        <v>0</v>
      </c>
      <c r="DH42" s="19">
        <f>+IF('Datos delta'!CQ42&gt;0,REASIGN('Datos delta'!CQ42,'Datos Protegidos'!$K42,PARTIDOS!CR$8),0)</f>
        <v>0</v>
      </c>
      <c r="DI42" s="7">
        <v>0</v>
      </c>
      <c r="DJ42" s="19">
        <f>+IF('Datos delta'!CS42&gt;0,REASIGN('Datos delta'!CS42,'Datos Protegidos'!$K42,PARTIDOS!CT$8),0)</f>
        <v>0</v>
      </c>
      <c r="DK42" s="7">
        <v>0</v>
      </c>
      <c r="DL42" s="19">
        <f>+IF('Datos delta'!CU42&gt;0,REASIGN('Datos delta'!CU42,'Datos Protegidos'!$K42,PARTIDOS!CV$8),0)</f>
        <v>0</v>
      </c>
      <c r="DM42" s="7">
        <v>0</v>
      </c>
      <c r="DN42" s="19">
        <f>+IF('Datos delta'!CW42&gt;0,REASIGN('Datos delta'!CW42,'Datos Protegidos'!$K42,PARTIDOS!CX$8),0)</f>
        <v>0</v>
      </c>
      <c r="DO42" s="7">
        <v>0</v>
      </c>
      <c r="DP42" s="19">
        <f>+IF('Datos delta'!CY42&gt;0,REASIGN('Datos delta'!CY42,'Datos Protegidos'!$K42,PARTIDOS!CZ$8),0)</f>
        <v>0</v>
      </c>
      <c r="DQ42" s="7">
        <v>0</v>
      </c>
      <c r="DR42" s="19">
        <f>+IF('Datos delta'!DA42&gt;0,REASIGN('Datos delta'!DA42,'Datos Protegidos'!$K42,PARTIDOS!DB$8),0)</f>
        <v>0</v>
      </c>
      <c r="DS42" s="7">
        <v>0</v>
      </c>
      <c r="DT42" s="19">
        <f>+IF('Datos delta'!DC42&gt;0,REASIGN('Datos delta'!DC42,'Datos Protegidos'!$K42,PARTIDOS!DD$8),0)</f>
        <v>0</v>
      </c>
      <c r="DU42" s="7">
        <v>0</v>
      </c>
      <c r="DV42" s="19">
        <f>+IF('Datos delta'!DE42&gt;0,REASIGN('Datos delta'!DE42,'Datos Protegidos'!$K42,PARTIDOS!DF$8),0)</f>
        <v>0</v>
      </c>
      <c r="DW42" s="7">
        <v>0</v>
      </c>
      <c r="DX42" s="19">
        <f>+IF('Datos delta'!DG42&gt;0,REASIGN('Datos delta'!DG42,'Datos Protegidos'!$K42,PARTIDOS!DH$8),0)</f>
        <v>0</v>
      </c>
      <c r="DY42" s="7">
        <v>0</v>
      </c>
      <c r="DZ42" s="19">
        <f>+IF('Datos delta'!DI42&gt;0,REASIGN('Datos delta'!DI42,'Datos Protegidos'!$K42,PARTIDOS!DJ$8),0)</f>
        <v>0</v>
      </c>
      <c r="EA42" s="7">
        <v>0</v>
      </c>
      <c r="EB42" s="19">
        <f>+IF('Datos delta'!DK42&gt;0,REASIGN('Datos delta'!DK42,'Datos Protegidos'!$K42,PARTIDOS!DL$8),0)</f>
        <v>0</v>
      </c>
      <c r="EC42" s="7">
        <v>0</v>
      </c>
      <c r="ED42" s="19">
        <f>+IF('Datos delta'!DM42&gt;0,REASIGN('Datos delta'!DM42,'Datos Protegidos'!$K42,PARTIDOS!DN$8),0)</f>
        <v>0</v>
      </c>
      <c r="EE42" s="7">
        <v>0</v>
      </c>
      <c r="EF42" s="19">
        <f>+IF('Datos delta'!DO42&gt;0,REASIGN('Datos delta'!DO42,'Datos Protegidos'!$K42,PARTIDOS!DP$8),0)</f>
        <v>0</v>
      </c>
      <c r="EG42" s="7">
        <v>0</v>
      </c>
      <c r="EH42" s="19">
        <f>+IF('Datos delta'!DQ42&gt;0,REASIGN('Datos delta'!DQ42,'Datos Protegidos'!$K42,PARTIDOS!DR$8),0)</f>
        <v>0</v>
      </c>
      <c r="EI42" s="7">
        <v>0</v>
      </c>
      <c r="EJ42" s="19">
        <f>+IF('Datos delta'!DS42&gt;0,REASIGN('Datos delta'!DS42,'Datos Protegidos'!$K42,PARTIDOS!DT$8),0)</f>
        <v>0</v>
      </c>
      <c r="EK42" s="7">
        <v>0</v>
      </c>
      <c r="EL42" s="19">
        <f>+IF('Datos delta'!DU42&gt;0,REASIGN('Datos delta'!DU42,'Datos Protegidos'!$K42,PARTIDOS!DV$8),0)</f>
        <v>0</v>
      </c>
      <c r="EM42" s="7">
        <v>0</v>
      </c>
      <c r="EN42" s="19">
        <f>+IF('Datos delta'!DW42&gt;0,REASIGN('Datos delta'!DW42,'Datos Protegidos'!$K42,PARTIDOS!DX$8),0)</f>
        <v>0</v>
      </c>
      <c r="EO42" s="7">
        <v>0</v>
      </c>
      <c r="EP42" s="19">
        <f>+IF('Datos delta'!DY42&gt;0,REASIGN('Datos delta'!DY42,'Datos Protegidos'!$K42,PARTIDOS!DZ$8),0)</f>
        <v>0</v>
      </c>
      <c r="EQ42" s="7">
        <v>0</v>
      </c>
      <c r="ER42" s="19">
        <f>+IF('Datos delta'!EA42&gt;0,REASIGN('Datos delta'!EA42,'Datos Protegidos'!$K42,PARTIDOS!EB$8),0)</f>
        <v>0</v>
      </c>
      <c r="ES42" s="7">
        <v>0</v>
      </c>
      <c r="ET42" s="19">
        <f>+IF('Datos delta'!EC42&gt;0,REASIGN('Datos delta'!EC42,'Datos Protegidos'!$K42,PARTIDOS!ED$8),0)</f>
        <v>0</v>
      </c>
      <c r="EU42" s="7">
        <v>0</v>
      </c>
    </row>
    <row r="43" spans="1:151" x14ac:dyDescent="0.25">
      <c r="A43" s="7" t="s">
        <v>68</v>
      </c>
      <c r="B43" s="8">
        <v>31</v>
      </c>
      <c r="C43" s="7" t="s">
        <v>69</v>
      </c>
      <c r="D43" s="9">
        <v>647554</v>
      </c>
      <c r="E43">
        <v>976</v>
      </c>
      <c r="F43" s="1">
        <v>484955</v>
      </c>
      <c r="G43" s="1">
        <v>27871</v>
      </c>
      <c r="H43" s="1">
        <v>512826</v>
      </c>
      <c r="I43" s="1"/>
      <c r="J43" s="1"/>
      <c r="K43" s="1"/>
      <c r="L43" s="3">
        <f t="shared" si="1"/>
        <v>346543</v>
      </c>
      <c r="M43" s="3">
        <f t="shared" si="2"/>
        <v>343529</v>
      </c>
      <c r="N43" s="6">
        <f t="shared" si="0"/>
        <v>340078</v>
      </c>
      <c r="O43" s="1">
        <v>3451</v>
      </c>
      <c r="P43" s="1">
        <v>3014</v>
      </c>
      <c r="Q43" s="6">
        <f t="shared" si="3"/>
        <v>5</v>
      </c>
      <c r="R43" s="19">
        <f>+IF('Datos delta'!A43&gt;0,REASIGN('Datos delta'!A43,'Datos Protegidos'!$K43,PARTIDOS!B$8),0)</f>
        <v>87920</v>
      </c>
      <c r="S43" s="7">
        <v>1</v>
      </c>
      <c r="T43" s="19">
        <f>+IF('Datos delta'!C43&gt;0,REASIGN('Datos delta'!C43,'Datos Protegidos'!$K43,PARTIDOS!D$8),0)</f>
        <v>0</v>
      </c>
      <c r="U43" s="7">
        <v>0</v>
      </c>
      <c r="V43" s="19">
        <f>+IF('Datos delta'!E43&gt;0,REASIGN('Datos delta'!E43,'Datos Protegidos'!$K43,PARTIDOS!F$8),0)</f>
        <v>19828</v>
      </c>
      <c r="W43" s="7">
        <v>0</v>
      </c>
      <c r="X43" s="19">
        <f>+IF('Datos delta'!G43&gt;0,REASIGN('Datos delta'!G43,'Datos Protegidos'!$K43,PARTIDOS!H$8),0)</f>
        <v>58272</v>
      </c>
      <c r="Y43" s="7">
        <v>1</v>
      </c>
      <c r="Z43" s="19">
        <f>+IF('Datos delta'!I43&gt;0,REASIGN('Datos delta'!I43,'Datos Protegidos'!$K43,PARTIDOS!J$8),0)</f>
        <v>0</v>
      </c>
      <c r="AA43" s="7">
        <v>0</v>
      </c>
      <c r="AB43" s="19">
        <f>+IF('Datos delta'!K43&gt;0,REASIGN('Datos delta'!K43,'Datos Protegidos'!$K43,PARTIDOS!L$8),0)</f>
        <v>0</v>
      </c>
      <c r="AC43" s="7">
        <v>0</v>
      </c>
      <c r="AD43" s="19">
        <f>+IF('Datos delta'!M43&gt;0,REASIGN('Datos delta'!M43,'Datos Protegidos'!$K43,PARTIDOS!N$8),0)</f>
        <v>0</v>
      </c>
      <c r="AE43" s="7">
        <v>0</v>
      </c>
      <c r="AF43" s="19">
        <f>+IF('Datos delta'!O43&gt;0,REASIGN('Datos delta'!O43,'Datos Protegidos'!$K43,PARTIDOS!P$8),0)</f>
        <v>0</v>
      </c>
      <c r="AG43" s="7">
        <v>0</v>
      </c>
      <c r="AH43" s="19">
        <f>+IF('Datos delta'!Q43&gt;0,REASIGN('Datos delta'!Q43,'Datos Protegidos'!$K43,PARTIDOS!R$8),0)</f>
        <v>0</v>
      </c>
      <c r="AI43" s="7">
        <v>0</v>
      </c>
      <c r="AJ43" s="19">
        <f>+IF('Datos delta'!S43&gt;0,REASIGN('Datos delta'!S43,'Datos Protegidos'!$K43,PARTIDOS!T$8),0)</f>
        <v>55134</v>
      </c>
      <c r="AK43" s="7">
        <v>1</v>
      </c>
      <c r="AL43" s="19">
        <f>+IF('Datos delta'!U43&gt;0,REASIGN('Datos delta'!U43,'Datos Protegidos'!$K43,PARTIDOS!V$8),0)</f>
        <v>0</v>
      </c>
      <c r="AM43" s="7">
        <v>0</v>
      </c>
      <c r="AN43" s="19">
        <f>+IF('Datos delta'!W43&gt;0,REASIGN('Datos delta'!W43,'Datos Protegidos'!$K43,PARTIDOS!X$8),0)</f>
        <v>0</v>
      </c>
      <c r="AO43" s="7">
        <v>0</v>
      </c>
      <c r="AP43" s="19">
        <f>+IF('Datos delta'!Y43&gt;0,REASIGN('Datos delta'!Y43,'Datos Protegidos'!$K43,PARTIDOS!Z$8),0)</f>
        <v>0</v>
      </c>
      <c r="AQ43" s="7">
        <v>0</v>
      </c>
      <c r="AR43" s="19">
        <f>+IF('Datos delta'!AA43&gt;0,REASIGN('Datos delta'!AA43,'Datos Protegidos'!$K43,PARTIDOS!AB$8),0)</f>
        <v>0</v>
      </c>
      <c r="AS43" s="7">
        <v>0</v>
      </c>
      <c r="AT43" s="19">
        <f>+IF('Datos delta'!AC43&gt;0,REASIGN('Datos delta'!AC43,'Datos Protegidos'!$K43,PARTIDOS!AD$8),0)</f>
        <v>101059</v>
      </c>
      <c r="AU43" s="7">
        <v>2</v>
      </c>
      <c r="AV43" s="19">
        <f>+IF('Datos delta'!AE43&gt;0,REASIGN('Datos delta'!AE43,'Datos Protegidos'!$K43,PARTIDOS!AF$8),0)</f>
        <v>0</v>
      </c>
      <c r="AW43" s="7">
        <v>0</v>
      </c>
      <c r="AX43" s="19">
        <f>+IF('Datos delta'!AG43&gt;0,REASIGN('Datos delta'!AG43,'Datos Protegidos'!$K43,PARTIDOS!AH$8),0)</f>
        <v>0</v>
      </c>
      <c r="AY43" s="7">
        <v>0</v>
      </c>
      <c r="AZ43" s="19">
        <f>+IF('Datos delta'!AI43&gt;0,REASIGN('Datos delta'!AI43,'Datos Protegidos'!$K43,PARTIDOS!AJ$8),0)</f>
        <v>0</v>
      </c>
      <c r="BA43" s="7">
        <v>0</v>
      </c>
      <c r="BB43" s="19">
        <f>+IF('Datos delta'!AK43&gt;0,REASIGN('Datos delta'!AK43,'Datos Protegidos'!$K43,PARTIDOS!AL$8),0)</f>
        <v>0</v>
      </c>
      <c r="BC43" s="7">
        <v>0</v>
      </c>
      <c r="BD43" s="19">
        <f>+IF('Datos delta'!AM43&gt;0,REASIGN('Datos delta'!AM43,'Datos Protegidos'!$K43,PARTIDOS!AN$8),0)</f>
        <v>2238</v>
      </c>
      <c r="BE43" s="7">
        <v>0</v>
      </c>
      <c r="BF43" s="19">
        <f>+IF('Datos delta'!AO43&gt;0,REASIGN('Datos delta'!AO43,'Datos Protegidos'!$K43,PARTIDOS!AP$8),0)</f>
        <v>0</v>
      </c>
      <c r="BG43" s="7">
        <v>0</v>
      </c>
      <c r="BH43" s="19">
        <f>+IF('Datos delta'!AQ43&gt;0,REASIGN('Datos delta'!AQ43,'Datos Protegidos'!$K43,PARTIDOS!AR$8),0)</f>
        <v>960</v>
      </c>
      <c r="BI43" s="7">
        <v>0</v>
      </c>
      <c r="BJ43" s="19">
        <f>+IF('Datos delta'!AS43&gt;0,REASIGN('Datos delta'!AS43,'Datos Protegidos'!$K43,PARTIDOS!AT$8),0)</f>
        <v>923</v>
      </c>
      <c r="BK43" s="7">
        <v>0</v>
      </c>
      <c r="BL43" s="19">
        <f>+IF('Datos delta'!AU43&gt;0,REASIGN('Datos delta'!AU43,'Datos Protegidos'!$K43,PARTIDOS!AV$8),0)</f>
        <v>0</v>
      </c>
      <c r="BM43" s="7">
        <v>0</v>
      </c>
      <c r="BN43" s="19">
        <f>+IF('Datos delta'!AW43&gt;0,REASIGN('Datos delta'!AW43,'Datos Protegidos'!$K43,PARTIDOS!AX$8),0)</f>
        <v>0</v>
      </c>
      <c r="BO43" s="7">
        <v>0</v>
      </c>
      <c r="BP43" s="19">
        <f>+IF('Datos delta'!AY43&gt;0,REASIGN('Datos delta'!AY43,'Datos Protegidos'!$K43,PARTIDOS!AZ$8),0)</f>
        <v>0</v>
      </c>
      <c r="BQ43" s="7">
        <v>0</v>
      </c>
      <c r="BR43" s="19">
        <f>+IF('Datos delta'!BA43&gt;0,REASIGN('Datos delta'!BA43,'Datos Protegidos'!$K43,PARTIDOS!BB$8),0)</f>
        <v>0</v>
      </c>
      <c r="BS43" s="7">
        <v>0</v>
      </c>
      <c r="BT43" s="19">
        <f>+IF('Datos delta'!BC43&gt;0,REASIGN('Datos delta'!BC43,'Datos Protegidos'!$K43,PARTIDOS!BD$8),0)</f>
        <v>400</v>
      </c>
      <c r="BU43" s="7">
        <v>0</v>
      </c>
      <c r="BV43" s="19">
        <f>+IF('Datos delta'!BE43&gt;0,REASIGN('Datos delta'!BE43,'Datos Protegidos'!$K43,PARTIDOS!BF$8),0)</f>
        <v>13344</v>
      </c>
      <c r="BW43" s="7">
        <v>0</v>
      </c>
      <c r="BX43" s="19">
        <f>+IF('Datos delta'!BG43&gt;0,REASIGN('Datos delta'!BG43,'Datos Protegidos'!$K43,PARTIDOS!BH$8),0)</f>
        <v>0</v>
      </c>
      <c r="BY43" s="7">
        <v>0</v>
      </c>
      <c r="BZ43" s="19">
        <f>+IF('Datos delta'!BI43&gt;0,REASIGN('Datos delta'!BI43,'Datos Protegidos'!$K43,PARTIDOS!BJ$8),0)</f>
        <v>0</v>
      </c>
      <c r="CA43" s="7">
        <v>0</v>
      </c>
      <c r="CB43" s="19">
        <f>+IF('Datos delta'!BK43&gt;0,REASIGN('Datos delta'!BK43,'Datos Protegidos'!$K43,PARTIDOS!BL$8),0)</f>
        <v>0</v>
      </c>
      <c r="CC43" s="7">
        <v>0</v>
      </c>
      <c r="CD43" s="19">
        <f>+IF('Datos delta'!BM43&gt;0,REASIGN('Datos delta'!BM43,'Datos Protegidos'!$K43,PARTIDOS!BN$8),0)</f>
        <v>0</v>
      </c>
      <c r="CE43" s="7">
        <v>0</v>
      </c>
      <c r="CF43" s="19">
        <f>+IF('Datos delta'!BO43&gt;0,REASIGN('Datos delta'!BO43,'Datos Protegidos'!$K43,PARTIDOS!BP$8),0)</f>
        <v>0</v>
      </c>
      <c r="CG43" s="7">
        <v>0</v>
      </c>
      <c r="CH43" s="19">
        <f>+IF('Datos delta'!BQ43&gt;0,REASIGN('Datos delta'!BQ43,'Datos Protegidos'!$K43,PARTIDOS!BR$8),0)</f>
        <v>0</v>
      </c>
      <c r="CI43" s="7">
        <v>0</v>
      </c>
      <c r="CJ43" s="19">
        <f>+IF('Datos delta'!BS43&gt;0,REASIGN('Datos delta'!BS43,'Datos Protegidos'!$K43,PARTIDOS!BT$8),0)</f>
        <v>0</v>
      </c>
      <c r="CK43" s="7">
        <v>0</v>
      </c>
      <c r="CL43" s="19">
        <f>+IF('Datos delta'!BU43&gt;0,REASIGN('Datos delta'!BU43,'Datos Protegidos'!$K43,PARTIDOS!BV$8),0)</f>
        <v>0</v>
      </c>
      <c r="CM43" s="7">
        <v>0</v>
      </c>
      <c r="CN43" s="19">
        <f>+IF('Datos delta'!BW43&gt;0,REASIGN('Datos delta'!BW43,'Datos Protegidos'!$K43,PARTIDOS!BX$8),0)</f>
        <v>0</v>
      </c>
      <c r="CO43" s="7">
        <v>0</v>
      </c>
      <c r="CP43" s="19">
        <f>+IF('Datos delta'!BY43&gt;0,REASIGN('Datos delta'!BY43,'Datos Protegidos'!$K43,PARTIDOS!BZ$8),0)</f>
        <v>0</v>
      </c>
      <c r="CQ43" s="7">
        <v>0</v>
      </c>
      <c r="CR43" s="19">
        <f>+IF('Datos delta'!CA43&gt;0,REASIGN('Datos delta'!CA43,'Datos Protegidos'!$K43,PARTIDOS!CB$8),0)</f>
        <v>0</v>
      </c>
      <c r="CS43" s="7">
        <v>0</v>
      </c>
      <c r="CT43" s="19">
        <f>+IF('Datos delta'!CC43&gt;0,REASIGN('Datos delta'!CC43,'Datos Protegidos'!$K43,PARTIDOS!CD$8),0)</f>
        <v>0</v>
      </c>
      <c r="CU43" s="7">
        <v>0</v>
      </c>
      <c r="CV43" s="19">
        <f>+IF('Datos delta'!CE43&gt;0,REASIGN('Datos delta'!CE43,'Datos Protegidos'!$K43,PARTIDOS!CF$8),0)</f>
        <v>0</v>
      </c>
      <c r="CW43" s="7">
        <v>0</v>
      </c>
      <c r="CX43" s="19">
        <f>+IF('Datos delta'!CG43&gt;0,REASIGN('Datos delta'!CG43,'Datos Protegidos'!$K43,PARTIDOS!CH$8),0)</f>
        <v>0</v>
      </c>
      <c r="CY43" s="7">
        <v>0</v>
      </c>
      <c r="CZ43" s="19">
        <f>+IF('Datos delta'!CI43&gt;0,REASIGN('Datos delta'!CI43,'Datos Protegidos'!$K43,PARTIDOS!CJ$8),0)</f>
        <v>0</v>
      </c>
      <c r="DA43" s="7">
        <v>0</v>
      </c>
      <c r="DB43" s="19">
        <f>+IF('Datos delta'!CK43&gt;0,REASIGN('Datos delta'!CK43,'Datos Protegidos'!$K43,PARTIDOS!CL$8),0)</f>
        <v>0</v>
      </c>
      <c r="DC43" s="7">
        <v>0</v>
      </c>
      <c r="DD43" s="19">
        <f>+IF('Datos delta'!CM43&gt;0,REASIGN('Datos delta'!CM43,'Datos Protegidos'!$K43,PARTIDOS!CN$8),0)</f>
        <v>0</v>
      </c>
      <c r="DE43" s="7">
        <v>0</v>
      </c>
      <c r="DF43" s="19">
        <f>+IF('Datos delta'!CO43&gt;0,REASIGN('Datos delta'!CO43,'Datos Protegidos'!$K43,PARTIDOS!CP$8),0)</f>
        <v>0</v>
      </c>
      <c r="DG43" s="7">
        <v>0</v>
      </c>
      <c r="DH43" s="19">
        <f>+IF('Datos delta'!CQ43&gt;0,REASIGN('Datos delta'!CQ43,'Datos Protegidos'!$K43,PARTIDOS!CR$8),0)</f>
        <v>0</v>
      </c>
      <c r="DI43" s="7">
        <v>0</v>
      </c>
      <c r="DJ43" s="19">
        <f>+IF('Datos delta'!CS43&gt;0,REASIGN('Datos delta'!CS43,'Datos Protegidos'!$K43,PARTIDOS!CT$8),0)</f>
        <v>0</v>
      </c>
      <c r="DK43" s="7">
        <v>0</v>
      </c>
      <c r="DL43" s="19">
        <f>+IF('Datos delta'!CU43&gt;0,REASIGN('Datos delta'!CU43,'Datos Protegidos'!$K43,PARTIDOS!CV$8),0)</f>
        <v>0</v>
      </c>
      <c r="DM43" s="7">
        <v>0</v>
      </c>
      <c r="DN43" s="19">
        <f>+IF('Datos delta'!CW43&gt;0,REASIGN('Datos delta'!CW43,'Datos Protegidos'!$K43,PARTIDOS!CX$8),0)</f>
        <v>0</v>
      </c>
      <c r="DO43" s="7">
        <v>0</v>
      </c>
      <c r="DP43" s="19">
        <f>+IF('Datos delta'!CY43&gt;0,REASIGN('Datos delta'!CY43,'Datos Protegidos'!$K43,PARTIDOS!CZ$8),0)</f>
        <v>0</v>
      </c>
      <c r="DQ43" s="7">
        <v>0</v>
      </c>
      <c r="DR43" s="19">
        <f>+IF('Datos delta'!DA43&gt;0,REASIGN('Datos delta'!DA43,'Datos Protegidos'!$K43,PARTIDOS!DB$8),0)</f>
        <v>0</v>
      </c>
      <c r="DS43" s="7">
        <v>0</v>
      </c>
      <c r="DT43" s="19">
        <f>+IF('Datos delta'!DC43&gt;0,REASIGN('Datos delta'!DC43,'Datos Protegidos'!$K43,PARTIDOS!DD$8),0)</f>
        <v>0</v>
      </c>
      <c r="DU43" s="7">
        <v>0</v>
      </c>
      <c r="DV43" s="19">
        <f>+IF('Datos delta'!DE43&gt;0,REASIGN('Datos delta'!DE43,'Datos Protegidos'!$K43,PARTIDOS!DF$8),0)</f>
        <v>0</v>
      </c>
      <c r="DW43" s="7">
        <v>0</v>
      </c>
      <c r="DX43" s="19">
        <f>+IF('Datos delta'!DG43&gt;0,REASIGN('Datos delta'!DG43,'Datos Protegidos'!$K43,PARTIDOS!DH$8),0)</f>
        <v>0</v>
      </c>
      <c r="DY43" s="7">
        <v>0</v>
      </c>
      <c r="DZ43" s="19">
        <f>+IF('Datos delta'!DI43&gt;0,REASIGN('Datos delta'!DI43,'Datos Protegidos'!$K43,PARTIDOS!DJ$8),0)</f>
        <v>0</v>
      </c>
      <c r="EA43" s="7">
        <v>0</v>
      </c>
      <c r="EB43" s="19">
        <f>+IF('Datos delta'!DK43&gt;0,REASIGN('Datos delta'!DK43,'Datos Protegidos'!$K43,PARTIDOS!DL$8),0)</f>
        <v>0</v>
      </c>
      <c r="EC43" s="7">
        <v>0</v>
      </c>
      <c r="ED43" s="19">
        <f>+IF('Datos delta'!DM43&gt;0,REASIGN('Datos delta'!DM43,'Datos Protegidos'!$K43,PARTIDOS!DN$8),0)</f>
        <v>0</v>
      </c>
      <c r="EE43" s="7">
        <v>0</v>
      </c>
      <c r="EF43" s="19">
        <f>+IF('Datos delta'!DO43&gt;0,REASIGN('Datos delta'!DO43,'Datos Protegidos'!$K43,PARTIDOS!DP$8),0)</f>
        <v>0</v>
      </c>
      <c r="EG43" s="7">
        <v>0</v>
      </c>
      <c r="EH43" s="19">
        <f>+IF('Datos delta'!DQ43&gt;0,REASIGN('Datos delta'!DQ43,'Datos Protegidos'!$K43,PARTIDOS!DR$8),0)</f>
        <v>0</v>
      </c>
      <c r="EI43" s="7">
        <v>0</v>
      </c>
      <c r="EJ43" s="19">
        <f>+IF('Datos delta'!DS43&gt;0,REASIGN('Datos delta'!DS43,'Datos Protegidos'!$K43,PARTIDOS!DT$8),0)</f>
        <v>0</v>
      </c>
      <c r="EK43" s="7">
        <v>0</v>
      </c>
      <c r="EL43" s="19">
        <f>+IF('Datos delta'!DU43&gt;0,REASIGN('Datos delta'!DU43,'Datos Protegidos'!$K43,PARTIDOS!DV$8),0)</f>
        <v>0</v>
      </c>
      <c r="EM43" s="7">
        <v>0</v>
      </c>
      <c r="EN43" s="19">
        <f>+IF('Datos delta'!DW43&gt;0,REASIGN('Datos delta'!DW43,'Datos Protegidos'!$K43,PARTIDOS!DX$8),0)</f>
        <v>0</v>
      </c>
      <c r="EO43" s="7">
        <v>0</v>
      </c>
      <c r="EP43" s="19">
        <f>+IF('Datos delta'!DY43&gt;0,REASIGN('Datos delta'!DY43,'Datos Protegidos'!$K43,PARTIDOS!DZ$8),0)</f>
        <v>0</v>
      </c>
      <c r="EQ43" s="7">
        <v>0</v>
      </c>
      <c r="ER43" s="19">
        <f>+IF('Datos delta'!EA43&gt;0,REASIGN('Datos delta'!EA43,'Datos Protegidos'!$K43,PARTIDOS!EB$8),0)</f>
        <v>0</v>
      </c>
      <c r="ES43" s="7">
        <v>0</v>
      </c>
      <c r="ET43" s="19">
        <f>+IF('Datos delta'!EC43&gt;0,REASIGN('Datos delta'!EC43,'Datos Protegidos'!$K43,PARTIDOS!ED$8),0)</f>
        <v>0</v>
      </c>
      <c r="EU43" s="7">
        <v>0</v>
      </c>
    </row>
    <row r="44" spans="1:151" x14ac:dyDescent="0.25">
      <c r="A44" s="7" t="s">
        <v>70</v>
      </c>
      <c r="B44" s="8">
        <v>1</v>
      </c>
      <c r="C44" s="7" t="s">
        <v>71</v>
      </c>
      <c r="D44" s="9">
        <v>328868</v>
      </c>
      <c r="E44">
        <v>425</v>
      </c>
      <c r="F44" s="1">
        <v>251428</v>
      </c>
      <c r="G44" s="1">
        <v>7067</v>
      </c>
      <c r="H44" s="1">
        <v>258495</v>
      </c>
      <c r="I44" s="1"/>
      <c r="J44" s="1"/>
      <c r="K44"/>
      <c r="L44" s="3">
        <f t="shared" si="1"/>
        <v>174171</v>
      </c>
      <c r="M44" s="3">
        <f t="shared" si="2"/>
        <v>172827</v>
      </c>
      <c r="N44" s="6">
        <f t="shared" si="0"/>
        <v>171916</v>
      </c>
      <c r="O44">
        <v>911</v>
      </c>
      <c r="P44" s="1">
        <v>1344</v>
      </c>
      <c r="Q44" s="6">
        <f t="shared" si="3"/>
        <v>4</v>
      </c>
      <c r="R44" s="19">
        <f>+IF('Datos delta'!A44&gt;0,REASIGN('Datos delta'!A44,'Datos Protegidos'!$K44,PARTIDOS!B$8),0)</f>
        <v>39614</v>
      </c>
      <c r="S44" s="7">
        <v>1</v>
      </c>
      <c r="T44" s="19">
        <f>+IF('Datos delta'!C44&gt;0,REASIGN('Datos delta'!C44,'Datos Protegidos'!$K44,PARTIDOS!D$8),0)</f>
        <v>28036</v>
      </c>
      <c r="U44" s="7">
        <v>0</v>
      </c>
      <c r="V44" s="19">
        <f>+IF('Datos delta'!E44&gt;0,REASIGN('Datos delta'!E44,'Datos Protegidos'!$K44,PARTIDOS!F$8),0)</f>
        <v>6549</v>
      </c>
      <c r="W44" s="7">
        <v>0</v>
      </c>
      <c r="X44" s="19">
        <f>+IF('Datos delta'!G44&gt;0,REASIGN('Datos delta'!G44,'Datos Protegidos'!$K44,PARTIDOS!H$8),0)</f>
        <v>29595</v>
      </c>
      <c r="Y44" s="7">
        <v>1</v>
      </c>
      <c r="Z44" s="19">
        <f>+IF('Datos delta'!I44&gt;0,REASIGN('Datos delta'!I44,'Datos Protegidos'!$K44,PARTIDOS!J$8),0)</f>
        <v>0</v>
      </c>
      <c r="AA44" s="7">
        <v>0</v>
      </c>
      <c r="AB44" s="19">
        <f>+IF('Datos delta'!K44&gt;0,REASIGN('Datos delta'!K44,'Datos Protegidos'!$K44,PARTIDOS!L$8),0)</f>
        <v>0</v>
      </c>
      <c r="AC44" s="7">
        <v>0</v>
      </c>
      <c r="AD44" s="19">
        <f>+IF('Datos delta'!M44&gt;0,REASIGN('Datos delta'!M44,'Datos Protegidos'!$K44,PARTIDOS!N$8),0)</f>
        <v>0</v>
      </c>
      <c r="AE44" s="7">
        <v>0</v>
      </c>
      <c r="AF44" s="19">
        <f>+IF('Datos delta'!O44&gt;0,REASIGN('Datos delta'!O44,'Datos Protegidos'!$K44,PARTIDOS!P$8),0)</f>
        <v>0</v>
      </c>
      <c r="AG44" s="7">
        <v>0</v>
      </c>
      <c r="AH44" s="19">
        <f>+IF('Datos delta'!Q44&gt;0,REASIGN('Datos delta'!Q44,'Datos Protegidos'!$K44,PARTIDOS!R$8),0)</f>
        <v>39255</v>
      </c>
      <c r="AI44" s="7">
        <v>1</v>
      </c>
      <c r="AJ44" s="19">
        <f>+IF('Datos delta'!S44&gt;0,REASIGN('Datos delta'!S44,'Datos Protegidos'!$K44,PARTIDOS!T$8),0)</f>
        <v>26766</v>
      </c>
      <c r="AK44" s="7">
        <v>1</v>
      </c>
      <c r="AL44" s="19">
        <f>+IF('Datos delta'!U44&gt;0,REASIGN('Datos delta'!U44,'Datos Protegidos'!$K44,PARTIDOS!V$8),0)</f>
        <v>0</v>
      </c>
      <c r="AM44" s="7">
        <v>0</v>
      </c>
      <c r="AN44" s="19">
        <f>+IF('Datos delta'!W44&gt;0,REASIGN('Datos delta'!W44,'Datos Protegidos'!$K44,PARTIDOS!X$8),0)</f>
        <v>0</v>
      </c>
      <c r="AO44" s="7">
        <v>0</v>
      </c>
      <c r="AP44" s="19">
        <f>+IF('Datos delta'!Y44&gt;0,REASIGN('Datos delta'!Y44,'Datos Protegidos'!$K44,PARTIDOS!Z$8),0)</f>
        <v>0</v>
      </c>
      <c r="AQ44" s="7">
        <v>0</v>
      </c>
      <c r="AR44" s="19">
        <f>+IF('Datos delta'!AA44&gt;0,REASIGN('Datos delta'!AA44,'Datos Protegidos'!$K44,PARTIDOS!AB$8),0)</f>
        <v>0</v>
      </c>
      <c r="AS44" s="7">
        <v>0</v>
      </c>
      <c r="AT44" s="19">
        <f>+IF('Datos delta'!AC44&gt;0,REASIGN('Datos delta'!AC44,'Datos Protegidos'!$K44,PARTIDOS!AD$8),0)</f>
        <v>0</v>
      </c>
      <c r="AU44" s="7">
        <v>0</v>
      </c>
      <c r="AV44" s="19">
        <f>+IF('Datos delta'!AE44&gt;0,REASIGN('Datos delta'!AE44,'Datos Protegidos'!$K44,PARTIDOS!AF$8),0)</f>
        <v>0</v>
      </c>
      <c r="AW44" s="7">
        <v>0</v>
      </c>
      <c r="AX44" s="19">
        <f>+IF('Datos delta'!AG44&gt;0,REASIGN('Datos delta'!AG44,'Datos Protegidos'!$K44,PARTIDOS!AH$8),0)</f>
        <v>0</v>
      </c>
      <c r="AY44" s="7">
        <v>0</v>
      </c>
      <c r="AZ44" s="19">
        <f>+IF('Datos delta'!AI44&gt;0,REASIGN('Datos delta'!AI44,'Datos Protegidos'!$K44,PARTIDOS!AJ$8),0)</f>
        <v>0</v>
      </c>
      <c r="BA44" s="7">
        <v>0</v>
      </c>
      <c r="BB44" s="19">
        <f>+IF('Datos delta'!AK44&gt;0,REASIGN('Datos delta'!AK44,'Datos Protegidos'!$K44,PARTIDOS!AL$8),0)</f>
        <v>0</v>
      </c>
      <c r="BC44" s="7">
        <v>0</v>
      </c>
      <c r="BD44" s="19">
        <f>+IF('Datos delta'!AM44&gt;0,REASIGN('Datos delta'!AM44,'Datos Protegidos'!$K44,PARTIDOS!AN$8),0)</f>
        <v>1146</v>
      </c>
      <c r="BE44" s="7">
        <v>0</v>
      </c>
      <c r="BF44" s="19">
        <f>+IF('Datos delta'!AO44&gt;0,REASIGN('Datos delta'!AO44,'Datos Protegidos'!$K44,PARTIDOS!AP$8),0)</f>
        <v>0</v>
      </c>
      <c r="BG44" s="7">
        <v>0</v>
      </c>
      <c r="BH44" s="19">
        <f>+IF('Datos delta'!AQ44&gt;0,REASIGN('Datos delta'!AQ44,'Datos Protegidos'!$K44,PARTIDOS!AR$8),0)</f>
        <v>406</v>
      </c>
      <c r="BI44" s="7">
        <v>0</v>
      </c>
      <c r="BJ44" s="19">
        <f>+IF('Datos delta'!AS44&gt;0,REASIGN('Datos delta'!AS44,'Datos Protegidos'!$K44,PARTIDOS!AT$8),0)</f>
        <v>324</v>
      </c>
      <c r="BK44" s="7">
        <v>0</v>
      </c>
      <c r="BL44" s="19">
        <f>+IF('Datos delta'!AU44&gt;0,REASIGN('Datos delta'!AU44,'Datos Protegidos'!$K44,PARTIDOS!AV$8),0)</f>
        <v>0</v>
      </c>
      <c r="BM44" s="7">
        <v>0</v>
      </c>
      <c r="BN44" s="19">
        <f>+IF('Datos delta'!AW44&gt;0,REASIGN('Datos delta'!AW44,'Datos Protegidos'!$K44,PARTIDOS!AX$8),0)</f>
        <v>0</v>
      </c>
      <c r="BO44" s="7">
        <v>0</v>
      </c>
      <c r="BP44" s="19">
        <f>+IF('Datos delta'!AY44&gt;0,REASIGN('Datos delta'!AY44,'Datos Protegidos'!$K44,PARTIDOS!AZ$8),0)</f>
        <v>0</v>
      </c>
      <c r="BQ44" s="7">
        <v>0</v>
      </c>
      <c r="BR44" s="19">
        <f>+IF('Datos delta'!BA44&gt;0,REASIGN('Datos delta'!BA44,'Datos Protegidos'!$K44,PARTIDOS!BB$8),0)</f>
        <v>0</v>
      </c>
      <c r="BS44" s="7">
        <v>0</v>
      </c>
      <c r="BT44" s="19">
        <f>+IF('Datos delta'!BC44&gt;0,REASIGN('Datos delta'!BC44,'Datos Protegidos'!$K44,PARTIDOS!BD$8),0)</f>
        <v>225</v>
      </c>
      <c r="BU44" s="7">
        <v>0</v>
      </c>
      <c r="BV44" s="19">
        <f>+IF('Datos delta'!BE44&gt;0,REASIGN('Datos delta'!BE44,'Datos Protegidos'!$K44,PARTIDOS!BF$8),0)</f>
        <v>0</v>
      </c>
      <c r="BW44" s="7">
        <v>0</v>
      </c>
      <c r="BX44" s="19">
        <f>+IF('Datos delta'!BG44&gt;0,REASIGN('Datos delta'!BG44,'Datos Protegidos'!$K44,PARTIDOS!BH$8),0)</f>
        <v>0</v>
      </c>
      <c r="BY44" s="7">
        <v>0</v>
      </c>
      <c r="BZ44" s="19">
        <f>+IF('Datos delta'!BI44&gt;0,REASIGN('Datos delta'!BI44,'Datos Protegidos'!$K44,PARTIDOS!BJ$8),0)</f>
        <v>0</v>
      </c>
      <c r="CA44" s="7">
        <v>0</v>
      </c>
      <c r="CB44" s="19">
        <f>+IF('Datos delta'!BK44&gt;0,REASIGN('Datos delta'!BK44,'Datos Protegidos'!$K44,PARTIDOS!BL$8),0)</f>
        <v>0</v>
      </c>
      <c r="CC44" s="7">
        <v>0</v>
      </c>
      <c r="CD44" s="19">
        <f>+IF('Datos delta'!BM44&gt;0,REASIGN('Datos delta'!BM44,'Datos Protegidos'!$K44,PARTIDOS!BN$8),0)</f>
        <v>0</v>
      </c>
      <c r="CE44" s="7">
        <v>0</v>
      </c>
      <c r="CF44" s="19">
        <f>+IF('Datos delta'!BO44&gt;0,REASIGN('Datos delta'!BO44,'Datos Protegidos'!$K44,PARTIDOS!BP$8),0)</f>
        <v>0</v>
      </c>
      <c r="CG44" s="7">
        <v>0</v>
      </c>
      <c r="CH44" s="19">
        <f>+IF('Datos delta'!BQ44&gt;0,REASIGN('Datos delta'!BQ44,'Datos Protegidos'!$K44,PARTIDOS!BR$8),0)</f>
        <v>0</v>
      </c>
      <c r="CI44" s="7">
        <v>0</v>
      </c>
      <c r="CJ44" s="19">
        <f>+IF('Datos delta'!BS44&gt;0,REASIGN('Datos delta'!BS44,'Datos Protegidos'!$K44,PARTIDOS!BT$8),0)</f>
        <v>0</v>
      </c>
      <c r="CK44" s="7">
        <v>0</v>
      </c>
      <c r="CL44" s="19">
        <f>+IF('Datos delta'!BU44&gt;0,REASIGN('Datos delta'!BU44,'Datos Protegidos'!$K44,PARTIDOS!BV$8),0)</f>
        <v>0</v>
      </c>
      <c r="CM44" s="7">
        <v>0</v>
      </c>
      <c r="CN44" s="19">
        <f>+IF('Datos delta'!BW44&gt;0,REASIGN('Datos delta'!BW44,'Datos Protegidos'!$K44,PARTIDOS!BX$8),0)</f>
        <v>0</v>
      </c>
      <c r="CO44" s="7">
        <v>0</v>
      </c>
      <c r="CP44" s="19">
        <f>+IF('Datos delta'!BY44&gt;0,REASIGN('Datos delta'!BY44,'Datos Protegidos'!$K44,PARTIDOS!BZ$8),0)</f>
        <v>0</v>
      </c>
      <c r="CQ44" s="7">
        <v>0</v>
      </c>
      <c r="CR44" s="19">
        <f>+IF('Datos delta'!CA44&gt;0,REASIGN('Datos delta'!CA44,'Datos Protegidos'!$K44,PARTIDOS!CB$8),0)</f>
        <v>0</v>
      </c>
      <c r="CS44" s="7">
        <v>0</v>
      </c>
      <c r="CT44" s="19">
        <f>+IF('Datos delta'!CC44&gt;0,REASIGN('Datos delta'!CC44,'Datos Protegidos'!$K44,PARTIDOS!CD$8),0)</f>
        <v>0</v>
      </c>
      <c r="CU44" s="7">
        <v>0</v>
      </c>
      <c r="CV44" s="19">
        <f>+IF('Datos delta'!CE44&gt;0,REASIGN('Datos delta'!CE44,'Datos Protegidos'!$K44,PARTIDOS!CF$8),0)</f>
        <v>0</v>
      </c>
      <c r="CW44" s="7">
        <v>0</v>
      </c>
      <c r="CX44" s="19">
        <f>+IF('Datos delta'!CG44&gt;0,REASIGN('Datos delta'!CG44,'Datos Protegidos'!$K44,PARTIDOS!CH$8),0)</f>
        <v>0</v>
      </c>
      <c r="CY44" s="7">
        <v>0</v>
      </c>
      <c r="CZ44" s="19">
        <f>+IF('Datos delta'!CI44&gt;0,REASIGN('Datos delta'!CI44,'Datos Protegidos'!$K44,PARTIDOS!CJ$8),0)</f>
        <v>0</v>
      </c>
      <c r="DA44" s="7">
        <v>0</v>
      </c>
      <c r="DB44" s="19">
        <f>+IF('Datos delta'!CK44&gt;0,REASIGN('Datos delta'!CK44,'Datos Protegidos'!$K44,PARTIDOS!CL$8),0)</f>
        <v>0</v>
      </c>
      <c r="DC44" s="7">
        <v>0</v>
      </c>
      <c r="DD44" s="19">
        <f>+IF('Datos delta'!CM44&gt;0,REASIGN('Datos delta'!CM44,'Datos Protegidos'!$K44,PARTIDOS!CN$8),0)</f>
        <v>0</v>
      </c>
      <c r="DE44" s="7">
        <v>0</v>
      </c>
      <c r="DF44" s="19">
        <f>+IF('Datos delta'!CO44&gt;0,REASIGN('Datos delta'!CO44,'Datos Protegidos'!$K44,PARTIDOS!CP$8),0)</f>
        <v>0</v>
      </c>
      <c r="DG44" s="7">
        <v>0</v>
      </c>
      <c r="DH44" s="19">
        <f>+IF('Datos delta'!CQ44&gt;0,REASIGN('Datos delta'!CQ44,'Datos Protegidos'!$K44,PARTIDOS!CR$8),0)</f>
        <v>0</v>
      </c>
      <c r="DI44" s="7">
        <v>0</v>
      </c>
      <c r="DJ44" s="19">
        <f>+IF('Datos delta'!CS44&gt;0,REASIGN('Datos delta'!CS44,'Datos Protegidos'!$K44,PARTIDOS!CT$8),0)</f>
        <v>0</v>
      </c>
      <c r="DK44" s="7">
        <v>0</v>
      </c>
      <c r="DL44" s="19">
        <f>+IF('Datos delta'!CU44&gt;0,REASIGN('Datos delta'!CU44,'Datos Protegidos'!$K44,PARTIDOS!CV$8),0)</f>
        <v>0</v>
      </c>
      <c r="DM44" s="7">
        <v>0</v>
      </c>
      <c r="DN44" s="19">
        <f>+IF('Datos delta'!CW44&gt;0,REASIGN('Datos delta'!CW44,'Datos Protegidos'!$K44,PARTIDOS!CX$8),0)</f>
        <v>0</v>
      </c>
      <c r="DO44" s="7">
        <v>0</v>
      </c>
      <c r="DP44" s="19">
        <f>+IF('Datos delta'!CY44&gt;0,REASIGN('Datos delta'!CY44,'Datos Protegidos'!$K44,PARTIDOS!CZ$8),0)</f>
        <v>0</v>
      </c>
      <c r="DQ44" s="7">
        <v>0</v>
      </c>
      <c r="DR44" s="19">
        <f>+IF('Datos delta'!DA44&gt;0,REASIGN('Datos delta'!DA44,'Datos Protegidos'!$K44,PARTIDOS!DB$8),0)</f>
        <v>0</v>
      </c>
      <c r="DS44" s="7">
        <v>0</v>
      </c>
      <c r="DT44" s="19">
        <f>+IF('Datos delta'!DC44&gt;0,REASIGN('Datos delta'!DC44,'Datos Protegidos'!$K44,PARTIDOS!DD$8),0)</f>
        <v>0</v>
      </c>
      <c r="DU44" s="7">
        <v>0</v>
      </c>
      <c r="DV44" s="19">
        <f>+IF('Datos delta'!DE44&gt;0,REASIGN('Datos delta'!DE44,'Datos Protegidos'!$K44,PARTIDOS!DF$8),0)</f>
        <v>0</v>
      </c>
      <c r="DW44" s="7">
        <v>0</v>
      </c>
      <c r="DX44" s="19">
        <f>+IF('Datos delta'!DG44&gt;0,REASIGN('Datos delta'!DG44,'Datos Protegidos'!$K44,PARTIDOS!DH$8),0)</f>
        <v>0</v>
      </c>
      <c r="DY44" s="7">
        <v>0</v>
      </c>
      <c r="DZ44" s="19">
        <f>+IF('Datos delta'!DI44&gt;0,REASIGN('Datos delta'!DI44,'Datos Protegidos'!$K44,PARTIDOS!DJ$8),0)</f>
        <v>0</v>
      </c>
      <c r="EA44" s="7">
        <v>0</v>
      </c>
      <c r="EB44" s="19">
        <f>+IF('Datos delta'!DK44&gt;0,REASIGN('Datos delta'!DK44,'Datos Protegidos'!$K44,PARTIDOS!DL$8),0)</f>
        <v>0</v>
      </c>
      <c r="EC44" s="7">
        <v>0</v>
      </c>
      <c r="ED44" s="19">
        <f>+IF('Datos delta'!DM44&gt;0,REASIGN('Datos delta'!DM44,'Datos Protegidos'!$K44,PARTIDOS!DN$8),0)</f>
        <v>0</v>
      </c>
      <c r="EE44" s="7">
        <v>0</v>
      </c>
      <c r="EF44" s="19">
        <f>+IF('Datos delta'!DO44&gt;0,REASIGN('Datos delta'!DO44,'Datos Protegidos'!$K44,PARTIDOS!DP$8),0)</f>
        <v>0</v>
      </c>
      <c r="EG44" s="7">
        <v>0</v>
      </c>
      <c r="EH44" s="19">
        <f>+IF('Datos delta'!DQ44&gt;0,REASIGN('Datos delta'!DQ44,'Datos Protegidos'!$K44,PARTIDOS!DR$8),0)</f>
        <v>0</v>
      </c>
      <c r="EI44" s="7">
        <v>0</v>
      </c>
      <c r="EJ44" s="19">
        <f>+IF('Datos delta'!DS44&gt;0,REASIGN('Datos delta'!DS44,'Datos Protegidos'!$K44,PARTIDOS!DT$8),0)</f>
        <v>0</v>
      </c>
      <c r="EK44" s="7">
        <v>0</v>
      </c>
      <c r="EL44" s="19">
        <f>+IF('Datos delta'!DU44&gt;0,REASIGN('Datos delta'!DU44,'Datos Protegidos'!$K44,PARTIDOS!DV$8),0)</f>
        <v>0</v>
      </c>
      <c r="EM44" s="7">
        <v>0</v>
      </c>
      <c r="EN44" s="19">
        <f>+IF('Datos delta'!DW44&gt;0,REASIGN('Datos delta'!DW44,'Datos Protegidos'!$K44,PARTIDOS!DX$8),0)</f>
        <v>0</v>
      </c>
      <c r="EO44" s="7">
        <v>0</v>
      </c>
      <c r="EP44" s="19">
        <f>+IF('Datos delta'!DY44&gt;0,REASIGN('Datos delta'!DY44,'Datos Protegidos'!$K44,PARTIDOS!DZ$8),0)</f>
        <v>0</v>
      </c>
      <c r="EQ44" s="7">
        <v>0</v>
      </c>
      <c r="ER44" s="19">
        <f>+IF('Datos delta'!EA44&gt;0,REASIGN('Datos delta'!EA44,'Datos Protegidos'!$K44,PARTIDOS!EB$8),0)</f>
        <v>0</v>
      </c>
      <c r="ES44" s="7">
        <v>0</v>
      </c>
      <c r="ET44" s="19">
        <f>+IF('Datos delta'!EC44&gt;0,REASIGN('Datos delta'!EC44,'Datos Protegidos'!$K44,PARTIDOS!ED$8),0)</f>
        <v>0</v>
      </c>
      <c r="EU44" s="7">
        <v>0</v>
      </c>
    </row>
    <row r="45" spans="1:151" x14ac:dyDescent="0.25">
      <c r="A45" s="7" t="s">
        <v>70</v>
      </c>
      <c r="B45" s="8">
        <v>20</v>
      </c>
      <c r="C45" s="7" t="s">
        <v>72</v>
      </c>
      <c r="D45" s="9">
        <v>720592</v>
      </c>
      <c r="E45">
        <v>848</v>
      </c>
      <c r="F45" s="1">
        <v>556567</v>
      </c>
      <c r="G45" s="1">
        <v>27894</v>
      </c>
      <c r="H45" s="1">
        <v>584461</v>
      </c>
      <c r="I45" s="1"/>
      <c r="J45" s="1"/>
      <c r="K45" s="1"/>
      <c r="L45" s="3">
        <f t="shared" si="1"/>
        <v>385714</v>
      </c>
      <c r="M45" s="3">
        <f t="shared" si="2"/>
        <v>384036</v>
      </c>
      <c r="N45" s="6">
        <f t="shared" si="0"/>
        <v>382129</v>
      </c>
      <c r="O45" s="1">
        <v>1907</v>
      </c>
      <c r="P45" s="1">
        <v>1678</v>
      </c>
      <c r="Q45" s="6">
        <f t="shared" si="3"/>
        <v>6</v>
      </c>
      <c r="R45" s="19">
        <f>+IF('Datos delta'!A45&gt;0,REASIGN('Datos delta'!A45,'Datos Protegidos'!$K45,PARTIDOS!B$8),0)</f>
        <v>73191</v>
      </c>
      <c r="S45" s="7">
        <v>1</v>
      </c>
      <c r="T45" s="19">
        <f>+IF('Datos delta'!C45&gt;0,REASIGN('Datos delta'!C45,'Datos Protegidos'!$K45,PARTIDOS!D$8),0)</f>
        <v>27150</v>
      </c>
      <c r="U45" s="7">
        <v>0</v>
      </c>
      <c r="V45" s="19">
        <f>+IF('Datos delta'!E45&gt;0,REASIGN('Datos delta'!E45,'Datos Protegidos'!$K45,PARTIDOS!F$8),0)</f>
        <v>7419</v>
      </c>
      <c r="W45" s="7">
        <v>0</v>
      </c>
      <c r="X45" s="19">
        <f>+IF('Datos delta'!G45&gt;0,REASIGN('Datos delta'!G45,'Datos Protegidos'!$K45,PARTIDOS!H$8),0)</f>
        <v>60231</v>
      </c>
      <c r="Y45" s="7">
        <v>1</v>
      </c>
      <c r="Z45" s="19">
        <f>+IF('Datos delta'!I45&gt;0,REASIGN('Datos delta'!I45,'Datos Protegidos'!$K45,PARTIDOS!J$8),0)</f>
        <v>0</v>
      </c>
      <c r="AA45" s="7">
        <v>0</v>
      </c>
      <c r="AB45" s="19">
        <f>+IF('Datos delta'!K45&gt;0,REASIGN('Datos delta'!K45,'Datos Protegidos'!$K45,PARTIDOS!L$8),0)</f>
        <v>0</v>
      </c>
      <c r="AC45" s="7">
        <v>0</v>
      </c>
      <c r="AD45" s="19">
        <f>+IF('Datos delta'!M45&gt;0,REASIGN('Datos delta'!M45,'Datos Protegidos'!$K45,PARTIDOS!N$8),0)</f>
        <v>0</v>
      </c>
      <c r="AE45" s="7">
        <v>0</v>
      </c>
      <c r="AF45" s="19">
        <f>+IF('Datos delta'!O45&gt;0,REASIGN('Datos delta'!O45,'Datos Protegidos'!$K45,PARTIDOS!P$8),0)</f>
        <v>0</v>
      </c>
      <c r="AG45" s="7">
        <v>0</v>
      </c>
      <c r="AH45" s="19">
        <f>+IF('Datos delta'!Q45&gt;0,REASIGN('Datos delta'!Q45,'Datos Protegidos'!$K45,PARTIDOS!R$8),0)</f>
        <v>113841</v>
      </c>
      <c r="AI45" s="7">
        <v>2</v>
      </c>
      <c r="AJ45" s="19">
        <f>+IF('Datos delta'!S45&gt;0,REASIGN('Datos delta'!S45,'Datos Protegidos'!$K45,PARTIDOS!T$8),0)</f>
        <v>96477</v>
      </c>
      <c r="AK45" s="7">
        <v>2</v>
      </c>
      <c r="AL45" s="19">
        <f>+IF('Datos delta'!U45&gt;0,REASIGN('Datos delta'!U45,'Datos Protegidos'!$K45,PARTIDOS!V$8),0)</f>
        <v>0</v>
      </c>
      <c r="AM45" s="7">
        <v>0</v>
      </c>
      <c r="AN45" s="19">
        <f>+IF('Datos delta'!W45&gt;0,REASIGN('Datos delta'!W45,'Datos Protegidos'!$K45,PARTIDOS!X$8),0)</f>
        <v>0</v>
      </c>
      <c r="AO45" s="7">
        <v>0</v>
      </c>
      <c r="AP45" s="19">
        <f>+IF('Datos delta'!Y45&gt;0,REASIGN('Datos delta'!Y45,'Datos Protegidos'!$K45,PARTIDOS!Z$8),0)</f>
        <v>0</v>
      </c>
      <c r="AQ45" s="7">
        <v>0</v>
      </c>
      <c r="AR45" s="19">
        <f>+IF('Datos delta'!AA45&gt;0,REASIGN('Datos delta'!AA45,'Datos Protegidos'!$K45,PARTIDOS!AB$8),0)</f>
        <v>0</v>
      </c>
      <c r="AS45" s="7">
        <v>0</v>
      </c>
      <c r="AT45" s="19">
        <f>+IF('Datos delta'!AC45&gt;0,REASIGN('Datos delta'!AC45,'Datos Protegidos'!$K45,PARTIDOS!AD$8),0)</f>
        <v>0</v>
      </c>
      <c r="AU45" s="7">
        <v>0</v>
      </c>
      <c r="AV45" s="19">
        <f>+IF('Datos delta'!AE45&gt;0,REASIGN('Datos delta'!AE45,'Datos Protegidos'!$K45,PARTIDOS!AF$8),0)</f>
        <v>0</v>
      </c>
      <c r="AW45" s="7">
        <v>0</v>
      </c>
      <c r="AX45" s="19">
        <f>+IF('Datos delta'!AG45&gt;0,REASIGN('Datos delta'!AG45,'Datos Protegidos'!$K45,PARTIDOS!AH$8),0)</f>
        <v>0</v>
      </c>
      <c r="AY45" s="7">
        <v>0</v>
      </c>
      <c r="AZ45" s="19">
        <f>+IF('Datos delta'!AI45&gt;0,REASIGN('Datos delta'!AI45,'Datos Protegidos'!$K45,PARTIDOS!AJ$8),0)</f>
        <v>0</v>
      </c>
      <c r="BA45" s="7">
        <v>0</v>
      </c>
      <c r="BB45" s="19">
        <f>+IF('Datos delta'!AK45&gt;0,REASIGN('Datos delta'!AK45,'Datos Protegidos'!$K45,PARTIDOS!AL$8),0)</f>
        <v>0</v>
      </c>
      <c r="BC45" s="7">
        <v>0</v>
      </c>
      <c r="BD45" s="19">
        <f>+IF('Datos delta'!AM45&gt;0,REASIGN('Datos delta'!AM45,'Datos Protegidos'!$K45,PARTIDOS!AN$8),0)</f>
        <v>2059</v>
      </c>
      <c r="BE45" s="7">
        <v>0</v>
      </c>
      <c r="BF45" s="19">
        <f>+IF('Datos delta'!AO45&gt;0,REASIGN('Datos delta'!AO45,'Datos Protegidos'!$K45,PARTIDOS!AP$8),0)</f>
        <v>0</v>
      </c>
      <c r="BG45" s="7">
        <v>0</v>
      </c>
      <c r="BH45" s="19">
        <f>+IF('Datos delta'!AQ45&gt;0,REASIGN('Datos delta'!AQ45,'Datos Protegidos'!$K45,PARTIDOS!AR$8),0)</f>
        <v>507</v>
      </c>
      <c r="BI45" s="7">
        <v>0</v>
      </c>
      <c r="BJ45" s="19">
        <f>+IF('Datos delta'!AS45&gt;0,REASIGN('Datos delta'!AS45,'Datos Protegidos'!$K45,PARTIDOS!AT$8),0)</f>
        <v>398</v>
      </c>
      <c r="BK45" s="7">
        <v>0</v>
      </c>
      <c r="BL45" s="19">
        <f>+IF('Datos delta'!AU45&gt;0,REASIGN('Datos delta'!AU45,'Datos Protegidos'!$K45,PARTIDOS!AV$8),0)</f>
        <v>0</v>
      </c>
      <c r="BM45" s="7">
        <v>0</v>
      </c>
      <c r="BN45" s="19">
        <f>+IF('Datos delta'!AW45&gt;0,REASIGN('Datos delta'!AW45,'Datos Protegidos'!$K45,PARTIDOS!AX$8),0)</f>
        <v>0</v>
      </c>
      <c r="BO45" s="7">
        <v>0</v>
      </c>
      <c r="BP45" s="19">
        <f>+IF('Datos delta'!AY45&gt;0,REASIGN('Datos delta'!AY45,'Datos Protegidos'!$K45,PARTIDOS!AZ$8),0)</f>
        <v>0</v>
      </c>
      <c r="BQ45" s="7">
        <v>0</v>
      </c>
      <c r="BR45" s="19">
        <f>+IF('Datos delta'!BA45&gt;0,REASIGN('Datos delta'!BA45,'Datos Protegidos'!$K45,PARTIDOS!BB$8),0)</f>
        <v>0</v>
      </c>
      <c r="BS45" s="7">
        <v>0</v>
      </c>
      <c r="BT45" s="19">
        <f>+IF('Datos delta'!BC45&gt;0,REASIGN('Datos delta'!BC45,'Datos Protegidos'!$K45,PARTIDOS!BD$8),0)</f>
        <v>289</v>
      </c>
      <c r="BU45" s="7">
        <v>0</v>
      </c>
      <c r="BV45" s="19">
        <f>+IF('Datos delta'!BE45&gt;0,REASIGN('Datos delta'!BE45,'Datos Protegidos'!$K45,PARTIDOS!BF$8),0)</f>
        <v>0</v>
      </c>
      <c r="BW45" s="7">
        <v>0</v>
      </c>
      <c r="BX45" s="19">
        <f>+IF('Datos delta'!BG45&gt;0,REASIGN('Datos delta'!BG45,'Datos Protegidos'!$K45,PARTIDOS!BH$8),0)</f>
        <v>0</v>
      </c>
      <c r="BY45" s="7">
        <v>0</v>
      </c>
      <c r="BZ45" s="19">
        <f>+IF('Datos delta'!BI45&gt;0,REASIGN('Datos delta'!BI45,'Datos Protegidos'!$K45,PARTIDOS!BJ$8),0)</f>
        <v>0</v>
      </c>
      <c r="CA45" s="7">
        <v>0</v>
      </c>
      <c r="CB45" s="19">
        <f>+IF('Datos delta'!BK45&gt;0,REASIGN('Datos delta'!BK45,'Datos Protegidos'!$K45,PARTIDOS!BL$8),0)</f>
        <v>0</v>
      </c>
      <c r="CC45" s="7">
        <v>0</v>
      </c>
      <c r="CD45" s="19">
        <f>+IF('Datos delta'!BM45&gt;0,REASIGN('Datos delta'!BM45,'Datos Protegidos'!$K45,PARTIDOS!BN$8),0)</f>
        <v>567</v>
      </c>
      <c r="CE45" s="7">
        <v>0</v>
      </c>
      <c r="CF45" s="19">
        <f>+IF('Datos delta'!BO45&gt;0,REASIGN('Datos delta'!BO45,'Datos Protegidos'!$K45,PARTIDOS!BP$8),0)</f>
        <v>0</v>
      </c>
      <c r="CG45" s="7">
        <v>0</v>
      </c>
      <c r="CH45" s="19">
        <f>+IF('Datos delta'!BQ45&gt;0,REASIGN('Datos delta'!BQ45,'Datos Protegidos'!$K45,PARTIDOS!BR$8),0)</f>
        <v>0</v>
      </c>
      <c r="CI45" s="7">
        <v>0</v>
      </c>
      <c r="CJ45" s="19">
        <f>+IF('Datos delta'!BS45&gt;0,REASIGN('Datos delta'!BS45,'Datos Protegidos'!$K45,PARTIDOS!BT$8),0)</f>
        <v>0</v>
      </c>
      <c r="CK45" s="7">
        <v>0</v>
      </c>
      <c r="CL45" s="19">
        <f>+IF('Datos delta'!BU45&gt;0,REASIGN('Datos delta'!BU45,'Datos Protegidos'!$K45,PARTIDOS!BV$8),0)</f>
        <v>0</v>
      </c>
      <c r="CM45" s="7">
        <v>0</v>
      </c>
      <c r="CN45" s="19">
        <f>+IF('Datos delta'!BW45&gt;0,REASIGN('Datos delta'!BW45,'Datos Protegidos'!$K45,PARTIDOS!BX$8),0)</f>
        <v>0</v>
      </c>
      <c r="CO45" s="7">
        <v>0</v>
      </c>
      <c r="CP45" s="19">
        <f>+IF('Datos delta'!BY45&gt;0,REASIGN('Datos delta'!BY45,'Datos Protegidos'!$K45,PARTIDOS!BZ$8),0)</f>
        <v>0</v>
      </c>
      <c r="CQ45" s="7">
        <v>0</v>
      </c>
      <c r="CR45" s="19">
        <f>+IF('Datos delta'!CA45&gt;0,REASIGN('Datos delta'!CA45,'Datos Protegidos'!$K45,PARTIDOS!CB$8),0)</f>
        <v>0</v>
      </c>
      <c r="CS45" s="7">
        <v>0</v>
      </c>
      <c r="CT45" s="19">
        <f>+IF('Datos delta'!CC45&gt;0,REASIGN('Datos delta'!CC45,'Datos Protegidos'!$K45,PARTIDOS!CD$8),0)</f>
        <v>0</v>
      </c>
      <c r="CU45" s="7">
        <v>0</v>
      </c>
      <c r="CV45" s="19">
        <f>+IF('Datos delta'!CE45&gt;0,REASIGN('Datos delta'!CE45,'Datos Protegidos'!$K45,PARTIDOS!CF$8),0)</f>
        <v>0</v>
      </c>
      <c r="CW45" s="7">
        <v>0</v>
      </c>
      <c r="CX45" s="19">
        <f>+IF('Datos delta'!CG45&gt;0,REASIGN('Datos delta'!CG45,'Datos Protegidos'!$K45,PARTIDOS!CH$8),0)</f>
        <v>0</v>
      </c>
      <c r="CY45" s="7">
        <v>0</v>
      </c>
      <c r="CZ45" s="19">
        <f>+IF('Datos delta'!CI45&gt;0,REASIGN('Datos delta'!CI45,'Datos Protegidos'!$K45,PARTIDOS!CJ$8),0)</f>
        <v>0</v>
      </c>
      <c r="DA45" s="7">
        <v>0</v>
      </c>
      <c r="DB45" s="19">
        <f>+IF('Datos delta'!CK45&gt;0,REASIGN('Datos delta'!CK45,'Datos Protegidos'!$K45,PARTIDOS!CL$8),0)</f>
        <v>0</v>
      </c>
      <c r="DC45" s="7">
        <v>0</v>
      </c>
      <c r="DD45" s="19">
        <f>+IF('Datos delta'!CM45&gt;0,REASIGN('Datos delta'!CM45,'Datos Protegidos'!$K45,PARTIDOS!CN$8),0)</f>
        <v>0</v>
      </c>
      <c r="DE45" s="7">
        <v>0</v>
      </c>
      <c r="DF45" s="19">
        <f>+IF('Datos delta'!CO45&gt;0,REASIGN('Datos delta'!CO45,'Datos Protegidos'!$K45,PARTIDOS!CP$8),0)</f>
        <v>0</v>
      </c>
      <c r="DG45" s="7">
        <v>0</v>
      </c>
      <c r="DH45" s="19">
        <f>+IF('Datos delta'!CQ45&gt;0,REASIGN('Datos delta'!CQ45,'Datos Protegidos'!$K45,PARTIDOS!CR$8),0)</f>
        <v>0</v>
      </c>
      <c r="DI45" s="7">
        <v>0</v>
      </c>
      <c r="DJ45" s="19">
        <f>+IF('Datos delta'!CS45&gt;0,REASIGN('Datos delta'!CS45,'Datos Protegidos'!$K45,PARTIDOS!CT$8),0)</f>
        <v>0</v>
      </c>
      <c r="DK45" s="7">
        <v>0</v>
      </c>
      <c r="DL45" s="19">
        <f>+IF('Datos delta'!CU45&gt;0,REASIGN('Datos delta'!CU45,'Datos Protegidos'!$K45,PARTIDOS!CV$8),0)</f>
        <v>0</v>
      </c>
      <c r="DM45" s="7">
        <v>0</v>
      </c>
      <c r="DN45" s="19">
        <f>+IF('Datos delta'!CW45&gt;0,REASIGN('Datos delta'!CW45,'Datos Protegidos'!$K45,PARTIDOS!CX$8),0)</f>
        <v>0</v>
      </c>
      <c r="DO45" s="7">
        <v>0</v>
      </c>
      <c r="DP45" s="19">
        <f>+IF('Datos delta'!CY45&gt;0,REASIGN('Datos delta'!CY45,'Datos Protegidos'!$K45,PARTIDOS!CZ$8),0)</f>
        <v>0</v>
      </c>
      <c r="DQ45" s="7">
        <v>0</v>
      </c>
      <c r="DR45" s="19">
        <f>+IF('Datos delta'!DA45&gt;0,REASIGN('Datos delta'!DA45,'Datos Protegidos'!$K45,PARTIDOS!DB$8),0)</f>
        <v>0</v>
      </c>
      <c r="DS45" s="7">
        <v>0</v>
      </c>
      <c r="DT45" s="19">
        <f>+IF('Datos delta'!DC45&gt;0,REASIGN('Datos delta'!DC45,'Datos Protegidos'!$K45,PARTIDOS!DD$8),0)</f>
        <v>0</v>
      </c>
      <c r="DU45" s="7">
        <v>0</v>
      </c>
      <c r="DV45" s="19">
        <f>+IF('Datos delta'!DE45&gt;0,REASIGN('Datos delta'!DE45,'Datos Protegidos'!$K45,PARTIDOS!DF$8),0)</f>
        <v>0</v>
      </c>
      <c r="DW45" s="7">
        <v>0</v>
      </c>
      <c r="DX45" s="19">
        <f>+IF('Datos delta'!DG45&gt;0,REASIGN('Datos delta'!DG45,'Datos Protegidos'!$K45,PARTIDOS!DH$8),0)</f>
        <v>0</v>
      </c>
      <c r="DY45" s="7">
        <v>0</v>
      </c>
      <c r="DZ45" s="19">
        <f>+IF('Datos delta'!DI45&gt;0,REASIGN('Datos delta'!DI45,'Datos Protegidos'!$K45,PARTIDOS!DJ$8),0)</f>
        <v>0</v>
      </c>
      <c r="EA45" s="7">
        <v>0</v>
      </c>
      <c r="EB45" s="19">
        <f>+IF('Datos delta'!DK45&gt;0,REASIGN('Datos delta'!DK45,'Datos Protegidos'!$K45,PARTIDOS!DL$8),0)</f>
        <v>0</v>
      </c>
      <c r="EC45" s="7">
        <v>0</v>
      </c>
      <c r="ED45" s="19">
        <f>+IF('Datos delta'!DM45&gt;0,REASIGN('Datos delta'!DM45,'Datos Protegidos'!$K45,PARTIDOS!DN$8),0)</f>
        <v>0</v>
      </c>
      <c r="EE45" s="7">
        <v>0</v>
      </c>
      <c r="EF45" s="19">
        <f>+IF('Datos delta'!DO45&gt;0,REASIGN('Datos delta'!DO45,'Datos Protegidos'!$K45,PARTIDOS!DP$8),0)</f>
        <v>0</v>
      </c>
      <c r="EG45" s="7">
        <v>0</v>
      </c>
      <c r="EH45" s="19">
        <f>+IF('Datos delta'!DQ45&gt;0,REASIGN('Datos delta'!DQ45,'Datos Protegidos'!$K45,PARTIDOS!DR$8),0)</f>
        <v>0</v>
      </c>
      <c r="EI45" s="7">
        <v>0</v>
      </c>
      <c r="EJ45" s="19">
        <f>+IF('Datos delta'!DS45&gt;0,REASIGN('Datos delta'!DS45,'Datos Protegidos'!$K45,PARTIDOS!DT$8),0)</f>
        <v>0</v>
      </c>
      <c r="EK45" s="7">
        <v>0</v>
      </c>
      <c r="EL45" s="19">
        <f>+IF('Datos delta'!DU45&gt;0,REASIGN('Datos delta'!DU45,'Datos Protegidos'!$K45,PARTIDOS!DV$8),0)</f>
        <v>0</v>
      </c>
      <c r="EM45" s="7">
        <v>0</v>
      </c>
      <c r="EN45" s="19">
        <f>+IF('Datos delta'!DW45&gt;0,REASIGN('Datos delta'!DW45,'Datos Protegidos'!$K45,PARTIDOS!DX$8),0)</f>
        <v>0</v>
      </c>
      <c r="EO45" s="7">
        <v>0</v>
      </c>
      <c r="EP45" s="19">
        <f>+IF('Datos delta'!DY45&gt;0,REASIGN('Datos delta'!DY45,'Datos Protegidos'!$K45,PARTIDOS!DZ$8),0)</f>
        <v>0</v>
      </c>
      <c r="EQ45" s="7">
        <v>0</v>
      </c>
      <c r="ER45" s="19">
        <f>+IF('Datos delta'!EA45&gt;0,REASIGN('Datos delta'!EA45,'Datos Protegidos'!$K45,PARTIDOS!EB$8),0)</f>
        <v>0</v>
      </c>
      <c r="ES45" s="7">
        <v>0</v>
      </c>
      <c r="ET45" s="19">
        <f>+IF('Datos delta'!EC45&gt;0,REASIGN('Datos delta'!EC45,'Datos Protegidos'!$K45,PARTIDOS!ED$8),0)</f>
        <v>0</v>
      </c>
      <c r="EU45" s="7">
        <v>0</v>
      </c>
    </row>
    <row r="46" spans="1:151" x14ac:dyDescent="0.25">
      <c r="A46" s="7" t="s">
        <v>70</v>
      </c>
      <c r="B46" s="8">
        <v>48</v>
      </c>
      <c r="C46" s="7" t="s">
        <v>73</v>
      </c>
      <c r="D46" s="9">
        <v>1149628</v>
      </c>
      <c r="E46" s="1">
        <v>1396</v>
      </c>
      <c r="F46" s="1">
        <v>909601</v>
      </c>
      <c r="G46" s="1">
        <v>39997</v>
      </c>
      <c r="H46" s="1">
        <v>949598</v>
      </c>
      <c r="I46" s="1"/>
      <c r="J46" s="1"/>
      <c r="K46" s="1"/>
      <c r="L46" s="3">
        <f t="shared" si="1"/>
        <v>638090</v>
      </c>
      <c r="M46" s="3">
        <f t="shared" si="2"/>
        <v>634425</v>
      </c>
      <c r="N46" s="6">
        <f t="shared" si="0"/>
        <v>630619</v>
      </c>
      <c r="O46" s="1">
        <v>3806</v>
      </c>
      <c r="P46" s="1">
        <v>3665</v>
      </c>
      <c r="Q46" s="6">
        <f t="shared" si="3"/>
        <v>8</v>
      </c>
      <c r="R46" s="19">
        <f>+IF('Datos delta'!A46&gt;0,REASIGN('Datos delta'!A46,'Datos Protegidos'!$K46,PARTIDOS!B$8),0)</f>
        <v>127286</v>
      </c>
      <c r="S46" s="7">
        <v>2</v>
      </c>
      <c r="T46" s="19">
        <f>+IF('Datos delta'!C46&gt;0,REASIGN('Datos delta'!C46,'Datos Protegidos'!$K46,PARTIDOS!D$8),0)</f>
        <v>62276</v>
      </c>
      <c r="U46" s="7">
        <v>1</v>
      </c>
      <c r="V46" s="19">
        <f>+IF('Datos delta'!E46&gt;0,REASIGN('Datos delta'!E46,'Datos Protegidos'!$K46,PARTIDOS!F$8),0)</f>
        <v>15589</v>
      </c>
      <c r="W46" s="7">
        <v>0</v>
      </c>
      <c r="X46" s="19">
        <f>+IF('Datos delta'!G46&gt;0,REASIGN('Datos delta'!G46,'Datos Protegidos'!$K46,PARTIDOS!H$8),0)</f>
        <v>101981</v>
      </c>
      <c r="Y46" s="7">
        <v>1</v>
      </c>
      <c r="Z46" s="19">
        <f>+IF('Datos delta'!I46&gt;0,REASIGN('Datos delta'!I46,'Datos Protegidos'!$K46,PARTIDOS!J$8),0)</f>
        <v>0</v>
      </c>
      <c r="AA46" s="7">
        <v>0</v>
      </c>
      <c r="AB46" s="19">
        <f>+IF('Datos delta'!K46&gt;0,REASIGN('Datos delta'!K46,'Datos Protegidos'!$K46,PARTIDOS!L$8),0)</f>
        <v>0</v>
      </c>
      <c r="AC46" s="7">
        <v>0</v>
      </c>
      <c r="AD46" s="19">
        <f>+IF('Datos delta'!M46&gt;0,REASIGN('Datos delta'!M46,'Datos Protegidos'!$K46,PARTIDOS!N$8),0)</f>
        <v>0</v>
      </c>
      <c r="AE46" s="7">
        <v>0</v>
      </c>
      <c r="AF46" s="19">
        <f>+IF('Datos delta'!O46&gt;0,REASIGN('Datos delta'!O46,'Datos Protegidos'!$K46,PARTIDOS!P$8),0)</f>
        <v>0</v>
      </c>
      <c r="AG46" s="7">
        <v>0</v>
      </c>
      <c r="AH46" s="19">
        <f>+IF('Datos delta'!Q46&gt;0,REASIGN('Datos delta'!Q46,'Datos Protegidos'!$K46,PARTIDOS!R$8),0)</f>
        <v>216429</v>
      </c>
      <c r="AI46" s="7">
        <v>3</v>
      </c>
      <c r="AJ46" s="19">
        <f>+IF('Datos delta'!S46&gt;0,REASIGN('Datos delta'!S46,'Datos Protegidos'!$K46,PARTIDOS!T$8),0)</f>
        <v>92302</v>
      </c>
      <c r="AK46" s="7">
        <v>1</v>
      </c>
      <c r="AL46" s="19">
        <f>+IF('Datos delta'!U46&gt;0,REASIGN('Datos delta'!U46,'Datos Protegidos'!$K46,PARTIDOS!V$8),0)</f>
        <v>8969</v>
      </c>
      <c r="AM46" s="7">
        <v>0</v>
      </c>
      <c r="AN46" s="19">
        <f>+IF('Datos delta'!W46&gt;0,REASIGN('Datos delta'!W46,'Datos Protegidos'!$K46,PARTIDOS!X$8),0)</f>
        <v>0</v>
      </c>
      <c r="AO46" s="7">
        <v>0</v>
      </c>
      <c r="AP46" s="19">
        <f>+IF('Datos delta'!Y46&gt;0,REASIGN('Datos delta'!Y46,'Datos Protegidos'!$K46,PARTIDOS!Z$8),0)</f>
        <v>0</v>
      </c>
      <c r="AQ46" s="7">
        <v>0</v>
      </c>
      <c r="AR46" s="19">
        <f>+IF('Datos delta'!AA46&gt;0,REASIGN('Datos delta'!AA46,'Datos Protegidos'!$K46,PARTIDOS!AB$8),0)</f>
        <v>0</v>
      </c>
      <c r="AS46" s="7">
        <v>0</v>
      </c>
      <c r="AT46" s="19">
        <f>+IF('Datos delta'!AC46&gt;0,REASIGN('Datos delta'!AC46,'Datos Protegidos'!$K46,PARTIDOS!AD$8),0)</f>
        <v>0</v>
      </c>
      <c r="AU46" s="7">
        <v>0</v>
      </c>
      <c r="AV46" s="19">
        <f>+IF('Datos delta'!AE46&gt;0,REASIGN('Datos delta'!AE46,'Datos Protegidos'!$K46,PARTIDOS!AF$8),0)</f>
        <v>0</v>
      </c>
      <c r="AW46" s="7">
        <v>0</v>
      </c>
      <c r="AX46" s="19">
        <f>+IF('Datos delta'!AG46&gt;0,REASIGN('Datos delta'!AG46,'Datos Protegidos'!$K46,PARTIDOS!AH$8),0)</f>
        <v>0</v>
      </c>
      <c r="AY46" s="7">
        <v>0</v>
      </c>
      <c r="AZ46" s="19">
        <f>+IF('Datos delta'!AI46&gt;0,REASIGN('Datos delta'!AI46,'Datos Protegidos'!$K46,PARTIDOS!AJ$8),0)</f>
        <v>0</v>
      </c>
      <c r="BA46" s="7">
        <v>0</v>
      </c>
      <c r="BB46" s="19">
        <f>+IF('Datos delta'!AK46&gt;0,REASIGN('Datos delta'!AK46,'Datos Protegidos'!$K46,PARTIDOS!AL$8),0)</f>
        <v>0</v>
      </c>
      <c r="BC46" s="7">
        <v>0</v>
      </c>
      <c r="BD46" s="19">
        <f>+IF('Datos delta'!AM46&gt;0,REASIGN('Datos delta'!AM46,'Datos Protegidos'!$K46,PARTIDOS!AN$8),0)</f>
        <v>3764</v>
      </c>
      <c r="BE46" s="7">
        <v>0</v>
      </c>
      <c r="BF46" s="19">
        <f>+IF('Datos delta'!AO46&gt;0,REASIGN('Datos delta'!AO46,'Datos Protegidos'!$K46,PARTIDOS!AP$8),0)</f>
        <v>0</v>
      </c>
      <c r="BG46" s="7">
        <v>0</v>
      </c>
      <c r="BH46" s="19">
        <f>+IF('Datos delta'!AQ46&gt;0,REASIGN('Datos delta'!AQ46,'Datos Protegidos'!$K46,PARTIDOS!AR$8),0)</f>
        <v>749</v>
      </c>
      <c r="BI46" s="7">
        <v>0</v>
      </c>
      <c r="BJ46" s="19">
        <f>+IF('Datos delta'!AS46&gt;0,REASIGN('Datos delta'!AS46,'Datos Protegidos'!$K46,PARTIDOS!AT$8),0)</f>
        <v>491</v>
      </c>
      <c r="BK46" s="7">
        <v>0</v>
      </c>
      <c r="BL46" s="19">
        <f>+IF('Datos delta'!AU46&gt;0,REASIGN('Datos delta'!AU46,'Datos Protegidos'!$K46,PARTIDOS!AV$8),0)</f>
        <v>0</v>
      </c>
      <c r="BM46" s="7">
        <v>0</v>
      </c>
      <c r="BN46" s="19">
        <f>+IF('Datos delta'!AW46&gt;0,REASIGN('Datos delta'!AW46,'Datos Protegidos'!$K46,PARTIDOS!AX$8),0)</f>
        <v>0</v>
      </c>
      <c r="BO46" s="7">
        <v>0</v>
      </c>
      <c r="BP46" s="19">
        <f>+IF('Datos delta'!AY46&gt;0,REASIGN('Datos delta'!AY46,'Datos Protegidos'!$K46,PARTIDOS!AZ$8),0)</f>
        <v>0</v>
      </c>
      <c r="BQ46" s="7">
        <v>0</v>
      </c>
      <c r="BR46" s="19">
        <f>+IF('Datos delta'!BA46&gt;0,REASIGN('Datos delta'!BA46,'Datos Protegidos'!$K46,PARTIDOS!BB$8),0)</f>
        <v>0</v>
      </c>
      <c r="BS46" s="7">
        <v>0</v>
      </c>
      <c r="BT46" s="19">
        <f>+IF('Datos delta'!BC46&gt;0,REASIGN('Datos delta'!BC46,'Datos Protegidos'!$K46,PARTIDOS!BD$8),0)</f>
        <v>515</v>
      </c>
      <c r="BU46" s="7">
        <v>0</v>
      </c>
      <c r="BV46" s="19">
        <f>+IF('Datos delta'!BE46&gt;0,REASIGN('Datos delta'!BE46,'Datos Protegidos'!$K46,PARTIDOS!BF$8),0)</f>
        <v>0</v>
      </c>
      <c r="BW46" s="7">
        <v>0</v>
      </c>
      <c r="BX46" s="19">
        <f>+IF('Datos delta'!BG46&gt;0,REASIGN('Datos delta'!BG46,'Datos Protegidos'!$K46,PARTIDOS!BH$8),0)</f>
        <v>0</v>
      </c>
      <c r="BY46" s="7">
        <v>0</v>
      </c>
      <c r="BZ46" s="19">
        <f>+IF('Datos delta'!BI46&gt;0,REASIGN('Datos delta'!BI46,'Datos Protegidos'!$K46,PARTIDOS!BJ$8),0)</f>
        <v>0</v>
      </c>
      <c r="CA46" s="7">
        <v>0</v>
      </c>
      <c r="CB46" s="19">
        <f>+IF('Datos delta'!BK46&gt;0,REASIGN('Datos delta'!BK46,'Datos Protegidos'!$K46,PARTIDOS!BL$8),0)</f>
        <v>0</v>
      </c>
      <c r="CC46" s="7">
        <v>0</v>
      </c>
      <c r="CD46" s="19">
        <f>+IF('Datos delta'!BM46&gt;0,REASIGN('Datos delta'!BM46,'Datos Protegidos'!$K46,PARTIDOS!BN$8),0)</f>
        <v>0</v>
      </c>
      <c r="CE46" s="7">
        <v>0</v>
      </c>
      <c r="CF46" s="19">
        <f>+IF('Datos delta'!BO46&gt;0,REASIGN('Datos delta'!BO46,'Datos Protegidos'!$K46,PARTIDOS!BP$8),0)</f>
        <v>0</v>
      </c>
      <c r="CG46" s="7">
        <v>0</v>
      </c>
      <c r="CH46" s="19">
        <f>+IF('Datos delta'!BQ46&gt;0,REASIGN('Datos delta'!BQ46,'Datos Protegidos'!$K46,PARTIDOS!BR$8),0)</f>
        <v>0</v>
      </c>
      <c r="CI46" s="7">
        <v>0</v>
      </c>
      <c r="CJ46" s="19">
        <f>+IF('Datos delta'!BS46&gt;0,REASIGN('Datos delta'!BS46,'Datos Protegidos'!$K46,PARTIDOS!BT$8),0)</f>
        <v>0</v>
      </c>
      <c r="CK46" s="7">
        <v>0</v>
      </c>
      <c r="CL46" s="19">
        <f>+IF('Datos delta'!BU46&gt;0,REASIGN('Datos delta'!BU46,'Datos Protegidos'!$K46,PARTIDOS!BV$8),0)</f>
        <v>0</v>
      </c>
      <c r="CM46" s="7">
        <v>0</v>
      </c>
      <c r="CN46" s="19">
        <f>+IF('Datos delta'!BW46&gt;0,REASIGN('Datos delta'!BW46,'Datos Protegidos'!$K46,PARTIDOS!BX$8),0)</f>
        <v>0</v>
      </c>
      <c r="CO46" s="7">
        <v>0</v>
      </c>
      <c r="CP46" s="19">
        <f>+IF('Datos delta'!BY46&gt;0,REASIGN('Datos delta'!BY46,'Datos Protegidos'!$K46,PARTIDOS!BZ$8),0)</f>
        <v>0</v>
      </c>
      <c r="CQ46" s="7">
        <v>0</v>
      </c>
      <c r="CR46" s="19">
        <f>+IF('Datos delta'!CA46&gt;0,REASIGN('Datos delta'!CA46,'Datos Protegidos'!$K46,PARTIDOS!CB$8),0)</f>
        <v>0</v>
      </c>
      <c r="CS46" s="7">
        <v>0</v>
      </c>
      <c r="CT46" s="19">
        <f>+IF('Datos delta'!CC46&gt;0,REASIGN('Datos delta'!CC46,'Datos Protegidos'!$K46,PARTIDOS!CD$8),0)</f>
        <v>0</v>
      </c>
      <c r="CU46" s="7">
        <v>0</v>
      </c>
      <c r="CV46" s="19">
        <f>+IF('Datos delta'!CE46&gt;0,REASIGN('Datos delta'!CE46,'Datos Protegidos'!$K46,PARTIDOS!CF$8),0)</f>
        <v>0</v>
      </c>
      <c r="CW46" s="7">
        <v>0</v>
      </c>
      <c r="CX46" s="19">
        <f>+IF('Datos delta'!CG46&gt;0,REASIGN('Datos delta'!CG46,'Datos Protegidos'!$K46,PARTIDOS!CH$8),0)</f>
        <v>0</v>
      </c>
      <c r="CY46" s="7">
        <v>0</v>
      </c>
      <c r="CZ46" s="19">
        <f>+IF('Datos delta'!CI46&gt;0,REASIGN('Datos delta'!CI46,'Datos Protegidos'!$K46,PARTIDOS!CJ$8),0)</f>
        <v>0</v>
      </c>
      <c r="DA46" s="7">
        <v>0</v>
      </c>
      <c r="DB46" s="19">
        <f>+IF('Datos delta'!CK46&gt;0,REASIGN('Datos delta'!CK46,'Datos Protegidos'!$K46,PARTIDOS!CL$8),0)</f>
        <v>0</v>
      </c>
      <c r="DC46" s="7">
        <v>0</v>
      </c>
      <c r="DD46" s="19">
        <f>+IF('Datos delta'!CM46&gt;0,REASIGN('Datos delta'!CM46,'Datos Protegidos'!$K46,PARTIDOS!CN$8),0)</f>
        <v>0</v>
      </c>
      <c r="DE46" s="7">
        <v>0</v>
      </c>
      <c r="DF46" s="19">
        <f>+IF('Datos delta'!CO46&gt;0,REASIGN('Datos delta'!CO46,'Datos Protegidos'!$K46,PARTIDOS!CP$8),0)</f>
        <v>0</v>
      </c>
      <c r="DG46" s="7">
        <v>0</v>
      </c>
      <c r="DH46" s="19">
        <f>+IF('Datos delta'!CQ46&gt;0,REASIGN('Datos delta'!CQ46,'Datos Protegidos'!$K46,PARTIDOS!CR$8),0)</f>
        <v>0</v>
      </c>
      <c r="DI46" s="7">
        <v>0</v>
      </c>
      <c r="DJ46" s="19">
        <f>+IF('Datos delta'!CS46&gt;0,REASIGN('Datos delta'!CS46,'Datos Protegidos'!$K46,PARTIDOS!CT$8),0)</f>
        <v>0</v>
      </c>
      <c r="DK46" s="7">
        <v>0</v>
      </c>
      <c r="DL46" s="19">
        <f>+IF('Datos delta'!CU46&gt;0,REASIGN('Datos delta'!CU46,'Datos Protegidos'!$K46,PARTIDOS!CV$8),0)</f>
        <v>0</v>
      </c>
      <c r="DM46" s="7">
        <v>0</v>
      </c>
      <c r="DN46" s="19">
        <f>+IF('Datos delta'!CW46&gt;0,REASIGN('Datos delta'!CW46,'Datos Protegidos'!$K46,PARTIDOS!CX$8),0)</f>
        <v>0</v>
      </c>
      <c r="DO46" s="7">
        <v>0</v>
      </c>
      <c r="DP46" s="19">
        <f>+IF('Datos delta'!CY46&gt;0,REASIGN('Datos delta'!CY46,'Datos Protegidos'!$K46,PARTIDOS!CZ$8),0)</f>
        <v>0</v>
      </c>
      <c r="DQ46" s="7">
        <v>0</v>
      </c>
      <c r="DR46" s="19">
        <f>+IF('Datos delta'!DA46&gt;0,REASIGN('Datos delta'!DA46,'Datos Protegidos'!$K46,PARTIDOS!DB$8),0)</f>
        <v>0</v>
      </c>
      <c r="DS46" s="7">
        <v>0</v>
      </c>
      <c r="DT46" s="19">
        <f>+IF('Datos delta'!DC46&gt;0,REASIGN('Datos delta'!DC46,'Datos Protegidos'!$K46,PARTIDOS!DD$8),0)</f>
        <v>0</v>
      </c>
      <c r="DU46" s="7">
        <v>0</v>
      </c>
      <c r="DV46" s="19">
        <f>+IF('Datos delta'!DE46&gt;0,REASIGN('Datos delta'!DE46,'Datos Protegidos'!$K46,PARTIDOS!DF$8),0)</f>
        <v>0</v>
      </c>
      <c r="DW46" s="7">
        <v>0</v>
      </c>
      <c r="DX46" s="19">
        <f>+IF('Datos delta'!DG46&gt;0,REASIGN('Datos delta'!DG46,'Datos Protegidos'!$K46,PARTIDOS!DH$8),0)</f>
        <v>0</v>
      </c>
      <c r="DY46" s="7">
        <v>0</v>
      </c>
      <c r="DZ46" s="19">
        <f>+IF('Datos delta'!DI46&gt;0,REASIGN('Datos delta'!DI46,'Datos Protegidos'!$K46,PARTIDOS!DJ$8),0)</f>
        <v>0</v>
      </c>
      <c r="EA46" s="7">
        <v>0</v>
      </c>
      <c r="EB46" s="19">
        <f>+IF('Datos delta'!DK46&gt;0,REASIGN('Datos delta'!DK46,'Datos Protegidos'!$K46,PARTIDOS!DL$8),0)</f>
        <v>0</v>
      </c>
      <c r="EC46" s="7">
        <v>0</v>
      </c>
      <c r="ED46" s="19">
        <f>+IF('Datos delta'!DM46&gt;0,REASIGN('Datos delta'!DM46,'Datos Protegidos'!$K46,PARTIDOS!DN$8),0)</f>
        <v>0</v>
      </c>
      <c r="EE46" s="7">
        <v>0</v>
      </c>
      <c r="EF46" s="19">
        <f>+IF('Datos delta'!DO46&gt;0,REASIGN('Datos delta'!DO46,'Datos Protegidos'!$K46,PARTIDOS!DP$8),0)</f>
        <v>0</v>
      </c>
      <c r="EG46" s="7">
        <v>0</v>
      </c>
      <c r="EH46" s="19">
        <f>+IF('Datos delta'!DQ46&gt;0,REASIGN('Datos delta'!DQ46,'Datos Protegidos'!$K46,PARTIDOS!DR$8),0)</f>
        <v>268</v>
      </c>
      <c r="EI46" s="7">
        <v>0</v>
      </c>
      <c r="EJ46" s="19">
        <f>+IF('Datos delta'!DS46&gt;0,REASIGN('Datos delta'!DS46,'Datos Protegidos'!$K46,PARTIDOS!DT$8),0)</f>
        <v>0</v>
      </c>
      <c r="EK46" s="7">
        <v>0</v>
      </c>
      <c r="EL46" s="19">
        <f>+IF('Datos delta'!DU46&gt;0,REASIGN('Datos delta'!DU46,'Datos Protegidos'!$K46,PARTIDOS!DV$8),0)</f>
        <v>0</v>
      </c>
      <c r="EM46" s="7">
        <v>0</v>
      </c>
      <c r="EN46" s="19">
        <f>+IF('Datos delta'!DW46&gt;0,REASIGN('Datos delta'!DW46,'Datos Protegidos'!$K46,PARTIDOS!DX$8),0)</f>
        <v>0</v>
      </c>
      <c r="EO46" s="7">
        <v>0</v>
      </c>
      <c r="EP46" s="19">
        <f>+IF('Datos delta'!DY46&gt;0,REASIGN('Datos delta'!DY46,'Datos Protegidos'!$K46,PARTIDOS!DZ$8),0)</f>
        <v>0</v>
      </c>
      <c r="EQ46" s="7">
        <v>0</v>
      </c>
      <c r="ER46" s="19">
        <f>+IF('Datos delta'!EA46&gt;0,REASIGN('Datos delta'!EA46,'Datos Protegidos'!$K46,PARTIDOS!EB$8),0)</f>
        <v>0</v>
      </c>
      <c r="ES46" s="7">
        <v>0</v>
      </c>
      <c r="ET46" s="19">
        <f>+IF('Datos delta'!EC46&gt;0,REASIGN('Datos delta'!EC46,'Datos Protegidos'!$K46,PARTIDOS!ED$8),0)</f>
        <v>0</v>
      </c>
      <c r="EU46" s="7">
        <v>0</v>
      </c>
    </row>
    <row r="47" spans="1:151" x14ac:dyDescent="0.25">
      <c r="A47" s="7" t="s">
        <v>74</v>
      </c>
      <c r="B47" s="8">
        <v>30</v>
      </c>
      <c r="C47" s="7" t="s">
        <v>75</v>
      </c>
      <c r="D47" s="9">
        <v>1478509</v>
      </c>
      <c r="E47" s="1">
        <v>1685</v>
      </c>
      <c r="F47" s="1">
        <v>1028443</v>
      </c>
      <c r="G47" s="1">
        <v>33398</v>
      </c>
      <c r="H47" s="1">
        <v>1061841</v>
      </c>
      <c r="I47" s="1"/>
      <c r="J47" s="1"/>
      <c r="K47" s="1"/>
      <c r="L47" s="3">
        <f t="shared" si="1"/>
        <v>737553</v>
      </c>
      <c r="M47" s="3">
        <f t="shared" si="2"/>
        <v>730135</v>
      </c>
      <c r="N47" s="6">
        <f t="shared" si="0"/>
        <v>724882</v>
      </c>
      <c r="O47" s="1">
        <v>5253</v>
      </c>
      <c r="P47" s="1">
        <v>7418</v>
      </c>
      <c r="Q47" s="6">
        <f t="shared" si="3"/>
        <v>10</v>
      </c>
      <c r="R47" s="19">
        <f>+IF('Datos delta'!A47&gt;0,REASIGN('Datos delta'!A47,'Datos Protegidos'!$K47,PARTIDOS!B$8),0)</f>
        <v>191331</v>
      </c>
      <c r="S47" s="7">
        <v>3</v>
      </c>
      <c r="T47" s="19">
        <f>+IF('Datos delta'!C47&gt;0,REASIGN('Datos delta'!C47,'Datos Protegidos'!$K47,PARTIDOS!D$8),0)</f>
        <v>235850</v>
      </c>
      <c r="U47" s="7">
        <v>3</v>
      </c>
      <c r="V47" s="19">
        <f>+IF('Datos delta'!E47&gt;0,REASIGN('Datos delta'!E47,'Datos Protegidos'!$K47,PARTIDOS!F$8),0)</f>
        <v>203825</v>
      </c>
      <c r="W47" s="7">
        <v>3</v>
      </c>
      <c r="X47" s="19">
        <f>+IF('Datos delta'!G47&gt;0,REASIGN('Datos delta'!G47,'Datos Protegidos'!$K47,PARTIDOS!H$8),0)</f>
        <v>66634</v>
      </c>
      <c r="Y47" s="7">
        <v>1</v>
      </c>
      <c r="Z47" s="19">
        <f>+IF('Datos delta'!I47&gt;0,REASIGN('Datos delta'!I47,'Datos Protegidos'!$K47,PARTIDOS!J$8),0)</f>
        <v>0</v>
      </c>
      <c r="AA47" s="7">
        <v>0</v>
      </c>
      <c r="AB47" s="19">
        <f>+IF('Datos delta'!K47&gt;0,REASIGN('Datos delta'!K47,'Datos Protegidos'!$K47,PARTIDOS!L$8),0)</f>
        <v>0</v>
      </c>
      <c r="AC47" s="7">
        <v>0</v>
      </c>
      <c r="AD47" s="19">
        <f>+IF('Datos delta'!M47&gt;0,REASIGN('Datos delta'!M47,'Datos Protegidos'!$K47,PARTIDOS!N$8),0)</f>
        <v>0</v>
      </c>
      <c r="AE47" s="7">
        <v>0</v>
      </c>
      <c r="AF47" s="19">
        <f>+IF('Datos delta'!O47&gt;0,REASIGN('Datos delta'!O47,'Datos Protegidos'!$K47,PARTIDOS!P$8),0)</f>
        <v>0</v>
      </c>
      <c r="AG47" s="7">
        <v>0</v>
      </c>
      <c r="AH47" s="19">
        <f>+IF('Datos delta'!Q47&gt;0,REASIGN('Datos delta'!Q47,'Datos Protegidos'!$K47,PARTIDOS!R$8),0)</f>
        <v>0</v>
      </c>
      <c r="AI47" s="7">
        <v>0</v>
      </c>
      <c r="AJ47" s="19">
        <f>+IF('Datos delta'!S47&gt;0,REASIGN('Datos delta'!S47,'Datos Protegidos'!$K47,PARTIDOS!T$8),0)</f>
        <v>0</v>
      </c>
      <c r="AK47" s="7">
        <v>0</v>
      </c>
      <c r="AL47" s="19">
        <f>+IF('Datos delta'!U47&gt;0,REASIGN('Datos delta'!U47,'Datos Protegidos'!$K47,PARTIDOS!V$8),0)</f>
        <v>14110</v>
      </c>
      <c r="AM47" s="7">
        <v>0</v>
      </c>
      <c r="AN47" s="19">
        <f>+IF('Datos delta'!W47&gt;0,REASIGN('Datos delta'!W47,'Datos Protegidos'!$K47,PARTIDOS!X$8),0)</f>
        <v>0</v>
      </c>
      <c r="AO47" s="7">
        <v>0</v>
      </c>
      <c r="AP47" s="19">
        <f>+IF('Datos delta'!Y47&gt;0,REASIGN('Datos delta'!Y47,'Datos Protegidos'!$K47,PARTIDOS!Z$8),0)</f>
        <v>0</v>
      </c>
      <c r="AQ47" s="7">
        <v>0</v>
      </c>
      <c r="AR47" s="19">
        <f>+IF('Datos delta'!AA47&gt;0,REASIGN('Datos delta'!AA47,'Datos Protegidos'!$K47,PARTIDOS!AB$8),0)</f>
        <v>0</v>
      </c>
      <c r="AS47" s="7">
        <v>0</v>
      </c>
      <c r="AT47" s="19">
        <f>+IF('Datos delta'!AC47&gt;0,REASIGN('Datos delta'!AC47,'Datos Protegidos'!$K47,PARTIDOS!AD$8),0)</f>
        <v>0</v>
      </c>
      <c r="AU47" s="7">
        <v>0</v>
      </c>
      <c r="AV47" s="19">
        <f>+IF('Datos delta'!AE47&gt;0,REASIGN('Datos delta'!AE47,'Datos Protegidos'!$K47,PARTIDOS!AF$8),0)</f>
        <v>0</v>
      </c>
      <c r="AW47" s="7">
        <v>0</v>
      </c>
      <c r="AX47" s="19">
        <f>+IF('Datos delta'!AG47&gt;0,REASIGN('Datos delta'!AG47,'Datos Protegidos'!$K47,PARTIDOS!AH$8),0)</f>
        <v>0</v>
      </c>
      <c r="AY47" s="7">
        <v>0</v>
      </c>
      <c r="AZ47" s="19">
        <f>+IF('Datos delta'!AI47&gt;0,REASIGN('Datos delta'!AI47,'Datos Protegidos'!$K47,PARTIDOS!AJ$8),0)</f>
        <v>0</v>
      </c>
      <c r="BA47" s="7">
        <v>0</v>
      </c>
      <c r="BB47" s="19">
        <f>+IF('Datos delta'!AK47&gt;0,REASIGN('Datos delta'!AK47,'Datos Protegidos'!$K47,PARTIDOS!AL$8),0)</f>
        <v>0</v>
      </c>
      <c r="BC47" s="7">
        <v>0</v>
      </c>
      <c r="BD47" s="19">
        <f>+IF('Datos delta'!AM47&gt;0,REASIGN('Datos delta'!AM47,'Datos Protegidos'!$K47,PARTIDOS!AN$8),0)</f>
        <v>6969</v>
      </c>
      <c r="BE47" s="7">
        <v>0</v>
      </c>
      <c r="BF47" s="19">
        <f>+IF('Datos delta'!AO47&gt;0,REASIGN('Datos delta'!AO47,'Datos Protegidos'!$K47,PARTIDOS!AP$8),0)</f>
        <v>0</v>
      </c>
      <c r="BG47" s="7">
        <v>0</v>
      </c>
      <c r="BH47" s="19">
        <f>+IF('Datos delta'!AQ47&gt;0,REASIGN('Datos delta'!AQ47,'Datos Protegidos'!$K47,PARTIDOS!AR$8),0)</f>
        <v>876</v>
      </c>
      <c r="BI47" s="7">
        <v>0</v>
      </c>
      <c r="BJ47" s="19">
        <f>+IF('Datos delta'!AS47&gt;0,REASIGN('Datos delta'!AS47,'Datos Protegidos'!$K47,PARTIDOS!AT$8),0)</f>
        <v>428</v>
      </c>
      <c r="BK47" s="7">
        <v>0</v>
      </c>
      <c r="BL47" s="19">
        <f>+IF('Datos delta'!AU47&gt;0,REASIGN('Datos delta'!AU47,'Datos Protegidos'!$K47,PARTIDOS!AV$8),0)</f>
        <v>0</v>
      </c>
      <c r="BM47" s="7">
        <v>0</v>
      </c>
      <c r="BN47" s="19">
        <f>+IF('Datos delta'!AW47&gt;0,REASIGN('Datos delta'!AW47,'Datos Protegidos'!$K47,PARTIDOS!AX$8),0)</f>
        <v>0</v>
      </c>
      <c r="BO47" s="7">
        <v>0</v>
      </c>
      <c r="BP47" s="19">
        <f>+IF('Datos delta'!AY47&gt;0,REASIGN('Datos delta'!AY47,'Datos Protegidos'!$K47,PARTIDOS!AZ$8),0)</f>
        <v>0</v>
      </c>
      <c r="BQ47" s="7">
        <v>0</v>
      </c>
      <c r="BR47" s="19">
        <f>+IF('Datos delta'!BA47&gt;0,REASIGN('Datos delta'!BA47,'Datos Protegidos'!$K47,PARTIDOS!BB$8),0)</f>
        <v>514</v>
      </c>
      <c r="BS47" s="7">
        <v>0</v>
      </c>
      <c r="BT47" s="19">
        <f>+IF('Datos delta'!BC47&gt;0,REASIGN('Datos delta'!BC47,'Datos Protegidos'!$K47,PARTIDOS!BD$8),0)</f>
        <v>0</v>
      </c>
      <c r="BU47" s="7">
        <v>0</v>
      </c>
      <c r="BV47" s="19">
        <f>+IF('Datos delta'!BE47&gt;0,REASIGN('Datos delta'!BE47,'Datos Protegidos'!$K47,PARTIDOS!BF$8),0)</f>
        <v>0</v>
      </c>
      <c r="BW47" s="7">
        <v>0</v>
      </c>
      <c r="BX47" s="19">
        <f>+IF('Datos delta'!BG47&gt;0,REASIGN('Datos delta'!BG47,'Datos Protegidos'!$K47,PARTIDOS!BH$8),0)</f>
        <v>0</v>
      </c>
      <c r="BY47" s="7">
        <v>0</v>
      </c>
      <c r="BZ47" s="19">
        <f>+IF('Datos delta'!BI47&gt;0,REASIGN('Datos delta'!BI47,'Datos Protegidos'!$K47,PARTIDOS!BJ$8),0)</f>
        <v>1039</v>
      </c>
      <c r="CA47" s="7">
        <v>0</v>
      </c>
      <c r="CB47" s="19">
        <f>+IF('Datos delta'!BK47&gt;0,REASIGN('Datos delta'!BK47,'Datos Protegidos'!$K47,PARTIDOS!BL$8),0)</f>
        <v>0</v>
      </c>
      <c r="CC47" s="7">
        <v>0</v>
      </c>
      <c r="CD47" s="19">
        <f>+IF('Datos delta'!BM47&gt;0,REASIGN('Datos delta'!BM47,'Datos Protegidos'!$K47,PARTIDOS!BN$8),0)</f>
        <v>0</v>
      </c>
      <c r="CE47" s="7">
        <v>0</v>
      </c>
      <c r="CF47" s="19">
        <f>+IF('Datos delta'!BO47&gt;0,REASIGN('Datos delta'!BO47,'Datos Protegidos'!$K47,PARTIDOS!BP$8),0)</f>
        <v>0</v>
      </c>
      <c r="CG47" s="7">
        <v>0</v>
      </c>
      <c r="CH47" s="19">
        <f>+IF('Datos delta'!BQ47&gt;0,REASIGN('Datos delta'!BQ47,'Datos Protegidos'!$K47,PARTIDOS!BR$8),0)</f>
        <v>0</v>
      </c>
      <c r="CI47" s="7">
        <v>0</v>
      </c>
      <c r="CJ47" s="19">
        <f>+IF('Datos delta'!BS47&gt;0,REASIGN('Datos delta'!BS47,'Datos Protegidos'!$K47,PARTIDOS!BT$8),0)</f>
        <v>0</v>
      </c>
      <c r="CK47" s="7">
        <v>0</v>
      </c>
      <c r="CL47" s="19">
        <f>+IF('Datos delta'!BU47&gt;0,REASIGN('Datos delta'!BU47,'Datos Protegidos'!$K47,PARTIDOS!BV$8),0)</f>
        <v>0</v>
      </c>
      <c r="CM47" s="7">
        <v>0</v>
      </c>
      <c r="CN47" s="19">
        <f>+IF('Datos delta'!BW47&gt;0,REASIGN('Datos delta'!BW47,'Datos Protegidos'!$K47,PARTIDOS!BX$8),0)</f>
        <v>0</v>
      </c>
      <c r="CO47" s="7">
        <v>0</v>
      </c>
      <c r="CP47" s="19">
        <f>+IF('Datos delta'!BY47&gt;0,REASIGN('Datos delta'!BY47,'Datos Protegidos'!$K47,PARTIDOS!BZ$8),0)</f>
        <v>0</v>
      </c>
      <c r="CQ47" s="7">
        <v>0</v>
      </c>
      <c r="CR47" s="19">
        <f>+IF('Datos delta'!CA47&gt;0,REASIGN('Datos delta'!CA47,'Datos Protegidos'!$K47,PARTIDOS!CB$8),0)</f>
        <v>0</v>
      </c>
      <c r="CS47" s="7">
        <v>0</v>
      </c>
      <c r="CT47" s="19">
        <f>+IF('Datos delta'!CC47&gt;0,REASIGN('Datos delta'!CC47,'Datos Protegidos'!$K47,PARTIDOS!CD$8),0)</f>
        <v>2316</v>
      </c>
      <c r="CU47" s="7">
        <v>0</v>
      </c>
      <c r="CV47" s="19">
        <f>+IF('Datos delta'!CE47&gt;0,REASIGN('Datos delta'!CE47,'Datos Protegidos'!$K47,PARTIDOS!CF$8),0)</f>
        <v>455</v>
      </c>
      <c r="CW47" s="7">
        <v>0</v>
      </c>
      <c r="CX47" s="19">
        <f>+IF('Datos delta'!CG47&gt;0,REASIGN('Datos delta'!CG47,'Datos Protegidos'!$K47,PARTIDOS!CH$8),0)</f>
        <v>0</v>
      </c>
      <c r="CY47" s="7">
        <v>0</v>
      </c>
      <c r="CZ47" s="19">
        <f>+IF('Datos delta'!CI47&gt;0,REASIGN('Datos delta'!CI47,'Datos Protegidos'!$K47,PARTIDOS!CJ$8),0)</f>
        <v>317</v>
      </c>
      <c r="DA47" s="7">
        <v>0</v>
      </c>
      <c r="DB47" s="19">
        <f>+IF('Datos delta'!CK47&gt;0,REASIGN('Datos delta'!CK47,'Datos Protegidos'!$K47,PARTIDOS!CL$8),0)</f>
        <v>0</v>
      </c>
      <c r="DC47" s="7">
        <v>0</v>
      </c>
      <c r="DD47" s="19">
        <f>+IF('Datos delta'!CM47&gt;0,REASIGN('Datos delta'!CM47,'Datos Protegidos'!$K47,PARTIDOS!CN$8),0)</f>
        <v>0</v>
      </c>
      <c r="DE47" s="7">
        <v>0</v>
      </c>
      <c r="DF47" s="19">
        <f>+IF('Datos delta'!CO47&gt;0,REASIGN('Datos delta'!CO47,'Datos Protegidos'!$K47,PARTIDOS!CP$8),0)</f>
        <v>0</v>
      </c>
      <c r="DG47" s="7">
        <v>0</v>
      </c>
      <c r="DH47" s="19">
        <f>+IF('Datos delta'!CQ47&gt;0,REASIGN('Datos delta'!CQ47,'Datos Protegidos'!$K47,PARTIDOS!CR$8),0)</f>
        <v>0</v>
      </c>
      <c r="DI47" s="7">
        <v>0</v>
      </c>
      <c r="DJ47" s="19">
        <f>+IF('Datos delta'!CS47&gt;0,REASIGN('Datos delta'!CS47,'Datos Protegidos'!$K47,PARTIDOS!CT$8),0)</f>
        <v>0</v>
      </c>
      <c r="DK47" s="7">
        <v>0</v>
      </c>
      <c r="DL47" s="19">
        <f>+IF('Datos delta'!CU47&gt;0,REASIGN('Datos delta'!CU47,'Datos Protegidos'!$K47,PARTIDOS!CV$8),0)</f>
        <v>0</v>
      </c>
      <c r="DM47" s="7">
        <v>0</v>
      </c>
      <c r="DN47" s="19">
        <f>+IF('Datos delta'!CW47&gt;0,REASIGN('Datos delta'!CW47,'Datos Protegidos'!$K47,PARTIDOS!CX$8),0)</f>
        <v>0</v>
      </c>
      <c r="DO47" s="7">
        <v>0</v>
      </c>
      <c r="DP47" s="19">
        <f>+IF('Datos delta'!CY47&gt;0,REASIGN('Datos delta'!CY47,'Datos Protegidos'!$K47,PARTIDOS!CZ$8),0)</f>
        <v>0</v>
      </c>
      <c r="DQ47" s="7">
        <v>0</v>
      </c>
      <c r="DR47" s="19">
        <f>+IF('Datos delta'!DA47&gt;0,REASIGN('Datos delta'!DA47,'Datos Protegidos'!$K47,PARTIDOS!DB$8),0)</f>
        <v>0</v>
      </c>
      <c r="DS47" s="7">
        <v>0</v>
      </c>
      <c r="DT47" s="19">
        <f>+IF('Datos delta'!DC47&gt;0,REASIGN('Datos delta'!DC47,'Datos Protegidos'!$K47,PARTIDOS!DD$8),0)</f>
        <v>0</v>
      </c>
      <c r="DU47" s="7">
        <v>0</v>
      </c>
      <c r="DV47" s="19">
        <f>+IF('Datos delta'!DE47&gt;0,REASIGN('Datos delta'!DE47,'Datos Protegidos'!$K47,PARTIDOS!DF$8),0)</f>
        <v>0</v>
      </c>
      <c r="DW47" s="7">
        <v>0</v>
      </c>
      <c r="DX47" s="19">
        <f>+IF('Datos delta'!DG47&gt;0,REASIGN('Datos delta'!DG47,'Datos Protegidos'!$K47,PARTIDOS!DH$8),0)</f>
        <v>0</v>
      </c>
      <c r="DY47" s="7">
        <v>0</v>
      </c>
      <c r="DZ47" s="19">
        <f>+IF('Datos delta'!DI47&gt;0,REASIGN('Datos delta'!DI47,'Datos Protegidos'!$K47,PARTIDOS!DJ$8),0)</f>
        <v>0</v>
      </c>
      <c r="EA47" s="7">
        <v>0</v>
      </c>
      <c r="EB47" s="19">
        <f>+IF('Datos delta'!DK47&gt;0,REASIGN('Datos delta'!DK47,'Datos Protegidos'!$K47,PARTIDOS!DL$8),0)</f>
        <v>0</v>
      </c>
      <c r="EC47" s="7">
        <v>0</v>
      </c>
      <c r="ED47" s="19">
        <f>+IF('Datos delta'!DM47&gt;0,REASIGN('Datos delta'!DM47,'Datos Protegidos'!$K47,PARTIDOS!DN$8),0)</f>
        <v>0</v>
      </c>
      <c r="EE47" s="7">
        <v>0</v>
      </c>
      <c r="EF47" s="19">
        <f>+IF('Datos delta'!DO47&gt;0,REASIGN('Datos delta'!DO47,'Datos Protegidos'!$K47,PARTIDOS!DP$8),0)</f>
        <v>0</v>
      </c>
      <c r="EG47" s="7">
        <v>0</v>
      </c>
      <c r="EH47" s="19">
        <f>+IF('Datos delta'!DQ47&gt;0,REASIGN('Datos delta'!DQ47,'Datos Protegidos'!$K47,PARTIDOS!DR$8),0)</f>
        <v>0</v>
      </c>
      <c r="EI47" s="7">
        <v>0</v>
      </c>
      <c r="EJ47" s="19">
        <f>+IF('Datos delta'!DS47&gt;0,REASIGN('Datos delta'!DS47,'Datos Protegidos'!$K47,PARTIDOS!DT$8),0)</f>
        <v>0</v>
      </c>
      <c r="EK47" s="7">
        <v>0</v>
      </c>
      <c r="EL47" s="19">
        <f>+IF('Datos delta'!DU47&gt;0,REASIGN('Datos delta'!DU47,'Datos Protegidos'!$K47,PARTIDOS!DV$8),0)</f>
        <v>0</v>
      </c>
      <c r="EM47" s="7">
        <v>0</v>
      </c>
      <c r="EN47" s="19">
        <f>+IF('Datos delta'!DW47&gt;0,REASIGN('Datos delta'!DW47,'Datos Protegidos'!$K47,PARTIDOS!DX$8),0)</f>
        <v>218</v>
      </c>
      <c r="EO47" s="7">
        <v>0</v>
      </c>
      <c r="EP47" s="19">
        <f>+IF('Datos delta'!DY47&gt;0,REASIGN('Datos delta'!DY47,'Datos Protegidos'!$K47,PARTIDOS!DZ$8),0)</f>
        <v>0</v>
      </c>
      <c r="EQ47" s="7">
        <v>0</v>
      </c>
      <c r="ER47" s="19">
        <f>+IF('Datos delta'!EA47&gt;0,REASIGN('Datos delta'!EA47,'Datos Protegidos'!$K47,PARTIDOS!EB$8),0)</f>
        <v>0</v>
      </c>
      <c r="ES47" s="7">
        <v>0</v>
      </c>
      <c r="ET47" s="19">
        <f>+IF('Datos delta'!EC47&gt;0,REASIGN('Datos delta'!EC47,'Datos Protegidos'!$K47,PARTIDOS!ED$8),0)</f>
        <v>0</v>
      </c>
      <c r="EU47" s="7">
        <v>0</v>
      </c>
    </row>
    <row r="48" spans="1:151" x14ac:dyDescent="0.25">
      <c r="A48" s="7" t="s">
        <v>76</v>
      </c>
      <c r="B48" s="8">
        <v>26</v>
      </c>
      <c r="C48" s="7" t="s">
        <v>76</v>
      </c>
      <c r="D48" s="9">
        <v>315675</v>
      </c>
      <c r="E48">
        <v>497</v>
      </c>
      <c r="F48" s="1">
        <v>233732</v>
      </c>
      <c r="G48" s="1">
        <v>16481</v>
      </c>
      <c r="H48" s="1">
        <v>250213</v>
      </c>
      <c r="I48" s="1"/>
      <c r="J48" s="1"/>
      <c r="K48"/>
      <c r="L48" s="3">
        <f t="shared" si="1"/>
        <v>171575</v>
      </c>
      <c r="M48" s="3">
        <f t="shared" si="2"/>
        <v>168960</v>
      </c>
      <c r="N48" s="6">
        <f t="shared" si="0"/>
        <v>167203</v>
      </c>
      <c r="O48" s="1">
        <v>1757</v>
      </c>
      <c r="P48" s="1">
        <v>2615</v>
      </c>
      <c r="Q48" s="6">
        <f t="shared" si="3"/>
        <v>4</v>
      </c>
      <c r="R48" s="19">
        <f>+IF('Datos delta'!A48&gt;0,REASIGN('Datos delta'!A48,'Datos Protegidos'!$K48,PARTIDOS!B$8),0)</f>
        <v>61526</v>
      </c>
      <c r="S48" s="7">
        <v>2</v>
      </c>
      <c r="T48" s="19">
        <f>+IF('Datos delta'!C48&gt;0,REASIGN('Datos delta'!C48,'Datos Protegidos'!$K48,PARTIDOS!D$8),0)</f>
        <v>66917</v>
      </c>
      <c r="U48" s="7">
        <v>2</v>
      </c>
      <c r="V48" s="19">
        <f>+IF('Datos delta'!E48&gt;0,REASIGN('Datos delta'!E48,'Datos Protegidos'!$K48,PARTIDOS!F$8),0)</f>
        <v>19286</v>
      </c>
      <c r="W48" s="7">
        <v>0</v>
      </c>
      <c r="X48" s="19">
        <f>+IF('Datos delta'!G48&gt;0,REASIGN('Datos delta'!G48,'Datos Protegidos'!$K48,PARTIDOS!H$8),0)</f>
        <v>17086</v>
      </c>
      <c r="Y48" s="7">
        <v>0</v>
      </c>
      <c r="Z48" s="19">
        <f>+IF('Datos delta'!I48&gt;0,REASIGN('Datos delta'!I48,'Datos Protegidos'!$K48,PARTIDOS!J$8),0)</f>
        <v>0</v>
      </c>
      <c r="AA48" s="7">
        <v>0</v>
      </c>
      <c r="AB48" s="19">
        <f>+IF('Datos delta'!K48&gt;0,REASIGN('Datos delta'!K48,'Datos Protegidos'!$K48,PARTIDOS!L$8),0)</f>
        <v>0</v>
      </c>
      <c r="AC48" s="7">
        <v>0</v>
      </c>
      <c r="AD48" s="19">
        <f>+IF('Datos delta'!M48&gt;0,REASIGN('Datos delta'!M48,'Datos Protegidos'!$K48,PARTIDOS!N$8),0)</f>
        <v>0</v>
      </c>
      <c r="AE48" s="7">
        <v>0</v>
      </c>
      <c r="AF48" s="19">
        <f>+IF('Datos delta'!O48&gt;0,REASIGN('Datos delta'!O48,'Datos Protegidos'!$K48,PARTIDOS!P$8),0)</f>
        <v>0</v>
      </c>
      <c r="AG48" s="7">
        <v>0</v>
      </c>
      <c r="AH48" s="19">
        <f>+IF('Datos delta'!Q48&gt;0,REASIGN('Datos delta'!Q48,'Datos Protegidos'!$K48,PARTIDOS!R$8),0)</f>
        <v>0</v>
      </c>
      <c r="AI48" s="7">
        <v>0</v>
      </c>
      <c r="AJ48" s="19">
        <f>+IF('Datos delta'!S48&gt;0,REASIGN('Datos delta'!S48,'Datos Protegidos'!$K48,PARTIDOS!T$8),0)</f>
        <v>0</v>
      </c>
      <c r="AK48" s="7">
        <v>0</v>
      </c>
      <c r="AL48" s="19">
        <f>+IF('Datos delta'!U48&gt;0,REASIGN('Datos delta'!U48,'Datos Protegidos'!$K48,PARTIDOS!V$8),0)</f>
        <v>0</v>
      </c>
      <c r="AM48" s="7">
        <v>0</v>
      </c>
      <c r="AN48" s="19">
        <f>+IF('Datos delta'!W48&gt;0,REASIGN('Datos delta'!W48,'Datos Protegidos'!$K48,PARTIDOS!X$8),0)</f>
        <v>0</v>
      </c>
      <c r="AO48" s="7">
        <v>0</v>
      </c>
      <c r="AP48" s="19">
        <f>+IF('Datos delta'!Y48&gt;0,REASIGN('Datos delta'!Y48,'Datos Protegidos'!$K48,PARTIDOS!Z$8),0)</f>
        <v>0</v>
      </c>
      <c r="AQ48" s="7">
        <v>0</v>
      </c>
      <c r="AR48" s="19">
        <f>+IF('Datos delta'!AA48&gt;0,REASIGN('Datos delta'!AA48,'Datos Protegidos'!$K48,PARTIDOS!AB$8),0)</f>
        <v>0</v>
      </c>
      <c r="AS48" s="7">
        <v>0</v>
      </c>
      <c r="AT48" s="19">
        <f>+IF('Datos delta'!AC48&gt;0,REASIGN('Datos delta'!AC48,'Datos Protegidos'!$K48,PARTIDOS!AD$8),0)</f>
        <v>0</v>
      </c>
      <c r="AU48" s="7">
        <v>0</v>
      </c>
      <c r="AV48" s="19">
        <f>+IF('Datos delta'!AE48&gt;0,REASIGN('Datos delta'!AE48,'Datos Protegidos'!$K48,PARTIDOS!AF$8),0)</f>
        <v>0</v>
      </c>
      <c r="AW48" s="7">
        <v>0</v>
      </c>
      <c r="AX48" s="19">
        <f>+IF('Datos delta'!AG48&gt;0,REASIGN('Datos delta'!AG48,'Datos Protegidos'!$K48,PARTIDOS!AH$8),0)</f>
        <v>0</v>
      </c>
      <c r="AY48" s="7">
        <v>0</v>
      </c>
      <c r="AZ48" s="19">
        <f>+IF('Datos delta'!AI48&gt;0,REASIGN('Datos delta'!AI48,'Datos Protegidos'!$K48,PARTIDOS!AJ$8),0)</f>
        <v>0</v>
      </c>
      <c r="BA48" s="7">
        <v>0</v>
      </c>
      <c r="BB48" s="19">
        <f>+IF('Datos delta'!AK48&gt;0,REASIGN('Datos delta'!AK48,'Datos Protegidos'!$K48,PARTIDOS!AL$8),0)</f>
        <v>0</v>
      </c>
      <c r="BC48" s="7">
        <v>0</v>
      </c>
      <c r="BD48" s="19">
        <f>+IF('Datos delta'!AM48&gt;0,REASIGN('Datos delta'!AM48,'Datos Protegidos'!$K48,PARTIDOS!AN$8),0)</f>
        <v>1090</v>
      </c>
      <c r="BE48" s="7">
        <v>0</v>
      </c>
      <c r="BF48" s="19">
        <f>+IF('Datos delta'!AO48&gt;0,REASIGN('Datos delta'!AO48,'Datos Protegidos'!$K48,PARTIDOS!AP$8),0)</f>
        <v>0</v>
      </c>
      <c r="BG48" s="7">
        <v>0</v>
      </c>
      <c r="BH48" s="19">
        <f>+IF('Datos delta'!AQ48&gt;0,REASIGN('Datos delta'!AQ48,'Datos Protegidos'!$K48,PARTIDOS!AR$8),0)</f>
        <v>305</v>
      </c>
      <c r="BI48" s="7">
        <v>0</v>
      </c>
      <c r="BJ48" s="19">
        <f>+IF('Datos delta'!AS48&gt;0,REASIGN('Datos delta'!AS48,'Datos Protegidos'!$K48,PARTIDOS!AT$8),0)</f>
        <v>295</v>
      </c>
      <c r="BK48" s="7">
        <v>0</v>
      </c>
      <c r="BL48" s="19">
        <f>+IF('Datos delta'!AU48&gt;0,REASIGN('Datos delta'!AU48,'Datos Protegidos'!$K48,PARTIDOS!AV$8),0)</f>
        <v>0</v>
      </c>
      <c r="BM48" s="7">
        <v>0</v>
      </c>
      <c r="BN48" s="19">
        <f>+IF('Datos delta'!AW48&gt;0,REASIGN('Datos delta'!AW48,'Datos Protegidos'!$K48,PARTIDOS!AX$8),0)</f>
        <v>0</v>
      </c>
      <c r="BO48" s="7">
        <v>0</v>
      </c>
      <c r="BP48" s="19">
        <f>+IF('Datos delta'!AY48&gt;0,REASIGN('Datos delta'!AY48,'Datos Protegidos'!$K48,PARTIDOS!AZ$8),0)</f>
        <v>0</v>
      </c>
      <c r="BQ48" s="7">
        <v>0</v>
      </c>
      <c r="BR48" s="19">
        <f>+IF('Datos delta'!BA48&gt;0,REASIGN('Datos delta'!BA48,'Datos Protegidos'!$K48,PARTIDOS!BB$8),0)</f>
        <v>0</v>
      </c>
      <c r="BS48" s="7">
        <v>0</v>
      </c>
      <c r="BT48" s="19">
        <f>+IF('Datos delta'!BC48&gt;0,REASIGN('Datos delta'!BC48,'Datos Protegidos'!$K48,PARTIDOS!BD$8),0)</f>
        <v>276</v>
      </c>
      <c r="BU48" s="7">
        <v>0</v>
      </c>
      <c r="BV48" s="19">
        <f>+IF('Datos delta'!BE48&gt;0,REASIGN('Datos delta'!BE48,'Datos Protegidos'!$K48,PARTIDOS!BF$8),0)</f>
        <v>0</v>
      </c>
      <c r="BW48" s="7">
        <v>0</v>
      </c>
      <c r="BX48" s="19">
        <f>+IF('Datos delta'!BG48&gt;0,REASIGN('Datos delta'!BG48,'Datos Protegidos'!$K48,PARTIDOS!BH$8),0)</f>
        <v>0</v>
      </c>
      <c r="BY48" s="7">
        <v>0</v>
      </c>
      <c r="BZ48" s="19">
        <f>+IF('Datos delta'!BI48&gt;0,REASIGN('Datos delta'!BI48,'Datos Protegidos'!$K48,PARTIDOS!BJ$8),0)</f>
        <v>0</v>
      </c>
      <c r="CA48" s="7">
        <v>0</v>
      </c>
      <c r="CB48" s="19">
        <f>+IF('Datos delta'!BK48&gt;0,REASIGN('Datos delta'!BK48,'Datos Protegidos'!$K48,PARTIDOS!BL$8),0)</f>
        <v>0</v>
      </c>
      <c r="CC48" s="7">
        <v>0</v>
      </c>
      <c r="CD48" s="19">
        <f>+IF('Datos delta'!BM48&gt;0,REASIGN('Datos delta'!BM48,'Datos Protegidos'!$K48,PARTIDOS!BN$8),0)</f>
        <v>422</v>
      </c>
      <c r="CE48" s="7">
        <v>0</v>
      </c>
      <c r="CF48" s="19">
        <f>+IF('Datos delta'!BO48&gt;0,REASIGN('Datos delta'!BO48,'Datos Protegidos'!$K48,PARTIDOS!BP$8),0)</f>
        <v>0</v>
      </c>
      <c r="CG48" s="7">
        <v>0</v>
      </c>
      <c r="CH48" s="19">
        <f>+IF('Datos delta'!BQ48&gt;0,REASIGN('Datos delta'!BQ48,'Datos Protegidos'!$K48,PARTIDOS!BR$8),0)</f>
        <v>0</v>
      </c>
      <c r="CI48" s="7">
        <v>0</v>
      </c>
      <c r="CJ48" s="19">
        <f>+IF('Datos delta'!BS48&gt;0,REASIGN('Datos delta'!BS48,'Datos Protegidos'!$K48,PARTIDOS!BT$8),0)</f>
        <v>0</v>
      </c>
      <c r="CK48" s="7">
        <v>0</v>
      </c>
      <c r="CL48" s="19">
        <f>+IF('Datos delta'!BU48&gt;0,REASIGN('Datos delta'!BU48,'Datos Protegidos'!$K48,PARTIDOS!BV$8),0)</f>
        <v>0</v>
      </c>
      <c r="CM48" s="7">
        <v>0</v>
      </c>
      <c r="CN48" s="19">
        <f>+IF('Datos delta'!BW48&gt;0,REASIGN('Datos delta'!BW48,'Datos Protegidos'!$K48,PARTIDOS!BX$8),0)</f>
        <v>0</v>
      </c>
      <c r="CO48" s="7">
        <v>0</v>
      </c>
      <c r="CP48" s="19">
        <f>+IF('Datos delta'!BY48&gt;0,REASIGN('Datos delta'!BY48,'Datos Protegidos'!$K48,PARTIDOS!BZ$8),0)</f>
        <v>0</v>
      </c>
      <c r="CQ48" s="7">
        <v>0</v>
      </c>
      <c r="CR48" s="19">
        <f>+IF('Datos delta'!CA48&gt;0,REASIGN('Datos delta'!CA48,'Datos Protegidos'!$K48,PARTIDOS!CB$8),0)</f>
        <v>0</v>
      </c>
      <c r="CS48" s="7">
        <v>0</v>
      </c>
      <c r="CT48" s="19">
        <f>+IF('Datos delta'!CC48&gt;0,REASIGN('Datos delta'!CC48,'Datos Protegidos'!$K48,PARTIDOS!CD$8),0)</f>
        <v>0</v>
      </c>
      <c r="CU48" s="7">
        <v>0</v>
      </c>
      <c r="CV48" s="19">
        <f>+IF('Datos delta'!CE48&gt;0,REASIGN('Datos delta'!CE48,'Datos Protegidos'!$K48,PARTIDOS!CF$8),0)</f>
        <v>0</v>
      </c>
      <c r="CW48" s="7">
        <v>0</v>
      </c>
      <c r="CX48" s="19">
        <f>+IF('Datos delta'!CG48&gt;0,REASIGN('Datos delta'!CG48,'Datos Protegidos'!$K48,PARTIDOS!CH$8),0)</f>
        <v>0</v>
      </c>
      <c r="CY48" s="7">
        <v>0</v>
      </c>
      <c r="CZ48" s="19">
        <f>+IF('Datos delta'!CI48&gt;0,REASIGN('Datos delta'!CI48,'Datos Protegidos'!$K48,PARTIDOS!CJ$8),0)</f>
        <v>0</v>
      </c>
      <c r="DA48" s="7">
        <v>0</v>
      </c>
      <c r="DB48" s="19">
        <f>+IF('Datos delta'!CK48&gt;0,REASIGN('Datos delta'!CK48,'Datos Protegidos'!$K48,PARTIDOS!CL$8),0)</f>
        <v>0</v>
      </c>
      <c r="DC48" s="7">
        <v>0</v>
      </c>
      <c r="DD48" s="19">
        <f>+IF('Datos delta'!CM48&gt;0,REASIGN('Datos delta'!CM48,'Datos Protegidos'!$K48,PARTIDOS!CN$8),0)</f>
        <v>0</v>
      </c>
      <c r="DE48" s="7">
        <v>0</v>
      </c>
      <c r="DF48" s="19">
        <f>+IF('Datos delta'!CO48&gt;0,REASIGN('Datos delta'!CO48,'Datos Protegidos'!$K48,PARTIDOS!CP$8),0)</f>
        <v>0</v>
      </c>
      <c r="DG48" s="7">
        <v>0</v>
      </c>
      <c r="DH48" s="19">
        <f>+IF('Datos delta'!CQ48&gt;0,REASIGN('Datos delta'!CQ48,'Datos Protegidos'!$K48,PARTIDOS!CR$8),0)</f>
        <v>0</v>
      </c>
      <c r="DI48" s="7">
        <v>0</v>
      </c>
      <c r="DJ48" s="19">
        <f>+IF('Datos delta'!CS48&gt;0,REASIGN('Datos delta'!CS48,'Datos Protegidos'!$K48,PARTIDOS!CT$8),0)</f>
        <v>0</v>
      </c>
      <c r="DK48" s="7">
        <v>0</v>
      </c>
      <c r="DL48" s="19">
        <f>+IF('Datos delta'!CU48&gt;0,REASIGN('Datos delta'!CU48,'Datos Protegidos'!$K48,PARTIDOS!CV$8),0)</f>
        <v>0</v>
      </c>
      <c r="DM48" s="7">
        <v>0</v>
      </c>
      <c r="DN48" s="19">
        <f>+IF('Datos delta'!CW48&gt;0,REASIGN('Datos delta'!CW48,'Datos Protegidos'!$K48,PARTIDOS!CX$8),0)</f>
        <v>0</v>
      </c>
      <c r="DO48" s="7">
        <v>0</v>
      </c>
      <c r="DP48" s="19">
        <f>+IF('Datos delta'!CY48&gt;0,REASIGN('Datos delta'!CY48,'Datos Protegidos'!$K48,PARTIDOS!CZ$8),0)</f>
        <v>0</v>
      </c>
      <c r="DQ48" s="7">
        <v>0</v>
      </c>
      <c r="DR48" s="19">
        <f>+IF('Datos delta'!DA48&gt;0,REASIGN('Datos delta'!DA48,'Datos Protegidos'!$K48,PARTIDOS!DB$8),0)</f>
        <v>0</v>
      </c>
      <c r="DS48" s="7">
        <v>0</v>
      </c>
      <c r="DT48" s="19">
        <f>+IF('Datos delta'!DC48&gt;0,REASIGN('Datos delta'!DC48,'Datos Protegidos'!$K48,PARTIDOS!DD$8),0)</f>
        <v>0</v>
      </c>
      <c r="DU48" s="7">
        <v>0</v>
      </c>
      <c r="DV48" s="19">
        <f>+IF('Datos delta'!DE48&gt;0,REASIGN('Datos delta'!DE48,'Datos Protegidos'!$K48,PARTIDOS!DF$8),0)</f>
        <v>0</v>
      </c>
      <c r="DW48" s="7">
        <v>0</v>
      </c>
      <c r="DX48" s="19">
        <f>+IF('Datos delta'!DG48&gt;0,REASIGN('Datos delta'!DG48,'Datos Protegidos'!$K48,PARTIDOS!DH$8),0)</f>
        <v>0</v>
      </c>
      <c r="DY48" s="7">
        <v>0</v>
      </c>
      <c r="DZ48" s="19">
        <f>+IF('Datos delta'!DI48&gt;0,REASIGN('Datos delta'!DI48,'Datos Protegidos'!$K48,PARTIDOS!DJ$8),0)</f>
        <v>0</v>
      </c>
      <c r="EA48" s="7">
        <v>0</v>
      </c>
      <c r="EB48" s="19">
        <f>+IF('Datos delta'!DK48&gt;0,REASIGN('Datos delta'!DK48,'Datos Protegidos'!$K48,PARTIDOS!DL$8),0)</f>
        <v>0</v>
      </c>
      <c r="EC48" s="7">
        <v>0</v>
      </c>
      <c r="ED48" s="19">
        <f>+IF('Datos delta'!DM48&gt;0,REASIGN('Datos delta'!DM48,'Datos Protegidos'!$K48,PARTIDOS!DN$8),0)</f>
        <v>0</v>
      </c>
      <c r="EE48" s="7">
        <v>0</v>
      </c>
      <c r="EF48" s="19">
        <f>+IF('Datos delta'!DO48&gt;0,REASIGN('Datos delta'!DO48,'Datos Protegidos'!$K48,PARTIDOS!DP$8),0)</f>
        <v>0</v>
      </c>
      <c r="EG48" s="7">
        <v>0</v>
      </c>
      <c r="EH48" s="19">
        <f>+IF('Datos delta'!DQ48&gt;0,REASIGN('Datos delta'!DQ48,'Datos Protegidos'!$K48,PARTIDOS!DR$8),0)</f>
        <v>0</v>
      </c>
      <c r="EI48" s="7">
        <v>0</v>
      </c>
      <c r="EJ48" s="19">
        <f>+IF('Datos delta'!DS48&gt;0,REASIGN('Datos delta'!DS48,'Datos Protegidos'!$K48,PARTIDOS!DT$8),0)</f>
        <v>0</v>
      </c>
      <c r="EK48" s="7">
        <v>0</v>
      </c>
      <c r="EL48" s="19">
        <f>+IF('Datos delta'!DU48&gt;0,REASIGN('Datos delta'!DU48,'Datos Protegidos'!$K48,PARTIDOS!DV$8),0)</f>
        <v>0</v>
      </c>
      <c r="EM48" s="7">
        <v>0</v>
      </c>
      <c r="EN48" s="19">
        <f>+IF('Datos delta'!DW48&gt;0,REASIGN('Datos delta'!DW48,'Datos Protegidos'!$K48,PARTIDOS!DX$8),0)</f>
        <v>0</v>
      </c>
      <c r="EO48" s="7">
        <v>0</v>
      </c>
      <c r="EP48" s="19">
        <f>+IF('Datos delta'!DY48&gt;0,REASIGN('Datos delta'!DY48,'Datos Protegidos'!$K48,PARTIDOS!DZ$8),0)</f>
        <v>0</v>
      </c>
      <c r="EQ48" s="7">
        <v>0</v>
      </c>
      <c r="ER48" s="19">
        <f>+IF('Datos delta'!EA48&gt;0,REASIGN('Datos delta'!EA48,'Datos Protegidos'!$K48,PARTIDOS!EB$8),0)</f>
        <v>0</v>
      </c>
      <c r="ES48" s="7">
        <v>0</v>
      </c>
      <c r="ET48" s="19">
        <f>+IF('Datos delta'!EC48&gt;0,REASIGN('Datos delta'!EC48,'Datos Protegidos'!$K48,PARTIDOS!ED$8),0)</f>
        <v>0</v>
      </c>
      <c r="EU48" s="7">
        <v>0</v>
      </c>
    </row>
    <row r="49" spans="1:151" x14ac:dyDescent="0.25">
      <c r="A49" s="7" t="s">
        <v>77</v>
      </c>
      <c r="B49" s="8">
        <v>3</v>
      </c>
      <c r="C49" s="7" t="s">
        <v>78</v>
      </c>
      <c r="D49" s="9">
        <v>1838819</v>
      </c>
      <c r="E49" s="1">
        <v>2221</v>
      </c>
      <c r="F49" s="1">
        <v>1237462</v>
      </c>
      <c r="G49" s="1">
        <v>39229</v>
      </c>
      <c r="H49" s="1">
        <v>1276691</v>
      </c>
      <c r="I49" s="1"/>
      <c r="J49" s="1"/>
      <c r="K49" s="1"/>
      <c r="L49" s="3">
        <f t="shared" si="1"/>
        <v>877102</v>
      </c>
      <c r="M49" s="3">
        <f t="shared" si="2"/>
        <v>868768</v>
      </c>
      <c r="N49" s="6">
        <f t="shared" si="0"/>
        <v>861990</v>
      </c>
      <c r="O49" s="1">
        <v>6778</v>
      </c>
      <c r="P49" s="1">
        <v>8334</v>
      </c>
      <c r="Q49" s="6">
        <f t="shared" si="3"/>
        <v>12</v>
      </c>
      <c r="R49" s="19">
        <f>+IF('Datos delta'!A49&gt;0,REASIGN('Datos delta'!A49,'Datos Protegidos'!$K49,PARTIDOS!B$8),0)</f>
        <v>259126</v>
      </c>
      <c r="S49" s="7">
        <v>4</v>
      </c>
      <c r="T49" s="19">
        <f>+IF('Datos delta'!C49&gt;0,REASIGN('Datos delta'!C49,'Datos Protegidos'!$K49,PARTIDOS!D$8),0)</f>
        <v>266770</v>
      </c>
      <c r="U49" s="7">
        <v>3</v>
      </c>
      <c r="V49" s="19">
        <f>+IF('Datos delta'!E49&gt;0,REASIGN('Datos delta'!E49,'Datos Protegidos'!$K49,PARTIDOS!F$8),0)</f>
        <v>170742</v>
      </c>
      <c r="W49" s="7">
        <v>3</v>
      </c>
      <c r="X49" s="19">
        <f>+IF('Datos delta'!G49&gt;0,REASIGN('Datos delta'!G49,'Datos Protegidos'!$K49,PARTIDOS!H$8),0)</f>
        <v>113959</v>
      </c>
      <c r="Y49" s="7">
        <v>1</v>
      </c>
      <c r="Z49" s="19">
        <f>+IF('Datos delta'!I49&gt;0,REASIGN('Datos delta'!I49,'Datos Protegidos'!$K49,PARTIDOS!J$8),0)</f>
        <v>0</v>
      </c>
      <c r="AA49" s="7">
        <v>0</v>
      </c>
      <c r="AB49" s="19">
        <f>+IF('Datos delta'!K49&gt;0,REASIGN('Datos delta'!K49,'Datos Protegidos'!$K49,PARTIDOS!L$8),0)</f>
        <v>0</v>
      </c>
      <c r="AC49" s="7">
        <v>1</v>
      </c>
      <c r="AD49" s="19">
        <f>+IF('Datos delta'!M49&gt;0,REASIGN('Datos delta'!M49,'Datos Protegidos'!$K49,PARTIDOS!N$8),0)</f>
        <v>0</v>
      </c>
      <c r="AE49" s="7">
        <v>0</v>
      </c>
      <c r="AF49" s="19">
        <f>+IF('Datos delta'!O49&gt;0,REASIGN('Datos delta'!O49,'Datos Protegidos'!$K49,PARTIDOS!P$8),0)</f>
        <v>0</v>
      </c>
      <c r="AG49" s="7">
        <v>0</v>
      </c>
      <c r="AH49" s="19">
        <f>+IF('Datos delta'!Q49&gt;0,REASIGN('Datos delta'!Q49,'Datos Protegidos'!$K49,PARTIDOS!R$8),0)</f>
        <v>0</v>
      </c>
      <c r="AI49" s="7">
        <v>0</v>
      </c>
      <c r="AJ49" s="19">
        <f>+IF('Datos delta'!S49&gt;0,REASIGN('Datos delta'!S49,'Datos Protegidos'!$K49,PARTIDOS!T$8),0)</f>
        <v>0</v>
      </c>
      <c r="AK49" s="7">
        <v>0</v>
      </c>
      <c r="AL49" s="19">
        <f>+IF('Datos delta'!U49&gt;0,REASIGN('Datos delta'!U49,'Datos Protegidos'!$K49,PARTIDOS!V$8),0)</f>
        <v>0</v>
      </c>
      <c r="AM49" s="7">
        <v>0</v>
      </c>
      <c r="AN49" s="19">
        <f>+IF('Datos delta'!W49&gt;0,REASIGN('Datos delta'!W49,'Datos Protegidos'!$K49,PARTIDOS!X$8),0)</f>
        <v>0</v>
      </c>
      <c r="AO49" s="7">
        <v>0</v>
      </c>
      <c r="AP49" s="19">
        <f>+IF('Datos delta'!Y49&gt;0,REASIGN('Datos delta'!Y49,'Datos Protegidos'!$K49,PARTIDOS!Z$8),0)</f>
        <v>0</v>
      </c>
      <c r="AQ49" s="7">
        <v>0</v>
      </c>
      <c r="AR49" s="19">
        <f>+IF('Datos delta'!AA49&gt;0,REASIGN('Datos delta'!AA49,'Datos Protegidos'!$K49,PARTIDOS!AB$8),0)</f>
        <v>0</v>
      </c>
      <c r="AS49" s="7">
        <v>0</v>
      </c>
      <c r="AT49" s="19">
        <f>+IF('Datos delta'!AC49&gt;0,REASIGN('Datos delta'!AC49,'Datos Protegidos'!$K49,PARTIDOS!AD$8),0)</f>
        <v>0</v>
      </c>
      <c r="AU49" s="7">
        <v>0</v>
      </c>
      <c r="AV49" s="19">
        <f>+IF('Datos delta'!AE49&gt;0,REASIGN('Datos delta'!AE49,'Datos Protegidos'!$K49,PARTIDOS!AF$8),0)</f>
        <v>34721</v>
      </c>
      <c r="AW49" s="7">
        <v>0</v>
      </c>
      <c r="AX49" s="19">
        <f>+IF('Datos delta'!AG49&gt;0,REASIGN('Datos delta'!AG49,'Datos Protegidos'!$K49,PARTIDOS!AH$8),0)</f>
        <v>0</v>
      </c>
      <c r="AY49" s="7">
        <v>0</v>
      </c>
      <c r="AZ49" s="19">
        <f>+IF('Datos delta'!AI49&gt;0,REASIGN('Datos delta'!AI49,'Datos Protegidos'!$K49,PARTIDOS!AJ$8),0)</f>
        <v>0</v>
      </c>
      <c r="BA49" s="7">
        <v>0</v>
      </c>
      <c r="BB49" s="19">
        <f>+IF('Datos delta'!AK49&gt;0,REASIGN('Datos delta'!AK49,'Datos Protegidos'!$K49,PARTIDOS!AL$8),0)</f>
        <v>0</v>
      </c>
      <c r="BC49" s="7">
        <v>0</v>
      </c>
      <c r="BD49" s="19">
        <f>+IF('Datos delta'!AM49&gt;0,REASIGN('Datos delta'!AM49,'Datos Protegidos'!$K49,PARTIDOS!AN$8),0)</f>
        <v>9369</v>
      </c>
      <c r="BE49" s="7">
        <v>0</v>
      </c>
      <c r="BF49" s="19">
        <f>+IF('Datos delta'!AO49&gt;0,REASIGN('Datos delta'!AO49,'Datos Protegidos'!$K49,PARTIDOS!AP$8),0)</f>
        <v>0</v>
      </c>
      <c r="BG49" s="7">
        <v>0</v>
      </c>
      <c r="BH49" s="19">
        <f>+IF('Datos delta'!AQ49&gt;0,REASIGN('Datos delta'!AQ49,'Datos Protegidos'!$K49,PARTIDOS!AR$8),0)</f>
        <v>886</v>
      </c>
      <c r="BI49" s="7">
        <v>0</v>
      </c>
      <c r="BJ49" s="19">
        <f>+IF('Datos delta'!AS49&gt;0,REASIGN('Datos delta'!AS49,'Datos Protegidos'!$K49,PARTIDOS!AT$8),0)</f>
        <v>943</v>
      </c>
      <c r="BK49" s="7">
        <v>0</v>
      </c>
      <c r="BL49" s="19">
        <f>+IF('Datos delta'!AU49&gt;0,REASIGN('Datos delta'!AU49,'Datos Protegidos'!$K49,PARTIDOS!AV$8),0)</f>
        <v>0</v>
      </c>
      <c r="BM49" s="7">
        <v>0</v>
      </c>
      <c r="BN49" s="19">
        <f>+IF('Datos delta'!AW49&gt;0,REASIGN('Datos delta'!AW49,'Datos Protegidos'!$K49,PARTIDOS!AX$8),0)</f>
        <v>0</v>
      </c>
      <c r="BO49" s="7">
        <v>0</v>
      </c>
      <c r="BP49" s="19">
        <f>+IF('Datos delta'!AY49&gt;0,REASIGN('Datos delta'!AY49,'Datos Protegidos'!$K49,PARTIDOS!AZ$8),0)</f>
        <v>0</v>
      </c>
      <c r="BQ49" s="7">
        <v>0</v>
      </c>
      <c r="BR49" s="19">
        <f>+IF('Datos delta'!BA49&gt;0,REASIGN('Datos delta'!BA49,'Datos Protegidos'!$K49,PARTIDOS!BB$8),0)</f>
        <v>956</v>
      </c>
      <c r="BS49" s="7">
        <v>0</v>
      </c>
      <c r="BT49" s="19">
        <f>+IF('Datos delta'!BC49&gt;0,REASIGN('Datos delta'!BC49,'Datos Protegidos'!$K49,PARTIDOS!BD$8),0)</f>
        <v>0</v>
      </c>
      <c r="BU49" s="7">
        <v>0</v>
      </c>
      <c r="BV49" s="19">
        <f>+IF('Datos delta'!BE49&gt;0,REASIGN('Datos delta'!BE49,'Datos Protegidos'!$K49,PARTIDOS!BF$8),0)</f>
        <v>0</v>
      </c>
      <c r="BW49" s="7">
        <v>0</v>
      </c>
      <c r="BX49" s="19">
        <f>+IF('Datos delta'!BG49&gt;0,REASIGN('Datos delta'!BG49,'Datos Protegidos'!$K49,PARTIDOS!BH$8),0)</f>
        <v>0</v>
      </c>
      <c r="BY49" s="7">
        <v>0</v>
      </c>
      <c r="BZ49" s="19">
        <f>+IF('Datos delta'!BI49&gt;0,REASIGN('Datos delta'!BI49,'Datos Protegidos'!$K49,PARTIDOS!BJ$8),0)</f>
        <v>0</v>
      </c>
      <c r="CA49" s="7">
        <v>0</v>
      </c>
      <c r="CB49" s="19">
        <f>+IF('Datos delta'!BK49&gt;0,REASIGN('Datos delta'!BK49,'Datos Protegidos'!$K49,PARTIDOS!BL$8),0)</f>
        <v>0</v>
      </c>
      <c r="CC49" s="7">
        <v>0</v>
      </c>
      <c r="CD49" s="19">
        <f>+IF('Datos delta'!BM49&gt;0,REASIGN('Datos delta'!BM49,'Datos Protegidos'!$K49,PARTIDOS!BN$8),0)</f>
        <v>0</v>
      </c>
      <c r="CE49" s="7">
        <v>0</v>
      </c>
      <c r="CF49" s="19">
        <f>+IF('Datos delta'!BO49&gt;0,REASIGN('Datos delta'!BO49,'Datos Protegidos'!$K49,PARTIDOS!BP$8),0)</f>
        <v>1640</v>
      </c>
      <c r="CG49" s="7">
        <v>0</v>
      </c>
      <c r="CH49" s="19">
        <f>+IF('Datos delta'!BQ49&gt;0,REASIGN('Datos delta'!BQ49,'Datos Protegidos'!$K49,PARTIDOS!BR$8),0)</f>
        <v>0</v>
      </c>
      <c r="CI49" s="7">
        <v>0</v>
      </c>
      <c r="CJ49" s="19">
        <f>+IF('Datos delta'!BS49&gt;0,REASIGN('Datos delta'!BS49,'Datos Protegidos'!$K49,PARTIDOS!BT$8),0)</f>
        <v>2325</v>
      </c>
      <c r="CK49" s="7">
        <v>0</v>
      </c>
      <c r="CL49" s="19">
        <f>+IF('Datos delta'!BU49&gt;0,REASIGN('Datos delta'!BU49,'Datos Protegidos'!$K49,PARTIDOS!BV$8),0)</f>
        <v>0</v>
      </c>
      <c r="CM49" s="7">
        <v>0</v>
      </c>
      <c r="CN49" s="19">
        <f>+IF('Datos delta'!BW49&gt;0,REASIGN('Datos delta'!BW49,'Datos Protegidos'!$K49,PARTIDOS!BX$8),0)</f>
        <v>0</v>
      </c>
      <c r="CO49" s="7">
        <v>0</v>
      </c>
      <c r="CP49" s="19">
        <f>+IF('Datos delta'!BY49&gt;0,REASIGN('Datos delta'!BY49,'Datos Protegidos'!$K49,PARTIDOS!BZ$8),0)</f>
        <v>0</v>
      </c>
      <c r="CQ49" s="7">
        <v>0</v>
      </c>
      <c r="CR49" s="19">
        <f>+IF('Datos delta'!CA49&gt;0,REASIGN('Datos delta'!CA49,'Datos Protegidos'!$K49,PARTIDOS!CB$8),0)</f>
        <v>0</v>
      </c>
      <c r="CS49" s="7">
        <v>0</v>
      </c>
      <c r="CT49" s="19">
        <f>+IF('Datos delta'!CC49&gt;0,REASIGN('Datos delta'!CC49,'Datos Protegidos'!$K49,PARTIDOS!CD$8),0)</f>
        <v>0</v>
      </c>
      <c r="CU49" s="7">
        <v>0</v>
      </c>
      <c r="CV49" s="19">
        <f>+IF('Datos delta'!CE49&gt;0,REASIGN('Datos delta'!CE49,'Datos Protegidos'!$K49,PARTIDOS!CF$8),0)</f>
        <v>0</v>
      </c>
      <c r="CW49" s="7">
        <v>0</v>
      </c>
      <c r="CX49" s="19">
        <f>+IF('Datos delta'!CG49&gt;0,REASIGN('Datos delta'!CG49,'Datos Protegidos'!$K49,PARTIDOS!CH$8),0)</f>
        <v>0</v>
      </c>
      <c r="CY49" s="7">
        <v>0</v>
      </c>
      <c r="CZ49" s="19">
        <f>+IF('Datos delta'!CI49&gt;0,REASIGN('Datos delta'!CI49,'Datos Protegidos'!$K49,PARTIDOS!CJ$8),0)</f>
        <v>0</v>
      </c>
      <c r="DA49" s="7">
        <v>0</v>
      </c>
      <c r="DB49" s="19">
        <f>+IF('Datos delta'!CK49&gt;0,REASIGN('Datos delta'!CK49,'Datos Protegidos'!$K49,PARTIDOS!CL$8),0)</f>
        <v>0</v>
      </c>
      <c r="DC49" s="7">
        <v>0</v>
      </c>
      <c r="DD49" s="19">
        <f>+IF('Datos delta'!CM49&gt;0,REASIGN('Datos delta'!CM49,'Datos Protegidos'!$K49,PARTIDOS!CN$8),0)</f>
        <v>0</v>
      </c>
      <c r="DE49" s="7">
        <v>0</v>
      </c>
      <c r="DF49" s="19">
        <f>+IF('Datos delta'!CO49&gt;0,REASIGN('Datos delta'!CO49,'Datos Protegidos'!$K49,PARTIDOS!CP$8),0)</f>
        <v>0</v>
      </c>
      <c r="DG49" s="7">
        <v>0</v>
      </c>
      <c r="DH49" s="19">
        <f>+IF('Datos delta'!CQ49&gt;0,REASIGN('Datos delta'!CQ49,'Datos Protegidos'!$K49,PARTIDOS!CR$8),0)</f>
        <v>0</v>
      </c>
      <c r="DI49" s="7">
        <v>0</v>
      </c>
      <c r="DJ49" s="19">
        <f>+IF('Datos delta'!CS49&gt;0,REASIGN('Datos delta'!CS49,'Datos Protegidos'!$K49,PARTIDOS!CT$8),0)</f>
        <v>553</v>
      </c>
      <c r="DK49" s="7">
        <v>0</v>
      </c>
      <c r="DL49" s="19">
        <f>+IF('Datos delta'!CU49&gt;0,REASIGN('Datos delta'!CU49,'Datos Protegidos'!$K49,PARTIDOS!CV$8),0)</f>
        <v>0</v>
      </c>
      <c r="DM49" s="7">
        <v>0</v>
      </c>
      <c r="DN49" s="19">
        <f>+IF('Datos delta'!CW49&gt;0,REASIGN('Datos delta'!CW49,'Datos Protegidos'!$K49,PARTIDOS!CX$8),0)</f>
        <v>0</v>
      </c>
      <c r="DO49" s="7">
        <v>0</v>
      </c>
      <c r="DP49" s="19">
        <f>+IF('Datos delta'!CY49&gt;0,REASIGN('Datos delta'!CY49,'Datos Protegidos'!$K49,PARTIDOS!CZ$8),0)</f>
        <v>0</v>
      </c>
      <c r="DQ49" s="7">
        <v>0</v>
      </c>
      <c r="DR49" s="19">
        <f>+IF('Datos delta'!DA49&gt;0,REASIGN('Datos delta'!DA49,'Datos Protegidos'!$K49,PARTIDOS!DB$8),0)</f>
        <v>0</v>
      </c>
      <c r="DS49" s="7">
        <v>0</v>
      </c>
      <c r="DT49" s="19">
        <f>+IF('Datos delta'!DC49&gt;0,REASIGN('Datos delta'!DC49,'Datos Protegidos'!$K49,PARTIDOS!DD$8),0)</f>
        <v>0</v>
      </c>
      <c r="DU49" s="7">
        <v>0</v>
      </c>
      <c r="DV49" s="19">
        <f>+IF('Datos delta'!DE49&gt;0,REASIGN('Datos delta'!DE49,'Datos Protegidos'!$K49,PARTIDOS!DF$8),0)</f>
        <v>0</v>
      </c>
      <c r="DW49" s="7">
        <v>0</v>
      </c>
      <c r="DX49" s="19">
        <f>+IF('Datos delta'!DG49&gt;0,REASIGN('Datos delta'!DG49,'Datos Protegidos'!$K49,PARTIDOS!DH$8),0)</f>
        <v>0</v>
      </c>
      <c r="DY49" s="7">
        <v>0</v>
      </c>
      <c r="DZ49" s="19">
        <f>+IF('Datos delta'!DI49&gt;0,REASIGN('Datos delta'!DI49,'Datos Protegidos'!$K49,PARTIDOS!DJ$8),0)</f>
        <v>0</v>
      </c>
      <c r="EA49" s="7">
        <v>0</v>
      </c>
      <c r="EB49" s="19">
        <f>+IF('Datos delta'!DK49&gt;0,REASIGN('Datos delta'!DK49,'Datos Protegidos'!$K49,PARTIDOS!DL$8),0)</f>
        <v>0</v>
      </c>
      <c r="EC49" s="7">
        <v>0</v>
      </c>
      <c r="ED49" s="19">
        <f>+IF('Datos delta'!DM49&gt;0,REASIGN('Datos delta'!DM49,'Datos Protegidos'!$K49,PARTIDOS!DN$8),0)</f>
        <v>0</v>
      </c>
      <c r="EE49" s="7">
        <v>0</v>
      </c>
      <c r="EF49" s="19">
        <f>+IF('Datos delta'!DO49&gt;0,REASIGN('Datos delta'!DO49,'Datos Protegidos'!$K49,PARTIDOS!DP$8),0)</f>
        <v>0</v>
      </c>
      <c r="EG49" s="7">
        <v>0</v>
      </c>
      <c r="EH49" s="19">
        <f>+IF('Datos delta'!DQ49&gt;0,REASIGN('Datos delta'!DQ49,'Datos Protegidos'!$K49,PARTIDOS!DR$8),0)</f>
        <v>0</v>
      </c>
      <c r="EI49" s="7">
        <v>0</v>
      </c>
      <c r="EJ49" s="19">
        <f>+IF('Datos delta'!DS49&gt;0,REASIGN('Datos delta'!DS49,'Datos Protegidos'!$K49,PARTIDOS!DT$8),0)</f>
        <v>0</v>
      </c>
      <c r="EK49" s="7">
        <v>0</v>
      </c>
      <c r="EL49" s="19">
        <f>+IF('Datos delta'!DU49&gt;0,REASIGN('Datos delta'!DU49,'Datos Protegidos'!$K49,PARTIDOS!DV$8),0)</f>
        <v>0</v>
      </c>
      <c r="EM49" s="7">
        <v>0</v>
      </c>
      <c r="EN49" s="19">
        <f>+IF('Datos delta'!DW49&gt;0,REASIGN('Datos delta'!DW49,'Datos Protegidos'!$K49,PARTIDOS!DX$8),0)</f>
        <v>0</v>
      </c>
      <c r="EO49" s="7">
        <v>0</v>
      </c>
      <c r="EP49" s="19">
        <f>+IF('Datos delta'!DY49&gt;0,REASIGN('Datos delta'!DY49,'Datos Protegidos'!$K49,PARTIDOS!DZ$8),0)</f>
        <v>0</v>
      </c>
      <c r="EQ49" s="7">
        <v>0</v>
      </c>
      <c r="ER49" s="19">
        <f>+IF('Datos delta'!EA49&gt;0,REASIGN('Datos delta'!EA49,'Datos Protegidos'!$K49,PARTIDOS!EB$8),0)</f>
        <v>0</v>
      </c>
      <c r="ES49" s="7">
        <v>0</v>
      </c>
      <c r="ET49" s="19">
        <f>+IF('Datos delta'!EC49&gt;0,REASIGN('Datos delta'!EC49,'Datos Protegidos'!$K49,PARTIDOS!ED$8),0)</f>
        <v>0</v>
      </c>
      <c r="EU49" s="7">
        <v>0</v>
      </c>
    </row>
    <row r="50" spans="1:151" x14ac:dyDescent="0.25">
      <c r="A50" s="7" t="s">
        <v>77</v>
      </c>
      <c r="B50" s="8">
        <v>12</v>
      </c>
      <c r="C50" s="7" t="s">
        <v>79</v>
      </c>
      <c r="D50" s="9">
        <v>576898</v>
      </c>
      <c r="E50">
        <v>715</v>
      </c>
      <c r="F50" s="1">
        <v>411108</v>
      </c>
      <c r="G50" s="1">
        <v>9633</v>
      </c>
      <c r="H50" s="1">
        <v>420741</v>
      </c>
      <c r="I50" s="1"/>
      <c r="J50" s="1"/>
      <c r="K50" s="1"/>
      <c r="L50" s="3">
        <f t="shared" si="1"/>
        <v>303652</v>
      </c>
      <c r="M50" s="3">
        <f t="shared" si="2"/>
        <v>300629</v>
      </c>
      <c r="N50" s="6">
        <f t="shared" si="0"/>
        <v>298391</v>
      </c>
      <c r="O50" s="1">
        <v>2238</v>
      </c>
      <c r="P50" s="1">
        <v>3023</v>
      </c>
      <c r="Q50" s="6">
        <f t="shared" si="3"/>
        <v>5</v>
      </c>
      <c r="R50" s="19">
        <f>+IF('Datos delta'!A50&gt;0,REASIGN('Datos delta'!A50,'Datos Protegidos'!$K50,PARTIDOS!B$8),0)</f>
        <v>90311</v>
      </c>
      <c r="S50" s="7">
        <v>2</v>
      </c>
      <c r="T50" s="19">
        <f>+IF('Datos delta'!C50&gt;0,REASIGN('Datos delta'!C50,'Datos Protegidos'!$K50,PARTIDOS!D$8),0)</f>
        <v>87820</v>
      </c>
      <c r="U50" s="7">
        <v>1</v>
      </c>
      <c r="V50" s="19">
        <f>+IF('Datos delta'!E50&gt;0,REASIGN('Datos delta'!E50,'Datos Protegidos'!$K50,PARTIDOS!F$8),0)</f>
        <v>55945</v>
      </c>
      <c r="W50" s="7">
        <v>1</v>
      </c>
      <c r="X50" s="19">
        <f>+IF('Datos delta'!G50&gt;0,REASIGN('Datos delta'!G50,'Datos Protegidos'!$K50,PARTIDOS!H$8),0)</f>
        <v>41213</v>
      </c>
      <c r="Y50" s="7">
        <v>1</v>
      </c>
      <c r="Z50" s="19">
        <f>+IF('Datos delta'!I50&gt;0,REASIGN('Datos delta'!I50,'Datos Protegidos'!$K50,PARTIDOS!J$8),0)</f>
        <v>0</v>
      </c>
      <c r="AA50" s="7">
        <v>0</v>
      </c>
      <c r="AB50" s="19">
        <f>+IF('Datos delta'!K50&gt;0,REASIGN('Datos delta'!K50,'Datos Protegidos'!$K50,PARTIDOS!L$8),0)</f>
        <v>0</v>
      </c>
      <c r="AC50" s="7">
        <v>0</v>
      </c>
      <c r="AD50" s="19">
        <f>+IF('Datos delta'!M50&gt;0,REASIGN('Datos delta'!M50,'Datos Protegidos'!$K50,PARTIDOS!N$8),0)</f>
        <v>0</v>
      </c>
      <c r="AE50" s="7">
        <v>0</v>
      </c>
      <c r="AF50" s="19">
        <f>+IF('Datos delta'!O50&gt;0,REASIGN('Datos delta'!O50,'Datos Protegidos'!$K50,PARTIDOS!P$8),0)</f>
        <v>0</v>
      </c>
      <c r="AG50" s="7">
        <v>0</v>
      </c>
      <c r="AH50" s="19">
        <f>+IF('Datos delta'!Q50&gt;0,REASIGN('Datos delta'!Q50,'Datos Protegidos'!$K50,PARTIDOS!R$8),0)</f>
        <v>0</v>
      </c>
      <c r="AI50" s="7">
        <v>0</v>
      </c>
      <c r="AJ50" s="19">
        <f>+IF('Datos delta'!S50&gt;0,REASIGN('Datos delta'!S50,'Datos Protegidos'!$K50,PARTIDOS!T$8),0)</f>
        <v>0</v>
      </c>
      <c r="AK50" s="7">
        <v>0</v>
      </c>
      <c r="AL50" s="19">
        <f>+IF('Datos delta'!U50&gt;0,REASIGN('Datos delta'!U50,'Datos Protegidos'!$K50,PARTIDOS!V$8),0)</f>
        <v>0</v>
      </c>
      <c r="AM50" s="7">
        <v>0</v>
      </c>
      <c r="AN50" s="19">
        <f>+IF('Datos delta'!W50&gt;0,REASIGN('Datos delta'!W50,'Datos Protegidos'!$K50,PARTIDOS!X$8),0)</f>
        <v>0</v>
      </c>
      <c r="AO50" s="7">
        <v>0</v>
      </c>
      <c r="AP50" s="19">
        <f>+IF('Datos delta'!Y50&gt;0,REASIGN('Datos delta'!Y50,'Datos Protegidos'!$K50,PARTIDOS!Z$8),0)</f>
        <v>0</v>
      </c>
      <c r="AQ50" s="7">
        <v>0</v>
      </c>
      <c r="AR50" s="19">
        <f>+IF('Datos delta'!AA50&gt;0,REASIGN('Datos delta'!AA50,'Datos Protegidos'!$K50,PARTIDOS!AB$8),0)</f>
        <v>0</v>
      </c>
      <c r="AS50" s="7">
        <v>0</v>
      </c>
      <c r="AT50" s="19">
        <f>+IF('Datos delta'!AC50&gt;0,REASIGN('Datos delta'!AC50,'Datos Protegidos'!$K50,PARTIDOS!AD$8),0)</f>
        <v>0</v>
      </c>
      <c r="AU50" s="7">
        <v>0</v>
      </c>
      <c r="AV50" s="19">
        <f>+IF('Datos delta'!AE50&gt;0,REASIGN('Datos delta'!AE50,'Datos Protegidos'!$K50,PARTIDOS!AF$8),0)</f>
        <v>17686</v>
      </c>
      <c r="AW50" s="7">
        <v>0</v>
      </c>
      <c r="AX50" s="19">
        <f>+IF('Datos delta'!AG50&gt;0,REASIGN('Datos delta'!AG50,'Datos Protegidos'!$K50,PARTIDOS!AH$8),0)</f>
        <v>0</v>
      </c>
      <c r="AY50" s="7">
        <v>0</v>
      </c>
      <c r="AZ50" s="19">
        <f>+IF('Datos delta'!AI50&gt;0,REASIGN('Datos delta'!AI50,'Datos Protegidos'!$K50,PARTIDOS!AJ$8),0)</f>
        <v>0</v>
      </c>
      <c r="BA50" s="7">
        <v>0</v>
      </c>
      <c r="BB50" s="19">
        <f>+IF('Datos delta'!AK50&gt;0,REASIGN('Datos delta'!AK50,'Datos Protegidos'!$K50,PARTIDOS!AL$8),0)</f>
        <v>0</v>
      </c>
      <c r="BC50" s="7">
        <v>0</v>
      </c>
      <c r="BD50" s="19">
        <f>+IF('Datos delta'!AM50&gt;0,REASIGN('Datos delta'!AM50,'Datos Protegidos'!$K50,PARTIDOS!AN$8),0)</f>
        <v>2470</v>
      </c>
      <c r="BE50" s="7">
        <v>0</v>
      </c>
      <c r="BF50" s="19">
        <f>+IF('Datos delta'!AO50&gt;0,REASIGN('Datos delta'!AO50,'Datos Protegidos'!$K50,PARTIDOS!AP$8),0)</f>
        <v>0</v>
      </c>
      <c r="BG50" s="7">
        <v>0</v>
      </c>
      <c r="BH50" s="19">
        <f>+IF('Datos delta'!AQ50&gt;0,REASIGN('Datos delta'!AQ50,'Datos Protegidos'!$K50,PARTIDOS!AR$8),0)</f>
        <v>255</v>
      </c>
      <c r="BI50" s="7">
        <v>0</v>
      </c>
      <c r="BJ50" s="19">
        <f>+IF('Datos delta'!AS50&gt;0,REASIGN('Datos delta'!AS50,'Datos Protegidos'!$K50,PARTIDOS!AT$8),0)</f>
        <v>368</v>
      </c>
      <c r="BK50" s="7">
        <v>0</v>
      </c>
      <c r="BL50" s="19">
        <f>+IF('Datos delta'!AU50&gt;0,REASIGN('Datos delta'!AU50,'Datos Protegidos'!$K50,PARTIDOS!AV$8),0)</f>
        <v>0</v>
      </c>
      <c r="BM50" s="7">
        <v>0</v>
      </c>
      <c r="BN50" s="19">
        <f>+IF('Datos delta'!AW50&gt;0,REASIGN('Datos delta'!AW50,'Datos Protegidos'!$K50,PARTIDOS!AX$8),0)</f>
        <v>0</v>
      </c>
      <c r="BO50" s="7">
        <v>0</v>
      </c>
      <c r="BP50" s="19">
        <f>+IF('Datos delta'!AY50&gt;0,REASIGN('Datos delta'!AY50,'Datos Protegidos'!$K50,PARTIDOS!AZ$8),0)</f>
        <v>0</v>
      </c>
      <c r="BQ50" s="7">
        <v>0</v>
      </c>
      <c r="BR50" s="19">
        <f>+IF('Datos delta'!BA50&gt;0,REASIGN('Datos delta'!BA50,'Datos Protegidos'!$K50,PARTIDOS!BB$8),0)</f>
        <v>203</v>
      </c>
      <c r="BS50" s="7">
        <v>0</v>
      </c>
      <c r="BT50" s="19">
        <f>+IF('Datos delta'!BC50&gt;0,REASIGN('Datos delta'!BC50,'Datos Protegidos'!$K50,PARTIDOS!BD$8),0)</f>
        <v>0</v>
      </c>
      <c r="BU50" s="7">
        <v>0</v>
      </c>
      <c r="BV50" s="19">
        <f>+IF('Datos delta'!BE50&gt;0,REASIGN('Datos delta'!BE50,'Datos Protegidos'!$K50,PARTIDOS!BF$8),0)</f>
        <v>0</v>
      </c>
      <c r="BW50" s="7">
        <v>0</v>
      </c>
      <c r="BX50" s="19">
        <f>+IF('Datos delta'!BG50&gt;0,REASIGN('Datos delta'!BG50,'Datos Protegidos'!$K50,PARTIDOS!BH$8),0)</f>
        <v>0</v>
      </c>
      <c r="BY50" s="7">
        <v>0</v>
      </c>
      <c r="BZ50" s="19">
        <f>+IF('Datos delta'!BI50&gt;0,REASIGN('Datos delta'!BI50,'Datos Protegidos'!$K50,PARTIDOS!BJ$8),0)</f>
        <v>397</v>
      </c>
      <c r="CA50" s="7">
        <v>0</v>
      </c>
      <c r="CB50" s="19">
        <f>+IF('Datos delta'!BK50&gt;0,REASIGN('Datos delta'!BK50,'Datos Protegidos'!$K50,PARTIDOS!BL$8),0)</f>
        <v>0</v>
      </c>
      <c r="CC50" s="7">
        <v>0</v>
      </c>
      <c r="CD50" s="19">
        <f>+IF('Datos delta'!BM50&gt;0,REASIGN('Datos delta'!BM50,'Datos Protegidos'!$K50,PARTIDOS!BN$8),0)</f>
        <v>0</v>
      </c>
      <c r="CE50" s="7">
        <v>0</v>
      </c>
      <c r="CF50" s="19">
        <f>+IF('Datos delta'!BO50&gt;0,REASIGN('Datos delta'!BO50,'Datos Protegidos'!$K50,PARTIDOS!BP$8),0)</f>
        <v>1078</v>
      </c>
      <c r="CG50" s="7">
        <v>0</v>
      </c>
      <c r="CH50" s="19">
        <f>+IF('Datos delta'!BQ50&gt;0,REASIGN('Datos delta'!BQ50,'Datos Protegidos'!$K50,PARTIDOS!BR$8),0)</f>
        <v>0</v>
      </c>
      <c r="CI50" s="7">
        <v>0</v>
      </c>
      <c r="CJ50" s="19">
        <f>+IF('Datos delta'!BS50&gt;0,REASIGN('Datos delta'!BS50,'Datos Protegidos'!$K50,PARTIDOS!BT$8),0)</f>
        <v>402</v>
      </c>
      <c r="CK50" s="7">
        <v>0</v>
      </c>
      <c r="CL50" s="19">
        <f>+IF('Datos delta'!BU50&gt;0,REASIGN('Datos delta'!BU50,'Datos Protegidos'!$K50,PARTIDOS!BV$8),0)</f>
        <v>0</v>
      </c>
      <c r="CM50" s="7">
        <v>0</v>
      </c>
      <c r="CN50" s="19">
        <f>+IF('Datos delta'!BW50&gt;0,REASIGN('Datos delta'!BW50,'Datos Protegidos'!$K50,PARTIDOS!BX$8),0)</f>
        <v>0</v>
      </c>
      <c r="CO50" s="7">
        <v>0</v>
      </c>
      <c r="CP50" s="19">
        <f>+IF('Datos delta'!BY50&gt;0,REASIGN('Datos delta'!BY50,'Datos Protegidos'!$K50,PARTIDOS!BZ$8),0)</f>
        <v>0</v>
      </c>
      <c r="CQ50" s="7">
        <v>0</v>
      </c>
      <c r="CR50" s="19">
        <f>+IF('Datos delta'!CA50&gt;0,REASIGN('Datos delta'!CA50,'Datos Protegidos'!$K50,PARTIDOS!CB$8),0)</f>
        <v>0</v>
      </c>
      <c r="CS50" s="7">
        <v>0</v>
      </c>
      <c r="CT50" s="19">
        <f>+IF('Datos delta'!CC50&gt;0,REASIGN('Datos delta'!CC50,'Datos Protegidos'!$K50,PARTIDOS!CD$8),0)</f>
        <v>0</v>
      </c>
      <c r="CU50" s="7">
        <v>0</v>
      </c>
      <c r="CV50" s="19">
        <f>+IF('Datos delta'!CE50&gt;0,REASIGN('Datos delta'!CE50,'Datos Protegidos'!$K50,PARTIDOS!CF$8),0)</f>
        <v>0</v>
      </c>
      <c r="CW50" s="7">
        <v>0</v>
      </c>
      <c r="CX50" s="19">
        <f>+IF('Datos delta'!CG50&gt;0,REASIGN('Datos delta'!CG50,'Datos Protegidos'!$K50,PARTIDOS!CH$8),0)</f>
        <v>0</v>
      </c>
      <c r="CY50" s="7">
        <v>0</v>
      </c>
      <c r="CZ50" s="19">
        <f>+IF('Datos delta'!CI50&gt;0,REASIGN('Datos delta'!CI50,'Datos Protegidos'!$K50,PARTIDOS!CJ$8),0)</f>
        <v>0</v>
      </c>
      <c r="DA50" s="7">
        <v>0</v>
      </c>
      <c r="DB50" s="19">
        <f>+IF('Datos delta'!CK50&gt;0,REASIGN('Datos delta'!CK50,'Datos Protegidos'!$K50,PARTIDOS!CL$8),0)</f>
        <v>0</v>
      </c>
      <c r="DC50" s="7">
        <v>0</v>
      </c>
      <c r="DD50" s="19">
        <f>+IF('Datos delta'!CM50&gt;0,REASIGN('Datos delta'!CM50,'Datos Protegidos'!$K50,PARTIDOS!CN$8),0)</f>
        <v>0</v>
      </c>
      <c r="DE50" s="7">
        <v>0</v>
      </c>
      <c r="DF50" s="19">
        <f>+IF('Datos delta'!CO50&gt;0,REASIGN('Datos delta'!CO50,'Datos Protegidos'!$K50,PARTIDOS!CP$8),0)</f>
        <v>0</v>
      </c>
      <c r="DG50" s="7">
        <v>0</v>
      </c>
      <c r="DH50" s="19">
        <f>+IF('Datos delta'!CQ50&gt;0,REASIGN('Datos delta'!CQ50,'Datos Protegidos'!$K50,PARTIDOS!CR$8),0)</f>
        <v>0</v>
      </c>
      <c r="DI50" s="7">
        <v>0</v>
      </c>
      <c r="DJ50" s="19">
        <f>+IF('Datos delta'!CS50&gt;0,REASIGN('Datos delta'!CS50,'Datos Protegidos'!$K50,PARTIDOS!CT$8),0)</f>
        <v>0</v>
      </c>
      <c r="DK50" s="7">
        <v>0</v>
      </c>
      <c r="DL50" s="19">
        <f>+IF('Datos delta'!CU50&gt;0,REASIGN('Datos delta'!CU50,'Datos Protegidos'!$K50,PARTIDOS!CV$8),0)</f>
        <v>0</v>
      </c>
      <c r="DM50" s="7">
        <v>0</v>
      </c>
      <c r="DN50" s="19">
        <f>+IF('Datos delta'!CW50&gt;0,REASIGN('Datos delta'!CW50,'Datos Protegidos'!$K50,PARTIDOS!CX$8),0)</f>
        <v>0</v>
      </c>
      <c r="DO50" s="7">
        <v>0</v>
      </c>
      <c r="DP50" s="19">
        <f>+IF('Datos delta'!CY50&gt;0,REASIGN('Datos delta'!CY50,'Datos Protegidos'!$K50,PARTIDOS!CZ$8),0)</f>
        <v>0</v>
      </c>
      <c r="DQ50" s="7">
        <v>0</v>
      </c>
      <c r="DR50" s="19">
        <f>+IF('Datos delta'!DA50&gt;0,REASIGN('Datos delta'!DA50,'Datos Protegidos'!$K50,PARTIDOS!DB$8),0)</f>
        <v>0</v>
      </c>
      <c r="DS50" s="7">
        <v>0</v>
      </c>
      <c r="DT50" s="19">
        <f>+IF('Datos delta'!DC50&gt;0,REASIGN('Datos delta'!DC50,'Datos Protegidos'!$K50,PARTIDOS!DD$8),0)</f>
        <v>0</v>
      </c>
      <c r="DU50" s="7">
        <v>0</v>
      </c>
      <c r="DV50" s="19">
        <f>+IF('Datos delta'!DE50&gt;0,REASIGN('Datos delta'!DE50,'Datos Protegidos'!$K50,PARTIDOS!DF$8),0)</f>
        <v>0</v>
      </c>
      <c r="DW50" s="7">
        <v>0</v>
      </c>
      <c r="DX50" s="19">
        <f>+IF('Datos delta'!DG50&gt;0,REASIGN('Datos delta'!DG50,'Datos Protegidos'!$K50,PARTIDOS!DH$8),0)</f>
        <v>139</v>
      </c>
      <c r="DY50" s="7">
        <v>0</v>
      </c>
      <c r="DZ50" s="19">
        <f>+IF('Datos delta'!DI50&gt;0,REASIGN('Datos delta'!DI50,'Datos Protegidos'!$K50,PARTIDOS!DJ$8),0)</f>
        <v>104</v>
      </c>
      <c r="EA50" s="7">
        <v>0</v>
      </c>
      <c r="EB50" s="19">
        <f>+IF('Datos delta'!DK50&gt;0,REASIGN('Datos delta'!DK50,'Datos Protegidos'!$K50,PARTIDOS!DL$8),0)</f>
        <v>0</v>
      </c>
      <c r="EC50" s="7">
        <v>0</v>
      </c>
      <c r="ED50" s="19">
        <f>+IF('Datos delta'!DM50&gt;0,REASIGN('Datos delta'!DM50,'Datos Protegidos'!$K50,PARTIDOS!DN$8),0)</f>
        <v>0</v>
      </c>
      <c r="EE50" s="7">
        <v>0</v>
      </c>
      <c r="EF50" s="19">
        <f>+IF('Datos delta'!DO50&gt;0,REASIGN('Datos delta'!DO50,'Datos Protegidos'!$K50,PARTIDOS!DP$8),0)</f>
        <v>0</v>
      </c>
      <c r="EG50" s="7">
        <v>0</v>
      </c>
      <c r="EH50" s="19">
        <f>+IF('Datos delta'!DQ50&gt;0,REASIGN('Datos delta'!DQ50,'Datos Protegidos'!$K50,PARTIDOS!DR$8),0)</f>
        <v>0</v>
      </c>
      <c r="EI50" s="7">
        <v>0</v>
      </c>
      <c r="EJ50" s="19">
        <f>+IF('Datos delta'!DS50&gt;0,REASIGN('Datos delta'!DS50,'Datos Protegidos'!$K50,PARTIDOS!DT$8),0)</f>
        <v>0</v>
      </c>
      <c r="EK50" s="7">
        <v>0</v>
      </c>
      <c r="EL50" s="19">
        <f>+IF('Datos delta'!DU50&gt;0,REASIGN('Datos delta'!DU50,'Datos Protegidos'!$K50,PARTIDOS!DV$8),0)</f>
        <v>0</v>
      </c>
      <c r="EM50" s="7">
        <v>0</v>
      </c>
      <c r="EN50" s="19">
        <f>+IF('Datos delta'!DW50&gt;0,REASIGN('Datos delta'!DW50,'Datos Protegidos'!$K50,PARTIDOS!DX$8),0)</f>
        <v>0</v>
      </c>
      <c r="EO50" s="7">
        <v>0</v>
      </c>
      <c r="EP50" s="19">
        <f>+IF('Datos delta'!DY50&gt;0,REASIGN('Datos delta'!DY50,'Datos Protegidos'!$K50,PARTIDOS!DZ$8),0)</f>
        <v>0</v>
      </c>
      <c r="EQ50" s="7">
        <v>0</v>
      </c>
      <c r="ER50" s="19">
        <f>+IF('Datos delta'!EA50&gt;0,REASIGN('Datos delta'!EA50,'Datos Protegidos'!$K50,PARTIDOS!EB$8),0)</f>
        <v>0</v>
      </c>
      <c r="ES50" s="7">
        <v>0</v>
      </c>
      <c r="ET50" s="19">
        <f>+IF('Datos delta'!EC50&gt;0,REASIGN('Datos delta'!EC50,'Datos Protegidos'!$K50,PARTIDOS!ED$8),0)</f>
        <v>0</v>
      </c>
      <c r="EU50" s="7">
        <v>0</v>
      </c>
    </row>
    <row r="51" spans="1:151" x14ac:dyDescent="0.25">
      <c r="A51" s="7" t="s">
        <v>77</v>
      </c>
      <c r="B51" s="8">
        <v>46</v>
      </c>
      <c r="C51" s="7" t="s">
        <v>80</v>
      </c>
      <c r="D51" s="9">
        <v>2547986</v>
      </c>
      <c r="E51" s="1">
        <v>3107</v>
      </c>
      <c r="F51" s="1">
        <v>1907174</v>
      </c>
      <c r="G51" s="1">
        <v>63022</v>
      </c>
      <c r="H51" s="1">
        <v>1970196</v>
      </c>
      <c r="I51" s="1"/>
      <c r="J51" s="1"/>
      <c r="K51" s="1"/>
      <c r="L51" s="3">
        <f t="shared" si="1"/>
        <v>1427906</v>
      </c>
      <c r="M51" s="3">
        <f t="shared" si="2"/>
        <v>1415759</v>
      </c>
      <c r="N51" s="6">
        <f t="shared" si="0"/>
        <v>1404961</v>
      </c>
      <c r="O51" s="1">
        <v>10798</v>
      </c>
      <c r="P51" s="1">
        <v>12147</v>
      </c>
      <c r="Q51" s="6">
        <f t="shared" si="3"/>
        <v>15</v>
      </c>
      <c r="R51" s="19">
        <f>+IF('Datos delta'!A51&gt;0,REASIGN('Datos delta'!A51,'Datos Protegidos'!$K51,PARTIDOS!B$8),0)</f>
        <v>405354</v>
      </c>
      <c r="S51" s="7">
        <v>4</v>
      </c>
      <c r="T51" s="19">
        <f>+IF('Datos delta'!C51&gt;0,REASIGN('Datos delta'!C51,'Datos Protegidos'!$K51,PARTIDOS!D$8),0)</f>
        <v>398523</v>
      </c>
      <c r="U51" s="7">
        <v>4</v>
      </c>
      <c r="V51" s="19">
        <f>+IF('Datos delta'!E51&gt;0,REASIGN('Datos delta'!E51,'Datos Protegidos'!$K51,PARTIDOS!F$8),0)</f>
        <v>250807</v>
      </c>
      <c r="W51" s="7">
        <v>3</v>
      </c>
      <c r="X51" s="19">
        <f>+IF('Datos delta'!G51&gt;0,REASIGN('Datos delta'!G51,'Datos Protegidos'!$K51,PARTIDOS!H$8),0)</f>
        <v>201402</v>
      </c>
      <c r="Y51" s="7">
        <v>2</v>
      </c>
      <c r="Z51" s="19">
        <f>+IF('Datos delta'!I51&gt;0,REASIGN('Datos delta'!I51,'Datos Protegidos'!$K51,PARTIDOS!J$8),0)</f>
        <v>0</v>
      </c>
      <c r="AA51" s="7">
        <v>0</v>
      </c>
      <c r="AB51" s="19">
        <f>+IF('Datos delta'!K51&gt;0,REASIGN('Datos delta'!K51,'Datos Protegidos'!$K51,PARTIDOS!L$8),0)</f>
        <v>0</v>
      </c>
      <c r="AC51" s="7">
        <v>1</v>
      </c>
      <c r="AD51" s="19">
        <f>+IF('Datos delta'!M51&gt;0,REASIGN('Datos delta'!M51,'Datos Protegidos'!$K51,PARTIDOS!N$8),0)</f>
        <v>0</v>
      </c>
      <c r="AE51" s="7">
        <v>0</v>
      </c>
      <c r="AF51" s="19">
        <f>+IF('Datos delta'!O51&gt;0,REASIGN('Datos delta'!O51,'Datos Protegidos'!$K51,PARTIDOS!P$8),0)</f>
        <v>0</v>
      </c>
      <c r="AG51" s="7">
        <v>0</v>
      </c>
      <c r="AH51" s="19">
        <f>+IF('Datos delta'!Q51&gt;0,REASIGN('Datos delta'!Q51,'Datos Protegidos'!$K51,PARTIDOS!R$8),0)</f>
        <v>0</v>
      </c>
      <c r="AI51" s="7">
        <v>0</v>
      </c>
      <c r="AJ51" s="19">
        <f>+IF('Datos delta'!S51&gt;0,REASIGN('Datos delta'!S51,'Datos Protegidos'!$K51,PARTIDOS!T$8),0)</f>
        <v>0</v>
      </c>
      <c r="AK51" s="7">
        <v>0</v>
      </c>
      <c r="AL51" s="19">
        <f>+IF('Datos delta'!U51&gt;0,REASIGN('Datos delta'!U51,'Datos Protegidos'!$K51,PARTIDOS!V$8),0)</f>
        <v>0</v>
      </c>
      <c r="AM51" s="7">
        <v>0</v>
      </c>
      <c r="AN51" s="19">
        <f>+IF('Datos delta'!W51&gt;0,REASIGN('Datos delta'!W51,'Datos Protegidos'!$K51,PARTIDOS!X$8),0)</f>
        <v>0</v>
      </c>
      <c r="AO51" s="7">
        <v>0</v>
      </c>
      <c r="AP51" s="19">
        <f>+IF('Datos delta'!Y51&gt;0,REASIGN('Datos delta'!Y51,'Datos Protegidos'!$K51,PARTIDOS!Z$8),0)</f>
        <v>0</v>
      </c>
      <c r="AQ51" s="7">
        <v>0</v>
      </c>
      <c r="AR51" s="19">
        <f>+IF('Datos delta'!AA51&gt;0,REASIGN('Datos delta'!AA51,'Datos Protegidos'!$K51,PARTIDOS!AB$8),0)</f>
        <v>0</v>
      </c>
      <c r="AS51" s="7">
        <v>0</v>
      </c>
      <c r="AT51" s="19">
        <f>+IF('Datos delta'!AC51&gt;0,REASIGN('Datos delta'!AC51,'Datos Protegidos'!$K51,PARTIDOS!AD$8),0)</f>
        <v>0</v>
      </c>
      <c r="AU51" s="7">
        <v>0</v>
      </c>
      <c r="AV51" s="19">
        <f>+IF('Datos delta'!AE51&gt;0,REASIGN('Datos delta'!AE51,'Datos Protegidos'!$K51,PARTIDOS!AF$8),0)</f>
        <v>119471</v>
      </c>
      <c r="AW51" s="7">
        <v>1</v>
      </c>
      <c r="AX51" s="19">
        <f>+IF('Datos delta'!AG51&gt;0,REASIGN('Datos delta'!AG51,'Datos Protegidos'!$K51,PARTIDOS!AH$8),0)</f>
        <v>0</v>
      </c>
      <c r="AY51" s="7">
        <v>0</v>
      </c>
      <c r="AZ51" s="19">
        <f>+IF('Datos delta'!AI51&gt;0,REASIGN('Datos delta'!AI51,'Datos Protegidos'!$K51,PARTIDOS!AJ$8),0)</f>
        <v>0</v>
      </c>
      <c r="BA51" s="7">
        <v>0</v>
      </c>
      <c r="BB51" s="19">
        <f>+IF('Datos delta'!AK51&gt;0,REASIGN('Datos delta'!AK51,'Datos Protegidos'!$K51,PARTIDOS!AL$8),0)</f>
        <v>0</v>
      </c>
      <c r="BC51" s="7">
        <v>0</v>
      </c>
      <c r="BD51" s="19">
        <f>+IF('Datos delta'!AM51&gt;0,REASIGN('Datos delta'!AM51,'Datos Protegidos'!$K51,PARTIDOS!AN$8),0)</f>
        <v>15318</v>
      </c>
      <c r="BE51" s="7">
        <v>0</v>
      </c>
      <c r="BF51" s="19">
        <f>+IF('Datos delta'!AO51&gt;0,REASIGN('Datos delta'!AO51,'Datos Protegidos'!$K51,PARTIDOS!AP$8),0)</f>
        <v>0</v>
      </c>
      <c r="BG51" s="7">
        <v>0</v>
      </c>
      <c r="BH51" s="19">
        <f>+IF('Datos delta'!AQ51&gt;0,REASIGN('Datos delta'!AQ51,'Datos Protegidos'!$K51,PARTIDOS!AR$8),0)</f>
        <v>1532</v>
      </c>
      <c r="BI51" s="7">
        <v>0</v>
      </c>
      <c r="BJ51" s="19">
        <f>+IF('Datos delta'!AS51&gt;0,REASIGN('Datos delta'!AS51,'Datos Protegidos'!$K51,PARTIDOS!AT$8),0)</f>
        <v>1003</v>
      </c>
      <c r="BK51" s="7">
        <v>0</v>
      </c>
      <c r="BL51" s="19">
        <f>+IF('Datos delta'!AU51&gt;0,REASIGN('Datos delta'!AU51,'Datos Protegidos'!$K51,PARTIDOS!AV$8),0)</f>
        <v>0</v>
      </c>
      <c r="BM51" s="7">
        <v>0</v>
      </c>
      <c r="BN51" s="19">
        <f>+IF('Datos delta'!AW51&gt;0,REASIGN('Datos delta'!AW51,'Datos Protegidos'!$K51,PARTIDOS!AX$8),0)</f>
        <v>0</v>
      </c>
      <c r="BO51" s="7">
        <v>0</v>
      </c>
      <c r="BP51" s="19">
        <f>+IF('Datos delta'!AY51&gt;0,REASIGN('Datos delta'!AY51,'Datos Protegidos'!$K51,PARTIDOS!AZ$8),0)</f>
        <v>0</v>
      </c>
      <c r="BQ51" s="7">
        <v>0</v>
      </c>
      <c r="BR51" s="19">
        <f>+IF('Datos delta'!BA51&gt;0,REASIGN('Datos delta'!BA51,'Datos Protegidos'!$K51,PARTIDOS!BB$8),0)</f>
        <v>1199</v>
      </c>
      <c r="BS51" s="7">
        <v>0</v>
      </c>
      <c r="BT51" s="19">
        <f>+IF('Datos delta'!BC51&gt;0,REASIGN('Datos delta'!BC51,'Datos Protegidos'!$K51,PARTIDOS!BD$8),0)</f>
        <v>0</v>
      </c>
      <c r="BU51" s="7">
        <v>0</v>
      </c>
      <c r="BV51" s="19">
        <f>+IF('Datos delta'!BE51&gt;0,REASIGN('Datos delta'!BE51,'Datos Protegidos'!$K51,PARTIDOS!BF$8),0)</f>
        <v>0</v>
      </c>
      <c r="BW51" s="7">
        <v>0</v>
      </c>
      <c r="BX51" s="19">
        <f>+IF('Datos delta'!BG51&gt;0,REASIGN('Datos delta'!BG51,'Datos Protegidos'!$K51,PARTIDOS!BH$8),0)</f>
        <v>0</v>
      </c>
      <c r="BY51" s="7">
        <v>0</v>
      </c>
      <c r="BZ51" s="19">
        <f>+IF('Datos delta'!BI51&gt;0,REASIGN('Datos delta'!BI51,'Datos Protegidos'!$K51,PARTIDOS!BJ$8),0)</f>
        <v>0</v>
      </c>
      <c r="CA51" s="7">
        <v>0</v>
      </c>
      <c r="CB51" s="19">
        <f>+IF('Datos delta'!BK51&gt;0,REASIGN('Datos delta'!BK51,'Datos Protegidos'!$K51,PARTIDOS!BL$8),0)</f>
        <v>0</v>
      </c>
      <c r="CC51" s="7">
        <v>0</v>
      </c>
      <c r="CD51" s="19">
        <f>+IF('Datos delta'!BM51&gt;0,REASIGN('Datos delta'!BM51,'Datos Protegidos'!$K51,PARTIDOS!BN$8),0)</f>
        <v>0</v>
      </c>
      <c r="CE51" s="7">
        <v>0</v>
      </c>
      <c r="CF51" s="19">
        <f>+IF('Datos delta'!BO51&gt;0,REASIGN('Datos delta'!BO51,'Datos Protegidos'!$K51,PARTIDOS!BP$8),0)</f>
        <v>3008</v>
      </c>
      <c r="CG51" s="7">
        <v>0</v>
      </c>
      <c r="CH51" s="19">
        <f>+IF('Datos delta'!BQ51&gt;0,REASIGN('Datos delta'!BQ51,'Datos Protegidos'!$K51,PARTIDOS!BR$8),0)</f>
        <v>0</v>
      </c>
      <c r="CI51" s="7">
        <v>0</v>
      </c>
      <c r="CJ51" s="19">
        <f>+IF('Datos delta'!BS51&gt;0,REASIGN('Datos delta'!BS51,'Datos Protegidos'!$K51,PARTIDOS!BT$8),0)</f>
        <v>2660</v>
      </c>
      <c r="CK51" s="7">
        <v>0</v>
      </c>
      <c r="CL51" s="19">
        <f>+IF('Datos delta'!BU51&gt;0,REASIGN('Datos delta'!BU51,'Datos Protegidos'!$K51,PARTIDOS!BV$8),0)</f>
        <v>0</v>
      </c>
      <c r="CM51" s="7">
        <v>0</v>
      </c>
      <c r="CN51" s="19">
        <f>+IF('Datos delta'!BW51&gt;0,REASIGN('Datos delta'!BW51,'Datos Protegidos'!$K51,PARTIDOS!BX$8),0)</f>
        <v>0</v>
      </c>
      <c r="CO51" s="7">
        <v>0</v>
      </c>
      <c r="CP51" s="19">
        <f>+IF('Datos delta'!BY51&gt;0,REASIGN('Datos delta'!BY51,'Datos Protegidos'!$K51,PARTIDOS!BZ$8),0)</f>
        <v>0</v>
      </c>
      <c r="CQ51" s="7">
        <v>0</v>
      </c>
      <c r="CR51" s="19">
        <f>+IF('Datos delta'!CA51&gt;0,REASIGN('Datos delta'!CA51,'Datos Protegidos'!$K51,PARTIDOS!CB$8),0)</f>
        <v>2280</v>
      </c>
      <c r="CS51" s="7">
        <v>0</v>
      </c>
      <c r="CT51" s="19">
        <f>+IF('Datos delta'!CC51&gt;0,REASIGN('Datos delta'!CC51,'Datos Protegidos'!$K51,PARTIDOS!CD$8),0)</f>
        <v>0</v>
      </c>
      <c r="CU51" s="7">
        <v>0</v>
      </c>
      <c r="CV51" s="19">
        <f>+IF('Datos delta'!CE51&gt;0,REASIGN('Datos delta'!CE51,'Datos Protegidos'!$K51,PARTIDOS!CF$8),0)</f>
        <v>0</v>
      </c>
      <c r="CW51" s="7">
        <v>0</v>
      </c>
      <c r="CX51" s="19">
        <f>+IF('Datos delta'!CG51&gt;0,REASIGN('Datos delta'!CG51,'Datos Protegidos'!$K51,PARTIDOS!CH$8),0)</f>
        <v>0</v>
      </c>
      <c r="CY51" s="7">
        <v>0</v>
      </c>
      <c r="CZ51" s="19">
        <f>+IF('Datos delta'!CI51&gt;0,REASIGN('Datos delta'!CI51,'Datos Protegidos'!$K51,PARTIDOS!CJ$8),0)</f>
        <v>875</v>
      </c>
      <c r="DA51" s="7">
        <v>0</v>
      </c>
      <c r="DB51" s="19">
        <f>+IF('Datos delta'!CK51&gt;0,REASIGN('Datos delta'!CK51,'Datos Protegidos'!$K51,PARTIDOS!CL$8),0)</f>
        <v>0</v>
      </c>
      <c r="DC51" s="7">
        <v>0</v>
      </c>
      <c r="DD51" s="19">
        <f>+IF('Datos delta'!CM51&gt;0,REASIGN('Datos delta'!CM51,'Datos Protegidos'!$K51,PARTIDOS!CN$8),0)</f>
        <v>0</v>
      </c>
      <c r="DE51" s="7">
        <v>0</v>
      </c>
      <c r="DF51" s="19">
        <f>+IF('Datos delta'!CO51&gt;0,REASIGN('Datos delta'!CO51,'Datos Protegidos'!$K51,PARTIDOS!CP$8),0)</f>
        <v>0</v>
      </c>
      <c r="DG51" s="7">
        <v>0</v>
      </c>
      <c r="DH51" s="19">
        <f>+IF('Datos delta'!CQ51&gt;0,REASIGN('Datos delta'!CQ51,'Datos Protegidos'!$K51,PARTIDOS!CR$8),0)</f>
        <v>0</v>
      </c>
      <c r="DI51" s="7">
        <v>0</v>
      </c>
      <c r="DJ51" s="19">
        <f>+IF('Datos delta'!CS51&gt;0,REASIGN('Datos delta'!CS51,'Datos Protegidos'!$K51,PARTIDOS!CT$8),0)</f>
        <v>0</v>
      </c>
      <c r="DK51" s="7">
        <v>0</v>
      </c>
      <c r="DL51" s="19">
        <f>+IF('Datos delta'!CU51&gt;0,REASIGN('Datos delta'!CU51,'Datos Protegidos'!$K51,PARTIDOS!CV$8),0)</f>
        <v>0</v>
      </c>
      <c r="DM51" s="7">
        <v>0</v>
      </c>
      <c r="DN51" s="19">
        <f>+IF('Datos delta'!CW51&gt;0,REASIGN('Datos delta'!CW51,'Datos Protegidos'!$K51,PARTIDOS!CX$8),0)</f>
        <v>1061</v>
      </c>
      <c r="DO51" s="7">
        <v>0</v>
      </c>
      <c r="DP51" s="19">
        <f>+IF('Datos delta'!CY51&gt;0,REASIGN('Datos delta'!CY51,'Datos Protegidos'!$K51,PARTIDOS!CZ$8),0)</f>
        <v>0</v>
      </c>
      <c r="DQ51" s="7">
        <v>0</v>
      </c>
      <c r="DR51" s="19">
        <f>+IF('Datos delta'!DA51&gt;0,REASIGN('Datos delta'!DA51,'Datos Protegidos'!$K51,PARTIDOS!DB$8),0)</f>
        <v>0</v>
      </c>
      <c r="DS51" s="7">
        <v>0</v>
      </c>
      <c r="DT51" s="19">
        <f>+IF('Datos delta'!DC51&gt;0,REASIGN('Datos delta'!DC51,'Datos Protegidos'!$K51,PARTIDOS!DD$8),0)</f>
        <v>0</v>
      </c>
      <c r="DU51" s="7">
        <v>0</v>
      </c>
      <c r="DV51" s="19">
        <f>+IF('Datos delta'!DE51&gt;0,REASIGN('Datos delta'!DE51,'Datos Protegidos'!$K51,PARTIDOS!DF$8),0)</f>
        <v>0</v>
      </c>
      <c r="DW51" s="7">
        <v>0</v>
      </c>
      <c r="DX51" s="19">
        <f>+IF('Datos delta'!DG51&gt;0,REASIGN('Datos delta'!DG51,'Datos Protegidos'!$K51,PARTIDOS!DH$8),0)</f>
        <v>0</v>
      </c>
      <c r="DY51" s="7">
        <v>0</v>
      </c>
      <c r="DZ51" s="19">
        <f>+IF('Datos delta'!DI51&gt;0,REASIGN('Datos delta'!DI51,'Datos Protegidos'!$K51,PARTIDOS!DJ$8),0)</f>
        <v>468</v>
      </c>
      <c r="EA51" s="7">
        <v>0</v>
      </c>
      <c r="EB51" s="19">
        <f>+IF('Datos delta'!DK51&gt;0,REASIGN('Datos delta'!DK51,'Datos Protegidos'!$K51,PARTIDOS!DL$8),0)</f>
        <v>0</v>
      </c>
      <c r="EC51" s="7">
        <v>0</v>
      </c>
      <c r="ED51" s="19">
        <f>+IF('Datos delta'!DM51&gt;0,REASIGN('Datos delta'!DM51,'Datos Protegidos'!$K51,PARTIDOS!DN$8),0)</f>
        <v>0</v>
      </c>
      <c r="EE51" s="7">
        <v>0</v>
      </c>
      <c r="EF51" s="19">
        <f>+IF('Datos delta'!DO51&gt;0,REASIGN('Datos delta'!DO51,'Datos Protegidos'!$K51,PARTIDOS!DP$8),0)</f>
        <v>0</v>
      </c>
      <c r="EG51" s="7">
        <v>0</v>
      </c>
      <c r="EH51" s="19">
        <f>+IF('Datos delta'!DQ51&gt;0,REASIGN('Datos delta'!DQ51,'Datos Protegidos'!$K51,PARTIDOS!DR$8),0)</f>
        <v>0</v>
      </c>
      <c r="EI51" s="7">
        <v>0</v>
      </c>
      <c r="EJ51" s="19">
        <f>+IF('Datos delta'!DS51&gt;0,REASIGN('Datos delta'!DS51,'Datos Protegidos'!$K51,PARTIDOS!DT$8),0)</f>
        <v>0</v>
      </c>
      <c r="EK51" s="7">
        <v>0</v>
      </c>
      <c r="EL51" s="19">
        <f>+IF('Datos delta'!DU51&gt;0,REASIGN('Datos delta'!DU51,'Datos Protegidos'!$K51,PARTIDOS!DV$8),0)</f>
        <v>0</v>
      </c>
      <c r="EM51" s="7">
        <v>0</v>
      </c>
      <c r="EN51" s="19">
        <f>+IF('Datos delta'!DW51&gt;0,REASIGN('Datos delta'!DW51,'Datos Protegidos'!$K51,PARTIDOS!DX$8),0)</f>
        <v>0</v>
      </c>
      <c r="EO51" s="7">
        <v>0</v>
      </c>
      <c r="EP51" s="19">
        <f>+IF('Datos delta'!DY51&gt;0,REASIGN('Datos delta'!DY51,'Datos Protegidos'!$K51,PARTIDOS!DZ$8),0)</f>
        <v>0</v>
      </c>
      <c r="EQ51" s="7">
        <v>0</v>
      </c>
      <c r="ER51" s="19">
        <f>+IF('Datos delta'!EA51&gt;0,REASIGN('Datos delta'!EA51,'Datos Protegidos'!$K51,PARTIDOS!EB$8),0)</f>
        <v>0</v>
      </c>
      <c r="ES51" s="7">
        <v>0</v>
      </c>
      <c r="ET51" s="19">
        <f>+IF('Datos delta'!EC51&gt;0,REASIGN('Datos delta'!EC51,'Datos Protegidos'!$K51,PARTIDOS!ED$8),0)</f>
        <v>0</v>
      </c>
      <c r="EU51" s="7">
        <v>0</v>
      </c>
    </row>
    <row r="52" spans="1:151" x14ac:dyDescent="0.25">
      <c r="A52" s="7" t="s">
        <v>81</v>
      </c>
      <c r="B52" s="8">
        <v>51</v>
      </c>
      <c r="C52" s="7" t="s">
        <v>82</v>
      </c>
      <c r="D52" s="9">
        <v>85144</v>
      </c>
      <c r="E52">
        <v>96</v>
      </c>
      <c r="F52" s="1">
        <v>59820</v>
      </c>
      <c r="G52" s="1">
        <v>2693</v>
      </c>
      <c r="H52" s="1">
        <v>62513</v>
      </c>
      <c r="I52"/>
      <c r="J52" s="1"/>
      <c r="K52"/>
      <c r="L52" s="3">
        <f t="shared" si="1"/>
        <v>34594</v>
      </c>
      <c r="M52" s="3">
        <f t="shared" si="2"/>
        <v>34243</v>
      </c>
      <c r="N52" s="6">
        <f t="shared" si="0"/>
        <v>33919</v>
      </c>
      <c r="O52">
        <v>324</v>
      </c>
      <c r="P52">
        <v>351</v>
      </c>
      <c r="Q52" s="6">
        <f t="shared" si="3"/>
        <v>1</v>
      </c>
      <c r="R52" s="19">
        <f>+IF('Datos delta'!A52&gt;0,REASIGN('Datos delta'!A52,'Datos Protegidos'!$K52,PARTIDOS!B$8),0)</f>
        <v>11090</v>
      </c>
      <c r="S52" s="7">
        <v>0</v>
      </c>
      <c r="T52" s="19">
        <f>+IF('Datos delta'!C52&gt;0,REASIGN('Datos delta'!C52,'Datos Protegidos'!$K52,PARTIDOS!D$8),0)</f>
        <v>8497</v>
      </c>
      <c r="U52" s="7">
        <v>0</v>
      </c>
      <c r="V52" s="19">
        <f>+IF('Datos delta'!E52&gt;0,REASIGN('Datos delta'!E52,'Datos Protegidos'!$K52,PARTIDOS!F$8),0)</f>
        <v>11987</v>
      </c>
      <c r="W52" s="7">
        <v>1</v>
      </c>
      <c r="X52" s="19">
        <f>+IF('Datos delta'!G52&gt;0,REASIGN('Datos delta'!G52,'Datos Protegidos'!$K52,PARTIDOS!H$8),0)</f>
        <v>1365</v>
      </c>
      <c r="Y52" s="7">
        <v>0</v>
      </c>
      <c r="Z52" s="19">
        <f>+IF('Datos delta'!I52&gt;0,REASIGN('Datos delta'!I52,'Datos Protegidos'!$K52,PARTIDOS!J$8),0)</f>
        <v>0</v>
      </c>
      <c r="AA52" s="7">
        <v>0</v>
      </c>
      <c r="AB52" s="19">
        <f>+IF('Datos delta'!K52&gt;0,REASIGN('Datos delta'!K52,'Datos Protegidos'!$K52,PARTIDOS!L$8),0)</f>
        <v>0</v>
      </c>
      <c r="AC52" s="7">
        <v>0</v>
      </c>
      <c r="AD52" s="19">
        <f>+IF('Datos delta'!M52&gt;0,REASIGN('Datos delta'!M52,'Datos Protegidos'!$K52,PARTIDOS!N$8),0)</f>
        <v>0</v>
      </c>
      <c r="AE52" s="7">
        <v>0</v>
      </c>
      <c r="AF52" s="19">
        <f>+IF('Datos delta'!O52&gt;0,REASIGN('Datos delta'!O52,'Datos Protegidos'!$K52,PARTIDOS!P$8),0)</f>
        <v>0</v>
      </c>
      <c r="AG52" s="7">
        <v>0</v>
      </c>
      <c r="AH52" s="19">
        <f>+IF('Datos delta'!Q52&gt;0,REASIGN('Datos delta'!Q52,'Datos Protegidos'!$K52,PARTIDOS!R$8),0)</f>
        <v>0</v>
      </c>
      <c r="AI52" s="7">
        <v>0</v>
      </c>
      <c r="AJ52" s="19">
        <f>+IF('Datos delta'!S52&gt;0,REASIGN('Datos delta'!S52,'Datos Protegidos'!$K52,PARTIDOS!T$8),0)</f>
        <v>0</v>
      </c>
      <c r="AK52" s="7">
        <v>0</v>
      </c>
      <c r="AL52" s="19">
        <f>+IF('Datos delta'!U52&gt;0,REASIGN('Datos delta'!U52,'Datos Protegidos'!$K52,PARTIDOS!V$8),0)</f>
        <v>0</v>
      </c>
      <c r="AM52" s="7">
        <v>0</v>
      </c>
      <c r="AN52" s="19">
        <f>+IF('Datos delta'!W52&gt;0,REASIGN('Datos delta'!W52,'Datos Protegidos'!$K52,PARTIDOS!X$8),0)</f>
        <v>0</v>
      </c>
      <c r="AO52" s="7">
        <v>0</v>
      </c>
      <c r="AP52" s="19">
        <f>+IF('Datos delta'!Y52&gt;0,REASIGN('Datos delta'!Y52,'Datos Protegidos'!$K52,PARTIDOS!Z$8),0)</f>
        <v>0</v>
      </c>
      <c r="AQ52" s="7">
        <v>0</v>
      </c>
      <c r="AR52" s="19">
        <f>+IF('Datos delta'!AA52&gt;0,REASIGN('Datos delta'!AA52,'Datos Protegidos'!$K52,PARTIDOS!AB$8),0)</f>
        <v>0</v>
      </c>
      <c r="AS52" s="7">
        <v>0</v>
      </c>
      <c r="AT52" s="19">
        <f>+IF('Datos delta'!AC52&gt;0,REASIGN('Datos delta'!AC52,'Datos Protegidos'!$K52,PARTIDOS!AD$8),0)</f>
        <v>0</v>
      </c>
      <c r="AU52" s="7">
        <v>0</v>
      </c>
      <c r="AV52" s="19">
        <f>+IF('Datos delta'!AE52&gt;0,REASIGN('Datos delta'!AE52,'Datos Protegidos'!$K52,PARTIDOS!AF$8),0)</f>
        <v>0</v>
      </c>
      <c r="AW52" s="7">
        <v>0</v>
      </c>
      <c r="AX52" s="19">
        <f>+IF('Datos delta'!AG52&gt;0,REASIGN('Datos delta'!AG52,'Datos Protegidos'!$K52,PARTIDOS!AH$8),0)</f>
        <v>0</v>
      </c>
      <c r="AY52" s="7">
        <v>0</v>
      </c>
      <c r="AZ52" s="19">
        <f>+IF('Datos delta'!AI52&gt;0,REASIGN('Datos delta'!AI52,'Datos Protegidos'!$K52,PARTIDOS!AJ$8),0)</f>
        <v>0</v>
      </c>
      <c r="BA52" s="7">
        <v>0</v>
      </c>
      <c r="BB52" s="19">
        <f>+IF('Datos delta'!AK52&gt;0,REASIGN('Datos delta'!AK52,'Datos Protegidos'!$K52,PARTIDOS!AL$8),0)</f>
        <v>0</v>
      </c>
      <c r="BC52" s="7">
        <v>0</v>
      </c>
      <c r="BD52" s="19">
        <f>+IF('Datos delta'!AM52&gt;0,REASIGN('Datos delta'!AM52,'Datos Protegidos'!$K52,PARTIDOS!AN$8),0)</f>
        <v>0</v>
      </c>
      <c r="BE52" s="7">
        <v>0</v>
      </c>
      <c r="BF52" s="19">
        <f>+IF('Datos delta'!AO52&gt;0,REASIGN('Datos delta'!AO52,'Datos Protegidos'!$K52,PARTIDOS!AP$8),0)</f>
        <v>0</v>
      </c>
      <c r="BG52" s="7">
        <v>0</v>
      </c>
      <c r="BH52" s="19">
        <f>+IF('Datos delta'!AQ52&gt;0,REASIGN('Datos delta'!AQ52,'Datos Protegidos'!$K52,PARTIDOS!AR$8),0)</f>
        <v>124</v>
      </c>
      <c r="BI52" s="7">
        <v>0</v>
      </c>
      <c r="BJ52" s="19">
        <f>+IF('Datos delta'!AS52&gt;0,REASIGN('Datos delta'!AS52,'Datos Protegidos'!$K52,PARTIDOS!AT$8),0)</f>
        <v>42</v>
      </c>
      <c r="BK52" s="7">
        <v>0</v>
      </c>
      <c r="BL52" s="19">
        <f>+IF('Datos delta'!AU52&gt;0,REASIGN('Datos delta'!AU52,'Datos Protegidos'!$K52,PARTIDOS!AV$8),0)</f>
        <v>0</v>
      </c>
      <c r="BM52" s="7">
        <v>0</v>
      </c>
      <c r="BN52" s="19">
        <f>+IF('Datos delta'!AW52&gt;0,REASIGN('Datos delta'!AW52,'Datos Protegidos'!$K52,PARTIDOS!AX$8),0)</f>
        <v>0</v>
      </c>
      <c r="BO52" s="7">
        <v>0</v>
      </c>
      <c r="BP52" s="19">
        <f>+IF('Datos delta'!AY52&gt;0,REASIGN('Datos delta'!AY52,'Datos Protegidos'!$K52,PARTIDOS!AZ$8),0)</f>
        <v>0</v>
      </c>
      <c r="BQ52" s="7">
        <v>0</v>
      </c>
      <c r="BR52" s="19">
        <f>+IF('Datos delta'!BA52&gt;0,REASIGN('Datos delta'!BA52,'Datos Protegidos'!$K52,PARTIDOS!BB$8),0)</f>
        <v>0</v>
      </c>
      <c r="BS52" s="7">
        <v>0</v>
      </c>
      <c r="BT52" s="19">
        <f>+IF('Datos delta'!BC52&gt;0,REASIGN('Datos delta'!BC52,'Datos Protegidos'!$K52,PARTIDOS!BD$8),0)</f>
        <v>0</v>
      </c>
      <c r="BU52" s="7">
        <v>0</v>
      </c>
      <c r="BV52" s="19">
        <f>+IF('Datos delta'!BE52&gt;0,REASIGN('Datos delta'!BE52,'Datos Protegidos'!$K52,PARTIDOS!BF$8),0)</f>
        <v>0</v>
      </c>
      <c r="BW52" s="7">
        <v>0</v>
      </c>
      <c r="BX52" s="19">
        <f>+IF('Datos delta'!BG52&gt;0,REASIGN('Datos delta'!BG52,'Datos Protegidos'!$K52,PARTIDOS!BH$8),0)</f>
        <v>0</v>
      </c>
      <c r="BY52" s="7">
        <v>0</v>
      </c>
      <c r="BZ52" s="19">
        <f>+IF('Datos delta'!BI52&gt;0,REASIGN('Datos delta'!BI52,'Datos Protegidos'!$K52,PARTIDOS!BJ$8),0)</f>
        <v>0</v>
      </c>
      <c r="CA52" s="7">
        <v>0</v>
      </c>
      <c r="CB52" s="19">
        <f>+IF('Datos delta'!BK52&gt;0,REASIGN('Datos delta'!BK52,'Datos Protegidos'!$K52,PARTIDOS!BL$8),0)</f>
        <v>0</v>
      </c>
      <c r="CC52" s="7">
        <v>0</v>
      </c>
      <c r="CD52" s="19">
        <f>+IF('Datos delta'!BM52&gt;0,REASIGN('Datos delta'!BM52,'Datos Protegidos'!$K52,PARTIDOS!BN$8),0)</f>
        <v>0</v>
      </c>
      <c r="CE52" s="7">
        <v>0</v>
      </c>
      <c r="CF52" s="19">
        <f>+IF('Datos delta'!BO52&gt;0,REASIGN('Datos delta'!BO52,'Datos Protegidos'!$K52,PARTIDOS!BP$8),0)</f>
        <v>0</v>
      </c>
      <c r="CG52" s="7">
        <v>0</v>
      </c>
      <c r="CH52" s="19">
        <f>+IF('Datos delta'!BQ52&gt;0,REASIGN('Datos delta'!BQ52,'Datos Protegidos'!$K52,PARTIDOS!BR$8),0)</f>
        <v>0</v>
      </c>
      <c r="CI52" s="7">
        <v>0</v>
      </c>
      <c r="CJ52" s="19">
        <f>+IF('Datos delta'!BS52&gt;0,REASIGN('Datos delta'!BS52,'Datos Protegidos'!$K52,PARTIDOS!BT$8),0)</f>
        <v>0</v>
      </c>
      <c r="CK52" s="7">
        <v>0</v>
      </c>
      <c r="CL52" s="19">
        <f>+IF('Datos delta'!BU52&gt;0,REASIGN('Datos delta'!BU52,'Datos Protegidos'!$K52,PARTIDOS!BV$8),0)</f>
        <v>0</v>
      </c>
      <c r="CM52" s="7">
        <v>0</v>
      </c>
      <c r="CN52" s="19">
        <f>+IF('Datos delta'!BW52&gt;0,REASIGN('Datos delta'!BW52,'Datos Protegidos'!$K52,PARTIDOS!BX$8),0)</f>
        <v>0</v>
      </c>
      <c r="CO52" s="7">
        <v>0</v>
      </c>
      <c r="CP52" s="19">
        <f>+IF('Datos delta'!BY52&gt;0,REASIGN('Datos delta'!BY52,'Datos Protegidos'!$K52,PARTIDOS!BZ$8),0)</f>
        <v>0</v>
      </c>
      <c r="CQ52" s="7">
        <v>0</v>
      </c>
      <c r="CR52" s="19">
        <f>+IF('Datos delta'!CA52&gt;0,REASIGN('Datos delta'!CA52,'Datos Protegidos'!$K52,PARTIDOS!CB$8),0)</f>
        <v>0</v>
      </c>
      <c r="CS52" s="7">
        <v>0</v>
      </c>
      <c r="CT52" s="19">
        <f>+IF('Datos delta'!CC52&gt;0,REASIGN('Datos delta'!CC52,'Datos Protegidos'!$K52,PARTIDOS!CD$8),0)</f>
        <v>0</v>
      </c>
      <c r="CU52" s="7">
        <v>0</v>
      </c>
      <c r="CV52" s="19">
        <f>+IF('Datos delta'!CE52&gt;0,REASIGN('Datos delta'!CE52,'Datos Protegidos'!$K52,PARTIDOS!CF$8),0)</f>
        <v>0</v>
      </c>
      <c r="CW52" s="7">
        <v>0</v>
      </c>
      <c r="CX52" s="19">
        <f>+IF('Datos delta'!CG52&gt;0,REASIGN('Datos delta'!CG52,'Datos Protegidos'!$K52,PARTIDOS!CH$8),0)</f>
        <v>0</v>
      </c>
      <c r="CY52" s="7">
        <v>0</v>
      </c>
      <c r="CZ52" s="19">
        <f>+IF('Datos delta'!CI52&gt;0,REASIGN('Datos delta'!CI52,'Datos Protegidos'!$K52,PARTIDOS!CJ$8),0)</f>
        <v>0</v>
      </c>
      <c r="DA52" s="7">
        <v>0</v>
      </c>
      <c r="DB52" s="19">
        <f>+IF('Datos delta'!CK52&gt;0,REASIGN('Datos delta'!CK52,'Datos Protegidos'!$K52,PARTIDOS!CL$8),0)</f>
        <v>0</v>
      </c>
      <c r="DC52" s="7">
        <v>0</v>
      </c>
      <c r="DD52" s="19">
        <f>+IF('Datos delta'!CM52&gt;0,REASIGN('Datos delta'!CM52,'Datos Protegidos'!$K52,PARTIDOS!CN$8),0)</f>
        <v>0</v>
      </c>
      <c r="DE52" s="7">
        <v>0</v>
      </c>
      <c r="DF52" s="19">
        <f>+IF('Datos delta'!CO52&gt;0,REASIGN('Datos delta'!CO52,'Datos Protegidos'!$K52,PARTIDOS!CP$8),0)</f>
        <v>0</v>
      </c>
      <c r="DG52" s="7">
        <v>0</v>
      </c>
      <c r="DH52" s="19">
        <f>+IF('Datos delta'!CQ52&gt;0,REASIGN('Datos delta'!CQ52,'Datos Protegidos'!$K52,PARTIDOS!CR$8),0)</f>
        <v>0</v>
      </c>
      <c r="DI52" s="7">
        <v>0</v>
      </c>
      <c r="DJ52" s="19">
        <f>+IF('Datos delta'!CS52&gt;0,REASIGN('Datos delta'!CS52,'Datos Protegidos'!$K52,PARTIDOS!CT$8),0)</f>
        <v>0</v>
      </c>
      <c r="DK52" s="7">
        <v>0</v>
      </c>
      <c r="DL52" s="19">
        <f>+IF('Datos delta'!CU52&gt;0,REASIGN('Datos delta'!CU52,'Datos Protegidos'!$K52,PARTIDOS!CV$8),0)</f>
        <v>0</v>
      </c>
      <c r="DM52" s="7">
        <v>0</v>
      </c>
      <c r="DN52" s="19">
        <f>+IF('Datos delta'!CW52&gt;0,REASIGN('Datos delta'!CW52,'Datos Protegidos'!$K52,PARTIDOS!CX$8),0)</f>
        <v>0</v>
      </c>
      <c r="DO52" s="7">
        <v>0</v>
      </c>
      <c r="DP52" s="19">
        <f>+IF('Datos delta'!CY52&gt;0,REASIGN('Datos delta'!CY52,'Datos Protegidos'!$K52,PARTIDOS!CZ$8),0)</f>
        <v>0</v>
      </c>
      <c r="DQ52" s="7">
        <v>0</v>
      </c>
      <c r="DR52" s="19">
        <f>+IF('Datos delta'!DA52&gt;0,REASIGN('Datos delta'!DA52,'Datos Protegidos'!$K52,PARTIDOS!DB$8),0)</f>
        <v>0</v>
      </c>
      <c r="DS52" s="7">
        <v>0</v>
      </c>
      <c r="DT52" s="19">
        <f>+IF('Datos delta'!DC52&gt;0,REASIGN('Datos delta'!DC52,'Datos Protegidos'!$K52,PARTIDOS!DD$8),0)</f>
        <v>814</v>
      </c>
      <c r="DU52" s="7">
        <v>0</v>
      </c>
      <c r="DV52" s="19">
        <f>+IF('Datos delta'!DE52&gt;0,REASIGN('Datos delta'!DE52,'Datos Protegidos'!$K52,PARTIDOS!DF$8),0)</f>
        <v>0</v>
      </c>
      <c r="DW52" s="7">
        <v>0</v>
      </c>
      <c r="DX52" s="19">
        <f>+IF('Datos delta'!DG52&gt;0,REASIGN('Datos delta'!DG52,'Datos Protegidos'!$K52,PARTIDOS!DH$8),0)</f>
        <v>0</v>
      </c>
      <c r="DY52" s="7">
        <v>0</v>
      </c>
      <c r="DZ52" s="19">
        <f>+IF('Datos delta'!DI52&gt;0,REASIGN('Datos delta'!DI52,'Datos Protegidos'!$K52,PARTIDOS!DJ$8),0)</f>
        <v>0</v>
      </c>
      <c r="EA52" s="7">
        <v>0</v>
      </c>
      <c r="EB52" s="19">
        <f>+IF('Datos delta'!DK52&gt;0,REASIGN('Datos delta'!DK52,'Datos Protegidos'!$K52,PARTIDOS!DL$8),0)</f>
        <v>0</v>
      </c>
      <c r="EC52" s="7">
        <v>0</v>
      </c>
      <c r="ED52" s="19">
        <f>+IF('Datos delta'!DM52&gt;0,REASIGN('Datos delta'!DM52,'Datos Protegidos'!$K52,PARTIDOS!DN$8),0)</f>
        <v>0</v>
      </c>
      <c r="EE52" s="7">
        <v>0</v>
      </c>
      <c r="EF52" s="19">
        <f>+IF('Datos delta'!DO52&gt;0,REASIGN('Datos delta'!DO52,'Datos Protegidos'!$K52,PARTIDOS!DP$8),0)</f>
        <v>0</v>
      </c>
      <c r="EG52" s="7">
        <v>0</v>
      </c>
      <c r="EH52" s="19">
        <f>+IF('Datos delta'!DQ52&gt;0,REASIGN('Datos delta'!DQ52,'Datos Protegidos'!$K52,PARTIDOS!DR$8),0)</f>
        <v>0</v>
      </c>
      <c r="EI52" s="7">
        <v>0</v>
      </c>
      <c r="EJ52" s="19">
        <f>+IF('Datos delta'!DS52&gt;0,REASIGN('Datos delta'!DS52,'Datos Protegidos'!$K52,PARTIDOS!DT$8),0)</f>
        <v>0</v>
      </c>
      <c r="EK52" s="7">
        <v>0</v>
      </c>
      <c r="EL52" s="19">
        <f>+IF('Datos delta'!DU52&gt;0,REASIGN('Datos delta'!DU52,'Datos Protegidos'!$K52,PARTIDOS!DV$8),0)</f>
        <v>0</v>
      </c>
      <c r="EM52" s="7">
        <v>0</v>
      </c>
      <c r="EN52" s="19">
        <f>+IF('Datos delta'!DW52&gt;0,REASIGN('Datos delta'!DW52,'Datos Protegidos'!$K52,PARTIDOS!DX$8),0)</f>
        <v>0</v>
      </c>
      <c r="EO52" s="7">
        <v>0</v>
      </c>
      <c r="EP52" s="19">
        <f>+IF('Datos delta'!DY52&gt;0,REASIGN('Datos delta'!DY52,'Datos Protegidos'!$K52,PARTIDOS!DZ$8),0)</f>
        <v>0</v>
      </c>
      <c r="EQ52" s="7">
        <v>0</v>
      </c>
      <c r="ER52" s="19">
        <f>+IF('Datos delta'!EA52&gt;0,REASIGN('Datos delta'!EA52,'Datos Protegidos'!$K52,PARTIDOS!EB$8),0)</f>
        <v>0</v>
      </c>
      <c r="ES52" s="7">
        <v>0</v>
      </c>
      <c r="ET52" s="19">
        <f>+IF('Datos delta'!EC52&gt;0,REASIGN('Datos delta'!EC52,'Datos Protegidos'!$K52,PARTIDOS!ED$8),0)</f>
        <v>0</v>
      </c>
      <c r="EU52" s="7">
        <v>0</v>
      </c>
    </row>
    <row r="53" spans="1:151" x14ac:dyDescent="0.25">
      <c r="A53" s="7" t="s">
        <v>83</v>
      </c>
      <c r="B53" s="8">
        <v>52</v>
      </c>
      <c r="C53" s="7" t="s">
        <v>84</v>
      </c>
      <c r="D53" s="9">
        <v>86384</v>
      </c>
      <c r="E53">
        <v>87</v>
      </c>
      <c r="F53" s="1">
        <v>54294</v>
      </c>
      <c r="G53" s="1">
        <v>5203</v>
      </c>
      <c r="H53" s="1">
        <v>59497</v>
      </c>
      <c r="I53"/>
      <c r="J53" s="1"/>
      <c r="K53"/>
      <c r="L53" s="3">
        <f t="shared" si="1"/>
        <v>32112</v>
      </c>
      <c r="M53" s="3">
        <f t="shared" si="2"/>
        <v>31872</v>
      </c>
      <c r="N53" s="6">
        <f t="shared" si="0"/>
        <v>31687</v>
      </c>
      <c r="O53">
        <v>185</v>
      </c>
      <c r="P53">
        <v>240</v>
      </c>
      <c r="Q53" s="6">
        <f t="shared" si="3"/>
        <v>1</v>
      </c>
      <c r="R53" s="19">
        <f>+IF('Datos delta'!A53&gt;0,REASIGN('Datos delta'!A53,'Datos Protegidos'!$K53,PARTIDOS!B$8),0)</f>
        <v>5432</v>
      </c>
      <c r="S53" s="7">
        <v>0</v>
      </c>
      <c r="T53" s="19">
        <f>+IF('Datos delta'!C53&gt;0,REASIGN('Datos delta'!C53,'Datos Protegidos'!$K53,PARTIDOS!D$8),0)</f>
        <v>10051</v>
      </c>
      <c r="U53" s="7">
        <v>1</v>
      </c>
      <c r="V53" s="19">
        <f>+IF('Datos delta'!E53&gt;0,REASIGN('Datos delta'!E53,'Datos Protegidos'!$K53,PARTIDOS!F$8),0)</f>
        <v>5805</v>
      </c>
      <c r="W53" s="7">
        <v>0</v>
      </c>
      <c r="X53" s="19">
        <f>+IF('Datos delta'!G53&gt;0,REASIGN('Datos delta'!G53,'Datos Protegidos'!$K53,PARTIDOS!H$8),0)</f>
        <v>849</v>
      </c>
      <c r="Y53" s="7">
        <v>0</v>
      </c>
      <c r="Z53" s="19">
        <f>+IF('Datos delta'!I53&gt;0,REASIGN('Datos delta'!I53,'Datos Protegidos'!$K53,PARTIDOS!J$8),0)</f>
        <v>0</v>
      </c>
      <c r="AA53" s="7">
        <v>0</v>
      </c>
      <c r="AB53" s="19">
        <f>+IF('Datos delta'!K53&gt;0,REASIGN('Datos delta'!K53,'Datos Protegidos'!$K53,PARTIDOS!L$8),0)</f>
        <v>0</v>
      </c>
      <c r="AC53" s="7">
        <v>0</v>
      </c>
      <c r="AD53" s="19">
        <f>+IF('Datos delta'!M53&gt;0,REASIGN('Datos delta'!M53,'Datos Protegidos'!$K53,PARTIDOS!N$8),0)</f>
        <v>0</v>
      </c>
      <c r="AE53" s="7">
        <v>0</v>
      </c>
      <c r="AF53" s="19">
        <f>+IF('Datos delta'!O53&gt;0,REASIGN('Datos delta'!O53,'Datos Protegidos'!$K53,PARTIDOS!P$8),0)</f>
        <v>0</v>
      </c>
      <c r="AG53" s="7">
        <v>0</v>
      </c>
      <c r="AH53" s="19">
        <f>+IF('Datos delta'!Q53&gt;0,REASIGN('Datos delta'!Q53,'Datos Protegidos'!$K53,PARTIDOS!R$8),0)</f>
        <v>0</v>
      </c>
      <c r="AI53" s="7">
        <v>0</v>
      </c>
      <c r="AJ53" s="19">
        <f>+IF('Datos delta'!S53&gt;0,REASIGN('Datos delta'!S53,'Datos Protegidos'!$K53,PARTIDOS!T$8),0)</f>
        <v>0</v>
      </c>
      <c r="AK53" s="7">
        <v>0</v>
      </c>
      <c r="AL53" s="19">
        <f>+IF('Datos delta'!U53&gt;0,REASIGN('Datos delta'!U53,'Datos Protegidos'!$K53,PARTIDOS!V$8),0)</f>
        <v>0</v>
      </c>
      <c r="AM53" s="7">
        <v>0</v>
      </c>
      <c r="AN53" s="19">
        <f>+IF('Datos delta'!W53&gt;0,REASIGN('Datos delta'!W53,'Datos Protegidos'!$K53,PARTIDOS!X$8),0)</f>
        <v>0</v>
      </c>
      <c r="AO53" s="7">
        <v>0</v>
      </c>
      <c r="AP53" s="19">
        <f>+IF('Datos delta'!Y53&gt;0,REASIGN('Datos delta'!Y53,'Datos Protegidos'!$K53,PARTIDOS!Z$8),0)</f>
        <v>0</v>
      </c>
      <c r="AQ53" s="7">
        <v>0</v>
      </c>
      <c r="AR53" s="19">
        <f>+IF('Datos delta'!AA53&gt;0,REASIGN('Datos delta'!AA53,'Datos Protegidos'!$K53,PARTIDOS!AB$8),0)</f>
        <v>0</v>
      </c>
      <c r="AS53" s="7">
        <v>0</v>
      </c>
      <c r="AT53" s="19">
        <f>+IF('Datos delta'!AC53&gt;0,REASIGN('Datos delta'!AC53,'Datos Protegidos'!$K53,PARTIDOS!AD$8),0)</f>
        <v>0</v>
      </c>
      <c r="AU53" s="7">
        <v>0</v>
      </c>
      <c r="AV53" s="19">
        <f>+IF('Datos delta'!AE53&gt;0,REASIGN('Datos delta'!AE53,'Datos Protegidos'!$K53,PARTIDOS!AF$8),0)</f>
        <v>0</v>
      </c>
      <c r="AW53" s="7">
        <v>0</v>
      </c>
      <c r="AX53" s="19">
        <f>+IF('Datos delta'!AG53&gt;0,REASIGN('Datos delta'!AG53,'Datos Protegidos'!$K53,PARTIDOS!AH$8),0)</f>
        <v>0</v>
      </c>
      <c r="AY53" s="7">
        <v>0</v>
      </c>
      <c r="AZ53" s="19">
        <f>+IF('Datos delta'!AI53&gt;0,REASIGN('Datos delta'!AI53,'Datos Protegidos'!$K53,PARTIDOS!AJ$8),0)</f>
        <v>0</v>
      </c>
      <c r="BA53" s="7">
        <v>0</v>
      </c>
      <c r="BB53" s="19">
        <f>+IF('Datos delta'!AK53&gt;0,REASIGN('Datos delta'!AK53,'Datos Protegidos'!$K53,PARTIDOS!AL$8),0)</f>
        <v>0</v>
      </c>
      <c r="BC53" s="7">
        <v>0</v>
      </c>
      <c r="BD53" s="19">
        <f>+IF('Datos delta'!AM53&gt;0,REASIGN('Datos delta'!AM53,'Datos Protegidos'!$K53,PARTIDOS!AN$8),0)</f>
        <v>0</v>
      </c>
      <c r="BE53" s="7">
        <v>0</v>
      </c>
      <c r="BF53" s="19">
        <f>+IF('Datos delta'!AO53&gt;0,REASIGN('Datos delta'!AO53,'Datos Protegidos'!$K53,PARTIDOS!AP$8),0)</f>
        <v>0</v>
      </c>
      <c r="BG53" s="7">
        <v>0</v>
      </c>
      <c r="BH53" s="19">
        <f>+IF('Datos delta'!AQ53&gt;0,REASIGN('Datos delta'!AQ53,'Datos Protegidos'!$K53,PARTIDOS!AR$8),0)</f>
        <v>18</v>
      </c>
      <c r="BI53" s="7">
        <v>0</v>
      </c>
      <c r="BJ53" s="19">
        <f>+IF('Datos delta'!AS53&gt;0,REASIGN('Datos delta'!AS53,'Datos Protegidos'!$K53,PARTIDOS!AT$8),0)</f>
        <v>30</v>
      </c>
      <c r="BK53" s="7">
        <v>0</v>
      </c>
      <c r="BL53" s="19">
        <f>+IF('Datos delta'!AU53&gt;0,REASIGN('Datos delta'!AU53,'Datos Protegidos'!$K53,PARTIDOS!AV$8),0)</f>
        <v>0</v>
      </c>
      <c r="BM53" s="7">
        <v>0</v>
      </c>
      <c r="BN53" s="19">
        <f>+IF('Datos delta'!AW53&gt;0,REASIGN('Datos delta'!AW53,'Datos Protegidos'!$K53,PARTIDOS!AX$8),0)</f>
        <v>0</v>
      </c>
      <c r="BO53" s="7">
        <v>0</v>
      </c>
      <c r="BP53" s="19">
        <f>+IF('Datos delta'!AY53&gt;0,REASIGN('Datos delta'!AY53,'Datos Protegidos'!$K53,PARTIDOS!AZ$8),0)</f>
        <v>0</v>
      </c>
      <c r="BQ53" s="7">
        <v>0</v>
      </c>
      <c r="BR53" s="19">
        <f>+IF('Datos delta'!BA53&gt;0,REASIGN('Datos delta'!BA53,'Datos Protegidos'!$K53,PARTIDOS!BB$8),0)</f>
        <v>0</v>
      </c>
      <c r="BS53" s="7">
        <v>0</v>
      </c>
      <c r="BT53" s="19">
        <f>+IF('Datos delta'!BC53&gt;0,REASIGN('Datos delta'!BC53,'Datos Protegidos'!$K53,PARTIDOS!BD$8),0)</f>
        <v>0</v>
      </c>
      <c r="BU53" s="7">
        <v>0</v>
      </c>
      <c r="BV53" s="19">
        <f>+IF('Datos delta'!BE53&gt;0,REASIGN('Datos delta'!BE53,'Datos Protegidos'!$K53,PARTIDOS!BF$8),0)</f>
        <v>0</v>
      </c>
      <c r="BW53" s="7">
        <v>0</v>
      </c>
      <c r="BX53" s="19">
        <f>+IF('Datos delta'!BG53&gt;0,REASIGN('Datos delta'!BG53,'Datos Protegidos'!$K53,PARTIDOS!BH$8),0)</f>
        <v>0</v>
      </c>
      <c r="BY53" s="7">
        <v>0</v>
      </c>
      <c r="BZ53" s="19">
        <f>+IF('Datos delta'!BI53&gt;0,REASIGN('Datos delta'!BI53,'Datos Protegidos'!$K53,PARTIDOS!BJ$8),0)</f>
        <v>0</v>
      </c>
      <c r="CA53" s="7">
        <v>0</v>
      </c>
      <c r="CB53" s="19">
        <f>+IF('Datos delta'!BK53&gt;0,REASIGN('Datos delta'!BK53,'Datos Protegidos'!$K53,PARTIDOS!BL$8),0)</f>
        <v>9402</v>
      </c>
      <c r="CC53" s="7">
        <v>0</v>
      </c>
      <c r="CD53" s="19">
        <f>+IF('Datos delta'!BM53&gt;0,REASIGN('Datos delta'!BM53,'Datos Protegidos'!$K53,PARTIDOS!BN$8),0)</f>
        <v>0</v>
      </c>
      <c r="CE53" s="7">
        <v>0</v>
      </c>
      <c r="CF53" s="19">
        <f>+IF('Datos delta'!BO53&gt;0,REASIGN('Datos delta'!BO53,'Datos Protegidos'!$K53,PARTIDOS!BP$8),0)</f>
        <v>0</v>
      </c>
      <c r="CG53" s="7">
        <v>0</v>
      </c>
      <c r="CH53" s="19">
        <f>+IF('Datos delta'!BQ53&gt;0,REASIGN('Datos delta'!BQ53,'Datos Protegidos'!$K53,PARTIDOS!BR$8),0)</f>
        <v>0</v>
      </c>
      <c r="CI53" s="7">
        <v>0</v>
      </c>
      <c r="CJ53" s="19">
        <f>+IF('Datos delta'!BS53&gt;0,REASIGN('Datos delta'!BS53,'Datos Protegidos'!$K53,PARTIDOS!BT$8),0)</f>
        <v>0</v>
      </c>
      <c r="CK53" s="7">
        <v>0</v>
      </c>
      <c r="CL53" s="19">
        <f>+IF('Datos delta'!BU53&gt;0,REASIGN('Datos delta'!BU53,'Datos Protegidos'!$K53,PARTIDOS!BV$8),0)</f>
        <v>100</v>
      </c>
      <c r="CM53" s="7">
        <v>0</v>
      </c>
      <c r="CN53" s="19">
        <f>+IF('Datos delta'!BW53&gt;0,REASIGN('Datos delta'!BW53,'Datos Protegidos'!$K53,PARTIDOS!BX$8),0)</f>
        <v>0</v>
      </c>
      <c r="CO53" s="7">
        <v>0</v>
      </c>
      <c r="CP53" s="19">
        <f>+IF('Datos delta'!BY53&gt;0,REASIGN('Datos delta'!BY53,'Datos Protegidos'!$K53,PARTIDOS!BZ$8),0)</f>
        <v>0</v>
      </c>
      <c r="CQ53" s="7">
        <v>0</v>
      </c>
      <c r="CR53" s="19">
        <f>+IF('Datos delta'!CA53&gt;0,REASIGN('Datos delta'!CA53,'Datos Protegidos'!$K53,PARTIDOS!CB$8),0)</f>
        <v>0</v>
      </c>
      <c r="CS53" s="7">
        <v>0</v>
      </c>
      <c r="CT53" s="19">
        <f>+IF('Datos delta'!CC53&gt;0,REASIGN('Datos delta'!CC53,'Datos Protegidos'!$K53,PARTIDOS!CD$8),0)</f>
        <v>0</v>
      </c>
      <c r="CU53" s="7">
        <v>0</v>
      </c>
      <c r="CV53" s="19">
        <f>+IF('Datos delta'!CE53&gt;0,REASIGN('Datos delta'!CE53,'Datos Protegidos'!$K53,PARTIDOS!CF$8),0)</f>
        <v>0</v>
      </c>
      <c r="CW53" s="7">
        <v>0</v>
      </c>
      <c r="CX53" s="19">
        <f>+IF('Datos delta'!CG53&gt;0,REASIGN('Datos delta'!CG53,'Datos Protegidos'!$K53,PARTIDOS!CH$8),0)</f>
        <v>0</v>
      </c>
      <c r="CY53" s="7">
        <v>0</v>
      </c>
      <c r="CZ53" s="19">
        <f>+IF('Datos delta'!CI53&gt;0,REASIGN('Datos delta'!CI53,'Datos Protegidos'!$K53,PARTIDOS!CJ$8),0)</f>
        <v>0</v>
      </c>
      <c r="DA53" s="7">
        <v>0</v>
      </c>
      <c r="DB53" s="19">
        <f>+IF('Datos delta'!CK53&gt;0,REASIGN('Datos delta'!CK53,'Datos Protegidos'!$K53,PARTIDOS!CL$8),0)</f>
        <v>0</v>
      </c>
      <c r="DC53" s="7">
        <v>0</v>
      </c>
      <c r="DD53" s="19">
        <f>+IF('Datos delta'!CM53&gt;0,REASIGN('Datos delta'!CM53,'Datos Protegidos'!$K53,PARTIDOS!CN$8),0)</f>
        <v>0</v>
      </c>
      <c r="DE53" s="7">
        <v>0</v>
      </c>
      <c r="DF53" s="19">
        <f>+IF('Datos delta'!CO53&gt;0,REASIGN('Datos delta'!CO53,'Datos Protegidos'!$K53,PARTIDOS!CP$8),0)</f>
        <v>0</v>
      </c>
      <c r="DG53" s="7">
        <v>0</v>
      </c>
      <c r="DH53" s="19">
        <f>+IF('Datos delta'!CQ53&gt;0,REASIGN('Datos delta'!CQ53,'Datos Protegidos'!$K53,PARTIDOS!CR$8),0)</f>
        <v>0</v>
      </c>
      <c r="DI53" s="7">
        <v>0</v>
      </c>
      <c r="DJ53" s="19">
        <f>+IF('Datos delta'!CS53&gt;0,REASIGN('Datos delta'!CS53,'Datos Protegidos'!$K53,PARTIDOS!CT$8),0)</f>
        <v>0</v>
      </c>
      <c r="DK53" s="7">
        <v>0</v>
      </c>
      <c r="DL53" s="19">
        <f>+IF('Datos delta'!CU53&gt;0,REASIGN('Datos delta'!CU53,'Datos Protegidos'!$K53,PARTIDOS!CV$8),0)</f>
        <v>0</v>
      </c>
      <c r="DM53" s="7">
        <v>0</v>
      </c>
      <c r="DN53" s="19">
        <f>+IF('Datos delta'!CW53&gt;0,REASIGN('Datos delta'!CW53,'Datos Protegidos'!$K53,PARTIDOS!CX$8),0)</f>
        <v>0</v>
      </c>
      <c r="DO53" s="7">
        <v>0</v>
      </c>
      <c r="DP53" s="19">
        <f>+IF('Datos delta'!CY53&gt;0,REASIGN('Datos delta'!CY53,'Datos Protegidos'!$K53,PARTIDOS!CZ$8),0)</f>
        <v>0</v>
      </c>
      <c r="DQ53" s="7">
        <v>0</v>
      </c>
      <c r="DR53" s="19">
        <f>+IF('Datos delta'!DA53&gt;0,REASIGN('Datos delta'!DA53,'Datos Protegidos'!$K53,PARTIDOS!DB$8),0)</f>
        <v>0</v>
      </c>
      <c r="DS53" s="7">
        <v>0</v>
      </c>
      <c r="DT53" s="19">
        <f>+IF('Datos delta'!DC53&gt;0,REASIGN('Datos delta'!DC53,'Datos Protegidos'!$K53,PARTIDOS!DD$8),0)</f>
        <v>0</v>
      </c>
      <c r="DU53" s="7">
        <v>0</v>
      </c>
      <c r="DV53" s="19">
        <f>+IF('Datos delta'!DE53&gt;0,REASIGN('Datos delta'!DE53,'Datos Protegidos'!$K53,PARTIDOS!DF$8),0)</f>
        <v>0</v>
      </c>
      <c r="DW53" s="7">
        <v>0</v>
      </c>
      <c r="DX53" s="19">
        <f>+IF('Datos delta'!DG53&gt;0,REASIGN('Datos delta'!DG53,'Datos Protegidos'!$K53,PARTIDOS!DH$8),0)</f>
        <v>0</v>
      </c>
      <c r="DY53" s="7">
        <v>0</v>
      </c>
      <c r="DZ53" s="19">
        <f>+IF('Datos delta'!DI53&gt;0,REASIGN('Datos delta'!DI53,'Datos Protegidos'!$K53,PARTIDOS!DJ$8),0)</f>
        <v>0</v>
      </c>
      <c r="EA53" s="7">
        <v>0</v>
      </c>
      <c r="EB53" s="19">
        <f>+IF('Datos delta'!DK53&gt;0,REASIGN('Datos delta'!DK53,'Datos Protegidos'!$K53,PARTIDOS!DL$8),0)</f>
        <v>0</v>
      </c>
      <c r="EC53" s="7">
        <v>0</v>
      </c>
      <c r="ED53" s="19">
        <f>+IF('Datos delta'!DM53&gt;0,REASIGN('Datos delta'!DM53,'Datos Protegidos'!$K53,PARTIDOS!DN$8),0)</f>
        <v>0</v>
      </c>
      <c r="EE53" s="7">
        <v>0</v>
      </c>
      <c r="EF53" s="19">
        <f>+IF('Datos delta'!DO53&gt;0,REASIGN('Datos delta'!DO53,'Datos Protegidos'!$K53,PARTIDOS!DP$8),0)</f>
        <v>0</v>
      </c>
      <c r="EG53" s="7">
        <v>0</v>
      </c>
      <c r="EH53" s="19">
        <f>+IF('Datos delta'!DQ53&gt;0,REASIGN('Datos delta'!DQ53,'Datos Protegidos'!$K53,PARTIDOS!DR$8),0)</f>
        <v>0</v>
      </c>
      <c r="EI53" s="7">
        <v>0</v>
      </c>
      <c r="EJ53" s="19">
        <f>+IF('Datos delta'!DS53&gt;0,REASIGN('Datos delta'!DS53,'Datos Protegidos'!$K53,PARTIDOS!DT$8),0)</f>
        <v>0</v>
      </c>
      <c r="EK53" s="7">
        <v>0</v>
      </c>
      <c r="EL53" s="19">
        <f>+IF('Datos delta'!DU53&gt;0,REASIGN('Datos delta'!DU53,'Datos Protegidos'!$K53,PARTIDOS!DV$8),0)</f>
        <v>0</v>
      </c>
      <c r="EM53" s="7">
        <v>0</v>
      </c>
      <c r="EN53" s="19">
        <f>+IF('Datos delta'!DW53&gt;0,REASIGN('Datos delta'!DW53,'Datos Protegidos'!$K53,PARTIDOS!DX$8),0)</f>
        <v>0</v>
      </c>
      <c r="EO53" s="7">
        <v>0</v>
      </c>
      <c r="EP53" s="19">
        <f>+IF('Datos delta'!DY53&gt;0,REASIGN('Datos delta'!DY53,'Datos Protegidos'!$K53,PARTIDOS!DZ$8),0)</f>
        <v>0</v>
      </c>
      <c r="EQ53" s="7">
        <v>0</v>
      </c>
      <c r="ER53" s="19">
        <f>+IF('Datos delta'!EA53&gt;0,REASIGN('Datos delta'!EA53,'Datos Protegidos'!$K53,PARTIDOS!EB$8),0)</f>
        <v>0</v>
      </c>
      <c r="ES53" s="7">
        <v>0</v>
      </c>
      <c r="ET53" s="19">
        <f>+IF('Datos delta'!EC53&gt;0,REASIGN('Datos delta'!EC53,'Datos Protegidos'!$K53,PARTIDOS!ED$8),0)</f>
        <v>0</v>
      </c>
      <c r="EU53" s="7">
        <v>0</v>
      </c>
    </row>
    <row r="55" spans="1:151" x14ac:dyDescent="0.25">
      <c r="R55" s="50">
        <f>SUM(R2:R54)</f>
        <v>7296792</v>
      </c>
    </row>
  </sheetData>
  <pageMargins left="0.7" right="0.7" top="0.75" bottom="0.75" header="0.3" footer="0.3"/>
  <pageSetup paperSize="9" orientation="portrait" r:id="rId1"/>
  <ignoredErrors>
    <ignoredError sqref="N2:N5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2731D-120A-4DDF-AC4F-13F94AF846E5}">
  <sheetPr codeName="Hoja5"/>
  <dimension ref="A1:ED53"/>
  <sheetViews>
    <sheetView workbookViewId="0">
      <selection activeCell="A2" sqref="A2"/>
    </sheetView>
  </sheetViews>
  <sheetFormatPr baseColWidth="10" defaultRowHeight="15" x14ac:dyDescent="0.25"/>
  <cols>
    <col min="2" max="2" width="11.42578125" style="7"/>
    <col min="4" max="4" width="11.42578125" style="7"/>
    <col min="6" max="6" width="11.42578125" style="7"/>
    <col min="8" max="8" width="11.42578125" style="7"/>
    <col min="10" max="10" width="11.42578125" style="7"/>
    <col min="12" max="12" width="11.42578125" style="7"/>
    <col min="14" max="14" width="11.42578125" style="7"/>
    <col min="16" max="16" width="11.42578125" style="7"/>
    <col min="18" max="18" width="11.42578125" style="7"/>
    <col min="20" max="20" width="11.42578125" style="7"/>
    <col min="22" max="22" width="11.42578125" style="7"/>
    <col min="24" max="24" width="11.42578125" style="7"/>
    <col min="26" max="26" width="11.42578125" style="7"/>
    <col min="28" max="28" width="11.42578125" style="7"/>
    <col min="30" max="30" width="11.42578125" style="7"/>
    <col min="32" max="32" width="11.42578125" style="7"/>
    <col min="34" max="34" width="11.42578125" style="7"/>
    <col min="36" max="36" width="11.42578125" style="7"/>
    <col min="38" max="38" width="11.42578125" style="7"/>
    <col min="40" max="40" width="11.42578125" style="7"/>
    <col min="42" max="42" width="11.42578125" style="7"/>
    <col min="44" max="44" width="11.42578125" style="7"/>
    <col min="46" max="46" width="11.42578125" style="7"/>
    <col min="48" max="48" width="11.42578125" style="7"/>
    <col min="50" max="50" width="11.42578125" style="7"/>
    <col min="52" max="52" width="11.42578125" style="7"/>
    <col min="54" max="54" width="11.42578125" style="7"/>
    <col min="56" max="56" width="11.42578125" style="7"/>
    <col min="58" max="58" width="11.42578125" style="7"/>
    <col min="60" max="60" width="11.42578125" style="7"/>
    <col min="62" max="62" width="11.42578125" style="7"/>
    <col min="64" max="64" width="11.42578125" style="7"/>
    <col min="66" max="66" width="11.42578125" style="7"/>
    <col min="68" max="68" width="11.42578125" style="7"/>
    <col min="70" max="70" width="11.42578125" style="7"/>
    <col min="72" max="72" width="11.42578125" style="7"/>
    <col min="74" max="74" width="11.42578125" style="7"/>
    <col min="76" max="76" width="11.42578125" style="7"/>
    <col min="78" max="78" width="11.42578125" style="7"/>
    <col min="80" max="80" width="11.42578125" style="7"/>
    <col min="82" max="82" width="11.42578125" style="7"/>
    <col min="84" max="84" width="11.42578125" style="7"/>
    <col min="86" max="86" width="11.42578125" style="7"/>
    <col min="88" max="88" width="11.42578125" style="7"/>
    <col min="90" max="90" width="11.42578125" style="7"/>
    <col min="92" max="92" width="11.42578125" style="7"/>
    <col min="94" max="94" width="11.42578125" style="7"/>
    <col min="96" max="96" width="11.42578125" style="7"/>
    <col min="98" max="98" width="11.42578125" style="7"/>
    <col min="100" max="100" width="11.42578125" style="7"/>
    <col min="102" max="102" width="11.42578125" style="7"/>
    <col min="104" max="104" width="11.42578125" style="7"/>
    <col min="106" max="106" width="11.42578125" style="7"/>
    <col min="108" max="108" width="11.42578125" style="7"/>
    <col min="110" max="110" width="11.42578125" style="7"/>
    <col min="112" max="112" width="11.42578125" style="7"/>
    <col min="114" max="114" width="11.42578125" style="7"/>
    <col min="116" max="116" width="11.42578125" style="7"/>
    <col min="118" max="118" width="11.42578125" style="7"/>
    <col min="120" max="120" width="11.42578125" style="7"/>
    <col min="122" max="122" width="11.42578125" style="7"/>
    <col min="124" max="124" width="11.42578125" style="7"/>
    <col min="126" max="126" width="11.42578125" style="7"/>
    <col min="128" max="128" width="11.42578125" style="7"/>
    <col min="130" max="130" width="11.42578125" style="7"/>
    <col min="132" max="132" width="11.42578125" style="7"/>
    <col min="134" max="134" width="11.42578125" style="7"/>
  </cols>
  <sheetData>
    <row r="1" spans="1:134" ht="30" x14ac:dyDescent="0.25">
      <c r="A1" s="11" t="s">
        <v>85</v>
      </c>
      <c r="B1" s="12" t="s">
        <v>86</v>
      </c>
      <c r="C1" s="11" t="s">
        <v>87</v>
      </c>
      <c r="D1" s="12" t="s">
        <v>88</v>
      </c>
      <c r="E1" s="11" t="s">
        <v>89</v>
      </c>
      <c r="F1" s="12" t="s">
        <v>90</v>
      </c>
      <c r="G1" s="11" t="s">
        <v>91</v>
      </c>
      <c r="H1" s="12" t="s">
        <v>92</v>
      </c>
      <c r="I1" s="11" t="s">
        <v>93</v>
      </c>
      <c r="J1" s="12" t="s">
        <v>94</v>
      </c>
      <c r="K1" s="11" t="s">
        <v>95</v>
      </c>
      <c r="L1" s="12" t="s">
        <v>96</v>
      </c>
      <c r="M1" s="11" t="s">
        <v>97</v>
      </c>
      <c r="N1" s="12" t="s">
        <v>98</v>
      </c>
      <c r="O1" s="11" t="s">
        <v>99</v>
      </c>
      <c r="P1" s="12" t="s">
        <v>100</v>
      </c>
      <c r="Q1" s="11" t="s">
        <v>101</v>
      </c>
      <c r="R1" s="12" t="s">
        <v>102</v>
      </c>
      <c r="S1" s="11" t="s">
        <v>103</v>
      </c>
      <c r="T1" s="12" t="s">
        <v>104</v>
      </c>
      <c r="U1" s="11" t="s">
        <v>105</v>
      </c>
      <c r="V1" s="12" t="s">
        <v>106</v>
      </c>
      <c r="W1" s="11" t="s">
        <v>107</v>
      </c>
      <c r="X1" s="12" t="s">
        <v>108</v>
      </c>
      <c r="Y1" s="11" t="s">
        <v>109</v>
      </c>
      <c r="Z1" s="12" t="s">
        <v>110</v>
      </c>
      <c r="AA1" s="11" t="s">
        <v>111</v>
      </c>
      <c r="AB1" s="12" t="s">
        <v>112</v>
      </c>
      <c r="AC1" s="11" t="s">
        <v>113</v>
      </c>
      <c r="AD1" s="12" t="s">
        <v>114</v>
      </c>
      <c r="AE1" s="11" t="s">
        <v>115</v>
      </c>
      <c r="AF1" s="12" t="s">
        <v>116</v>
      </c>
      <c r="AG1" s="11" t="s">
        <v>117</v>
      </c>
      <c r="AH1" s="12" t="s">
        <v>118</v>
      </c>
      <c r="AI1" s="11" t="s">
        <v>119</v>
      </c>
      <c r="AJ1" s="12" t="s">
        <v>120</v>
      </c>
      <c r="AK1" s="11" t="s">
        <v>121</v>
      </c>
      <c r="AL1" s="12" t="s">
        <v>122</v>
      </c>
      <c r="AM1" s="11" t="s">
        <v>123</v>
      </c>
      <c r="AN1" s="12" t="s">
        <v>124</v>
      </c>
      <c r="AO1" s="11" t="s">
        <v>125</v>
      </c>
      <c r="AP1" s="12" t="s">
        <v>126</v>
      </c>
      <c r="AQ1" s="11" t="s">
        <v>127</v>
      </c>
      <c r="AR1" s="12" t="s">
        <v>128</v>
      </c>
      <c r="AS1" s="11" t="s">
        <v>129</v>
      </c>
      <c r="AT1" s="12" t="s">
        <v>130</v>
      </c>
      <c r="AU1" s="11" t="s">
        <v>131</v>
      </c>
      <c r="AV1" s="12" t="s">
        <v>132</v>
      </c>
      <c r="AW1" s="11" t="s">
        <v>133</v>
      </c>
      <c r="AX1" s="12" t="s">
        <v>134</v>
      </c>
      <c r="AY1" s="11" t="s">
        <v>135</v>
      </c>
      <c r="AZ1" s="12" t="s">
        <v>136</v>
      </c>
      <c r="BA1" s="11" t="s">
        <v>137</v>
      </c>
      <c r="BB1" s="12" t="s">
        <v>138</v>
      </c>
      <c r="BC1" s="11" t="s">
        <v>139</v>
      </c>
      <c r="BD1" s="12" t="s">
        <v>140</v>
      </c>
      <c r="BE1" s="11" t="s">
        <v>141</v>
      </c>
      <c r="BF1" s="12" t="s">
        <v>142</v>
      </c>
      <c r="BG1" s="11" t="s">
        <v>143</v>
      </c>
      <c r="BH1" s="12" t="s">
        <v>144</v>
      </c>
      <c r="BI1" s="11" t="s">
        <v>145</v>
      </c>
      <c r="BJ1" s="12" t="s">
        <v>146</v>
      </c>
      <c r="BK1" s="11" t="s">
        <v>147</v>
      </c>
      <c r="BL1" s="12" t="s">
        <v>148</v>
      </c>
      <c r="BM1" s="11" t="s">
        <v>149</v>
      </c>
      <c r="BN1" s="12" t="s">
        <v>150</v>
      </c>
      <c r="BO1" s="11" t="s">
        <v>151</v>
      </c>
      <c r="BP1" s="12" t="s">
        <v>152</v>
      </c>
      <c r="BQ1" s="11" t="s">
        <v>153</v>
      </c>
      <c r="BR1" s="12" t="s">
        <v>154</v>
      </c>
      <c r="BS1" s="11" t="s">
        <v>155</v>
      </c>
      <c r="BT1" s="12" t="s">
        <v>156</v>
      </c>
      <c r="BU1" s="11" t="s">
        <v>157</v>
      </c>
      <c r="BV1" s="12" t="s">
        <v>158</v>
      </c>
      <c r="BW1" s="11" t="s">
        <v>159</v>
      </c>
      <c r="BX1" s="12" t="s">
        <v>160</v>
      </c>
      <c r="BY1" s="11" t="s">
        <v>161</v>
      </c>
      <c r="BZ1" s="12" t="s">
        <v>162</v>
      </c>
      <c r="CA1" s="11" t="s">
        <v>163</v>
      </c>
      <c r="CB1" s="12" t="s">
        <v>164</v>
      </c>
      <c r="CC1" s="11" t="s">
        <v>165</v>
      </c>
      <c r="CD1" s="12" t="s">
        <v>166</v>
      </c>
      <c r="CE1" s="11" t="s">
        <v>167</v>
      </c>
      <c r="CF1" s="12" t="s">
        <v>168</v>
      </c>
      <c r="CG1" s="11" t="s">
        <v>169</v>
      </c>
      <c r="CH1" s="12" t="s">
        <v>170</v>
      </c>
      <c r="CI1" s="11" t="s">
        <v>171</v>
      </c>
      <c r="CJ1" s="12" t="s">
        <v>172</v>
      </c>
      <c r="CK1" s="11" t="s">
        <v>173</v>
      </c>
      <c r="CL1" s="12" t="s">
        <v>174</v>
      </c>
      <c r="CM1" s="11" t="s">
        <v>175</v>
      </c>
      <c r="CN1" s="12" t="s">
        <v>176</v>
      </c>
      <c r="CO1" s="11" t="s">
        <v>177</v>
      </c>
      <c r="CP1" s="12" t="s">
        <v>178</v>
      </c>
      <c r="CQ1" s="11" t="s">
        <v>179</v>
      </c>
      <c r="CR1" s="12" t="s">
        <v>180</v>
      </c>
      <c r="CS1" s="11" t="s">
        <v>181</v>
      </c>
      <c r="CT1" s="12" t="s">
        <v>182</v>
      </c>
      <c r="CU1" s="11" t="s">
        <v>183</v>
      </c>
      <c r="CV1" s="12" t="s">
        <v>184</v>
      </c>
      <c r="CW1" s="11" t="s">
        <v>185</v>
      </c>
      <c r="CX1" s="12" t="s">
        <v>186</v>
      </c>
      <c r="CY1" s="11" t="s">
        <v>187</v>
      </c>
      <c r="CZ1" s="12" t="s">
        <v>188</v>
      </c>
      <c r="DA1" s="11" t="s">
        <v>189</v>
      </c>
      <c r="DB1" s="12" t="s">
        <v>190</v>
      </c>
      <c r="DC1" s="11" t="s">
        <v>191</v>
      </c>
      <c r="DD1" s="12" t="s">
        <v>192</v>
      </c>
      <c r="DE1" s="11" t="s">
        <v>193</v>
      </c>
      <c r="DF1" s="12" t="s">
        <v>194</v>
      </c>
      <c r="DG1" s="11" t="s">
        <v>195</v>
      </c>
      <c r="DH1" s="12" t="s">
        <v>196</v>
      </c>
      <c r="DI1" s="11" t="s">
        <v>197</v>
      </c>
      <c r="DJ1" s="12" t="s">
        <v>198</v>
      </c>
      <c r="DK1" s="11" t="s">
        <v>199</v>
      </c>
      <c r="DL1" s="12" t="s">
        <v>200</v>
      </c>
      <c r="DM1" s="11" t="s">
        <v>201</v>
      </c>
      <c r="DN1" s="12" t="s">
        <v>202</v>
      </c>
      <c r="DO1" s="11" t="s">
        <v>203</v>
      </c>
      <c r="DP1" s="12" t="s">
        <v>204</v>
      </c>
      <c r="DQ1" s="11" t="s">
        <v>205</v>
      </c>
      <c r="DR1" s="12" t="s">
        <v>206</v>
      </c>
      <c r="DS1" s="11" t="s">
        <v>207</v>
      </c>
      <c r="DT1" s="12" t="s">
        <v>208</v>
      </c>
      <c r="DU1" s="11" t="s">
        <v>209</v>
      </c>
      <c r="DV1" s="12" t="s">
        <v>210</v>
      </c>
      <c r="DW1" s="11" t="s">
        <v>211</v>
      </c>
      <c r="DX1" s="12" t="s">
        <v>212</v>
      </c>
      <c r="DY1" s="11" t="s">
        <v>213</v>
      </c>
      <c r="DZ1" s="12" t="s">
        <v>214</v>
      </c>
      <c r="EA1" s="11" t="s">
        <v>215</v>
      </c>
      <c r="EB1" s="12" t="s">
        <v>216</v>
      </c>
      <c r="EC1" s="11" t="s">
        <v>217</v>
      </c>
      <c r="ED1" s="12" t="s">
        <v>218</v>
      </c>
    </row>
    <row r="2" spans="1:134" x14ac:dyDescent="0.25">
      <c r="A2" s="3">
        <f>PARTICIPACION('Datos Protegidos'!A2,PARTIDOS!B$5)</f>
        <v>93759</v>
      </c>
      <c r="B2" s="3">
        <v>2</v>
      </c>
      <c r="C2" s="3">
        <f>PARTICIPACION('Datos Protegidos'!C2,PARTIDOS!D$5)</f>
        <v>79633</v>
      </c>
      <c r="D2" s="3">
        <v>2</v>
      </c>
      <c r="E2" s="3">
        <f>PARTICIPACION('Datos Protegidos'!E2,PARTIDOS!F$5)</f>
        <v>82328</v>
      </c>
      <c r="F2" s="3">
        <v>2</v>
      </c>
      <c r="G2" s="3">
        <f>PARTICIPACION('Datos Protegidos'!G2,PARTIDOS!H$5)</f>
        <v>25620</v>
      </c>
      <c r="H2" s="3">
        <v>0</v>
      </c>
      <c r="I2" s="3">
        <f>PARTICIPACION('Datos Protegidos'!I2,PARTIDOS!J$5)</f>
        <v>0</v>
      </c>
      <c r="J2" s="3">
        <v>0</v>
      </c>
      <c r="K2" s="3">
        <f>PARTICIPACION('Datos Protegidos'!K2,PARTIDOS!L$5)</f>
        <v>22835</v>
      </c>
      <c r="L2" s="3">
        <v>0</v>
      </c>
      <c r="M2" s="3">
        <f>PARTICIPACION('Datos Protegidos'!M2,PARTIDOS!N$5)</f>
        <v>0</v>
      </c>
      <c r="N2" s="3">
        <v>0</v>
      </c>
      <c r="O2" s="3">
        <f>PARTICIPACION('Datos Protegidos'!O2,PARTIDOS!P$5)</f>
        <v>0</v>
      </c>
      <c r="P2" s="3">
        <v>0</v>
      </c>
      <c r="Q2" s="3">
        <f>PARTICIPACION('Datos Protegidos'!Q2,PARTIDOS!R$5)</f>
        <v>0</v>
      </c>
      <c r="R2" s="3">
        <v>0</v>
      </c>
      <c r="S2" s="3">
        <f>PARTICIPACION('Datos Protegidos'!S2,PARTIDOS!T$5)</f>
        <v>0</v>
      </c>
      <c r="T2" s="3">
        <v>0</v>
      </c>
      <c r="U2" s="3">
        <f>PARTICIPACION('Datos Protegidos'!U2,PARTIDOS!V$5)</f>
        <v>0</v>
      </c>
      <c r="V2" s="3">
        <v>0</v>
      </c>
      <c r="W2" s="3">
        <f>PARTICIPACION('Datos Protegidos'!W2,PARTIDOS!X$5)</f>
        <v>0</v>
      </c>
      <c r="X2" s="3">
        <v>0</v>
      </c>
      <c r="Y2" s="3">
        <f>PARTICIPACION('Datos Protegidos'!Y2,PARTIDOS!Z$5)</f>
        <v>0</v>
      </c>
      <c r="Z2" s="3">
        <v>0</v>
      </c>
      <c r="AA2" s="3">
        <f>PARTICIPACION('Datos Protegidos'!AA2,PARTIDOS!AB$5)</f>
        <v>0</v>
      </c>
      <c r="AB2" s="3">
        <v>0</v>
      </c>
      <c r="AC2" s="3">
        <f>PARTICIPACION('Datos Protegidos'!AC2,PARTIDOS!AD$5)</f>
        <v>0</v>
      </c>
      <c r="AD2" s="3">
        <v>0</v>
      </c>
      <c r="AE2" s="3">
        <f>PARTICIPACION('Datos Protegidos'!AE2,PARTIDOS!AF$5)</f>
        <v>0</v>
      </c>
      <c r="AF2" s="3">
        <v>0</v>
      </c>
      <c r="AG2" s="3">
        <f>PARTICIPACION('Datos Protegidos'!AG2,PARTIDOS!AH$5)</f>
        <v>0</v>
      </c>
      <c r="AH2" s="3">
        <v>0</v>
      </c>
      <c r="AI2" s="3">
        <f>PARTICIPACION('Datos Protegidos'!AI2,PARTIDOS!AJ$5)</f>
        <v>0</v>
      </c>
      <c r="AJ2" s="3">
        <v>0</v>
      </c>
      <c r="AK2" s="3">
        <f>PARTICIPACION('Datos Protegidos'!AK2,PARTIDOS!AL$5)</f>
        <v>0</v>
      </c>
      <c r="AL2" s="3">
        <v>0</v>
      </c>
      <c r="AM2" s="3">
        <f>PARTICIPACION('Datos Protegidos'!AM2,PARTIDOS!AN$5)</f>
        <v>2569</v>
      </c>
      <c r="AN2" s="3">
        <v>0</v>
      </c>
      <c r="AO2" s="3">
        <f>PARTICIPACION('Datos Protegidos'!AO2,PARTIDOS!AP$5)</f>
        <v>0</v>
      </c>
      <c r="AP2" s="3">
        <v>0</v>
      </c>
      <c r="AQ2" s="3">
        <f>PARTICIPACION('Datos Protegidos'!AQ2,PARTIDOS!AR$5)</f>
        <v>358</v>
      </c>
      <c r="AR2" s="3">
        <v>0</v>
      </c>
      <c r="AS2" s="3">
        <f>PARTICIPACION('Datos Protegidos'!AS2,PARTIDOS!AT$5)</f>
        <v>369</v>
      </c>
      <c r="AT2" s="3">
        <v>0</v>
      </c>
      <c r="AU2" s="3">
        <f>PARTICIPACION('Datos Protegidos'!AU2,PARTIDOS!AV$5)</f>
        <v>0</v>
      </c>
      <c r="AV2" s="3">
        <v>0</v>
      </c>
      <c r="AW2" s="3">
        <f>PARTICIPACION('Datos Protegidos'!AW2,PARTIDOS!AX$5)</f>
        <v>0</v>
      </c>
      <c r="AX2" s="3">
        <v>0</v>
      </c>
      <c r="AY2" s="3">
        <f>PARTICIPACION('Datos Protegidos'!AY2,PARTIDOS!AZ$5)</f>
        <v>316</v>
      </c>
      <c r="AZ2" s="3">
        <v>0</v>
      </c>
      <c r="BA2" s="3">
        <f>PARTICIPACION('Datos Protegidos'!BA2,PARTIDOS!BB$5)</f>
        <v>318</v>
      </c>
      <c r="BB2" s="3">
        <v>0</v>
      </c>
      <c r="BC2" s="3">
        <f>PARTICIPACION('Datos Protegidos'!BC2,PARTIDOS!BD$5)</f>
        <v>0</v>
      </c>
      <c r="BD2" s="3">
        <v>0</v>
      </c>
      <c r="BE2" s="3">
        <f>PARTICIPACION('Datos Protegidos'!BE2,PARTIDOS!BF$5)</f>
        <v>0</v>
      </c>
      <c r="BF2" s="3">
        <v>0</v>
      </c>
      <c r="BG2" s="3">
        <f>PARTICIPACION('Datos Protegidos'!BG2,PARTIDOS!BH$5)</f>
        <v>0</v>
      </c>
      <c r="BH2" s="3">
        <v>0</v>
      </c>
      <c r="BI2" s="3">
        <f>PARTICIPACION('Datos Protegidos'!BI2,PARTIDOS!BJ$5)</f>
        <v>0</v>
      </c>
      <c r="BJ2" s="3">
        <v>0</v>
      </c>
      <c r="BK2" s="3">
        <f>PARTICIPACION('Datos Protegidos'!BK2,PARTIDOS!BL$5)</f>
        <v>0</v>
      </c>
      <c r="BL2" s="3">
        <v>0</v>
      </c>
      <c r="BM2" s="3">
        <f>PARTICIPACION('Datos Protegidos'!BM2,PARTIDOS!BN$5)</f>
        <v>510</v>
      </c>
      <c r="BN2" s="3">
        <v>0</v>
      </c>
      <c r="BO2" s="3">
        <f>PARTICIPACION('Datos Protegidos'!BO2,PARTIDOS!BP$5)</f>
        <v>0</v>
      </c>
      <c r="BP2" s="3">
        <v>0</v>
      </c>
      <c r="BQ2" s="3">
        <f>PARTICIPACION('Datos Protegidos'!BQ2,PARTIDOS!BR$5)</f>
        <v>0</v>
      </c>
      <c r="BR2" s="3">
        <v>0</v>
      </c>
      <c r="BS2" s="3">
        <f>PARTICIPACION('Datos Protegidos'!BS2,PARTIDOS!BT$5)</f>
        <v>0</v>
      </c>
      <c r="BT2" s="3">
        <v>0</v>
      </c>
      <c r="BU2" s="3">
        <f>PARTICIPACION('Datos Protegidos'!BU2,PARTIDOS!BV$5)</f>
        <v>0</v>
      </c>
      <c r="BV2" s="3">
        <v>0</v>
      </c>
      <c r="BW2" s="3">
        <f>PARTICIPACION('Datos Protegidos'!BW2,PARTIDOS!BX$5)</f>
        <v>0</v>
      </c>
      <c r="BX2" s="3">
        <v>0</v>
      </c>
      <c r="BY2" s="3">
        <f>PARTICIPACION('Datos Protegidos'!BY2,PARTIDOS!BZ$5)</f>
        <v>0</v>
      </c>
      <c r="BZ2" s="3">
        <v>0</v>
      </c>
      <c r="CA2" s="3">
        <f>PARTICIPACION('Datos Protegidos'!CA2,PARTIDOS!CB$5)</f>
        <v>0</v>
      </c>
      <c r="CB2" s="3">
        <v>0</v>
      </c>
      <c r="CC2" s="3">
        <f>PARTICIPACION('Datos Protegidos'!CC2,PARTIDOS!CD$5)</f>
        <v>0</v>
      </c>
      <c r="CD2" s="3">
        <v>0</v>
      </c>
      <c r="CE2" s="3">
        <f>PARTICIPACION('Datos Protegidos'!CE2,PARTIDOS!CF$5)</f>
        <v>0</v>
      </c>
      <c r="CF2" s="3">
        <v>0</v>
      </c>
      <c r="CG2" s="3">
        <f>PARTICIPACION('Datos Protegidos'!CG2,PARTIDOS!CH$5)</f>
        <v>0</v>
      </c>
      <c r="CH2" s="3">
        <v>0</v>
      </c>
      <c r="CI2" s="3">
        <f>PARTICIPACION('Datos Protegidos'!CI2,PARTIDOS!CJ$5)</f>
        <v>0</v>
      </c>
      <c r="CJ2" s="3">
        <v>0</v>
      </c>
      <c r="CK2" s="3">
        <f>PARTICIPACION('Datos Protegidos'!CK2,PARTIDOS!CL$5)</f>
        <v>0</v>
      </c>
      <c r="CL2" s="3">
        <v>0</v>
      </c>
      <c r="CM2" s="3">
        <f>PARTICIPACION('Datos Protegidos'!CM2,PARTIDOS!CN$5)</f>
        <v>0</v>
      </c>
      <c r="CN2" s="3">
        <v>0</v>
      </c>
      <c r="CO2" s="3">
        <f>PARTICIPACION('Datos Protegidos'!CO2,PARTIDOS!CP$5)</f>
        <v>0</v>
      </c>
      <c r="CP2" s="3">
        <v>0</v>
      </c>
      <c r="CQ2" s="3">
        <f>PARTICIPACION('Datos Protegidos'!CQ2,PARTIDOS!CR$5)</f>
        <v>0</v>
      </c>
      <c r="CR2" s="3">
        <v>0</v>
      </c>
      <c r="CS2" s="3">
        <f>PARTICIPACION('Datos Protegidos'!CS2,PARTIDOS!CT$5)</f>
        <v>0</v>
      </c>
      <c r="CT2" s="3">
        <v>0</v>
      </c>
      <c r="CU2" s="3">
        <f>PARTICIPACION('Datos Protegidos'!CU2,PARTIDOS!CV$5)</f>
        <v>0</v>
      </c>
      <c r="CV2" s="3">
        <v>0</v>
      </c>
      <c r="CW2" s="3">
        <f>PARTICIPACION('Datos Protegidos'!CW2,PARTIDOS!CX$5)</f>
        <v>0</v>
      </c>
      <c r="CX2" s="3">
        <v>0</v>
      </c>
      <c r="CY2" s="3">
        <f>PARTICIPACION('Datos Protegidos'!CY2,PARTIDOS!CZ$5)</f>
        <v>0</v>
      </c>
      <c r="CZ2" s="3">
        <v>0</v>
      </c>
      <c r="DA2" s="3">
        <f>PARTICIPACION('Datos Protegidos'!DA2,PARTIDOS!DB$5)</f>
        <v>0</v>
      </c>
      <c r="DB2" s="3">
        <v>0</v>
      </c>
      <c r="DC2" s="3">
        <f>PARTICIPACION('Datos Protegidos'!DC2,PARTIDOS!DD$5)</f>
        <v>0</v>
      </c>
      <c r="DD2" s="3">
        <v>0</v>
      </c>
      <c r="DE2" s="3">
        <f>PARTICIPACION('Datos Protegidos'!DE2,PARTIDOS!DF$5)</f>
        <v>0</v>
      </c>
      <c r="DF2" s="3">
        <v>0</v>
      </c>
      <c r="DG2" s="3">
        <f>PARTICIPACION('Datos Protegidos'!DG2,PARTIDOS!DH$5)</f>
        <v>0</v>
      </c>
      <c r="DH2" s="3">
        <v>0</v>
      </c>
      <c r="DI2" s="3">
        <f>PARTICIPACION('Datos Protegidos'!DI2,PARTIDOS!DJ$5)</f>
        <v>0</v>
      </c>
      <c r="DJ2" s="3">
        <v>0</v>
      </c>
      <c r="DK2" s="3">
        <f>PARTICIPACION('Datos Protegidos'!DK2,PARTIDOS!DL$5)</f>
        <v>0</v>
      </c>
      <c r="DL2" s="3">
        <v>0</v>
      </c>
      <c r="DM2" s="3">
        <f>PARTICIPACION('Datos Protegidos'!DM2,PARTIDOS!DN$5)</f>
        <v>0</v>
      </c>
      <c r="DN2" s="3">
        <v>0</v>
      </c>
      <c r="DO2" s="3">
        <f>PARTICIPACION('Datos Protegidos'!DO2,PARTIDOS!DP$5)</f>
        <v>0</v>
      </c>
      <c r="DP2" s="3">
        <v>0</v>
      </c>
      <c r="DQ2" s="3">
        <f>PARTICIPACION('Datos Protegidos'!DQ2,PARTIDOS!DR$5)</f>
        <v>0</v>
      </c>
      <c r="DR2" s="3">
        <v>0</v>
      </c>
      <c r="DS2" s="3">
        <f>PARTICIPACION('Datos Protegidos'!DS2,PARTIDOS!DT$5)</f>
        <v>0</v>
      </c>
      <c r="DT2" s="3">
        <v>0</v>
      </c>
      <c r="DU2" s="3">
        <f>PARTICIPACION('Datos Protegidos'!DU2,PARTIDOS!DV$5)</f>
        <v>0</v>
      </c>
      <c r="DV2" s="3">
        <v>0</v>
      </c>
      <c r="DW2" s="3">
        <f>PARTICIPACION('Datos Protegidos'!DW2,PARTIDOS!DX$5)</f>
        <v>0</v>
      </c>
      <c r="DX2" s="3">
        <v>0</v>
      </c>
      <c r="DY2" s="3">
        <f>PARTICIPACION('Datos Protegidos'!DY2,PARTIDOS!DZ$5)</f>
        <v>0</v>
      </c>
      <c r="DZ2" s="3">
        <v>0</v>
      </c>
      <c r="EA2" s="3">
        <f>PARTICIPACION('Datos Protegidos'!EA2,PARTIDOS!EB$5)</f>
        <v>0</v>
      </c>
      <c r="EB2" s="3">
        <v>0</v>
      </c>
      <c r="EC2" s="3">
        <f>PARTICIPACION('Datos Protegidos'!EC2,PARTIDOS!ED$5)</f>
        <v>0</v>
      </c>
      <c r="ED2" s="3">
        <v>0</v>
      </c>
    </row>
    <row r="3" spans="1:134" x14ac:dyDescent="0.25">
      <c r="A3" s="3">
        <f>PARTICIPACION('Datos Protegidos'!A3,PARTIDOS!B$5)</f>
        <v>197684</v>
      </c>
      <c r="B3" s="3">
        <v>3</v>
      </c>
      <c r="C3" s="3">
        <f>PARTICIPACION('Datos Protegidos'!C3,PARTIDOS!D$5)</f>
        <v>113310</v>
      </c>
      <c r="D3" s="3">
        <v>2</v>
      </c>
      <c r="E3" s="3">
        <f>PARTICIPACION('Datos Protegidos'!E3,PARTIDOS!F$5)</f>
        <v>133829</v>
      </c>
      <c r="F3" s="3">
        <v>2</v>
      </c>
      <c r="G3" s="3">
        <f>PARTICIPACION('Datos Protegidos'!G3,PARTIDOS!H$5)</f>
        <v>98218</v>
      </c>
      <c r="H3" s="3">
        <v>1</v>
      </c>
      <c r="I3" s="3">
        <f>PARTICIPACION('Datos Protegidos'!I3,PARTIDOS!J$5)</f>
        <v>0</v>
      </c>
      <c r="J3" s="3">
        <v>0</v>
      </c>
      <c r="K3" s="3">
        <f>PARTICIPACION('Datos Protegidos'!K3,PARTIDOS!L$5)</f>
        <v>55490</v>
      </c>
      <c r="L3" s="3">
        <v>1</v>
      </c>
      <c r="M3" s="3">
        <f>PARTICIPACION('Datos Protegidos'!M3,PARTIDOS!N$5)</f>
        <v>0</v>
      </c>
      <c r="N3" s="3">
        <v>0</v>
      </c>
      <c r="O3" s="3">
        <f>PARTICIPACION('Datos Protegidos'!O3,PARTIDOS!P$5)</f>
        <v>0</v>
      </c>
      <c r="P3" s="3">
        <v>0</v>
      </c>
      <c r="Q3" s="3">
        <f>PARTICIPACION('Datos Protegidos'!Q3,PARTIDOS!R$5)</f>
        <v>0</v>
      </c>
      <c r="R3" s="3">
        <v>0</v>
      </c>
      <c r="S3" s="3">
        <f>PARTICIPACION('Datos Protegidos'!S3,PARTIDOS!T$5)</f>
        <v>0</v>
      </c>
      <c r="T3" s="3">
        <v>0</v>
      </c>
      <c r="U3" s="3">
        <f>PARTICIPACION('Datos Protegidos'!U3,PARTIDOS!V$5)</f>
        <v>11881</v>
      </c>
      <c r="V3" s="3">
        <v>0</v>
      </c>
      <c r="W3" s="3">
        <f>PARTICIPACION('Datos Protegidos'!W3,PARTIDOS!X$5)</f>
        <v>0</v>
      </c>
      <c r="X3" s="3">
        <v>0</v>
      </c>
      <c r="Y3" s="3">
        <f>PARTICIPACION('Datos Protegidos'!Y3,PARTIDOS!Z$5)</f>
        <v>0</v>
      </c>
      <c r="Z3" s="3">
        <v>0</v>
      </c>
      <c r="AA3" s="3">
        <f>PARTICIPACION('Datos Protegidos'!AA3,PARTIDOS!AB$5)</f>
        <v>0</v>
      </c>
      <c r="AB3" s="3">
        <v>0</v>
      </c>
      <c r="AC3" s="3">
        <f>PARTICIPACION('Datos Protegidos'!AC3,PARTIDOS!AD$5)</f>
        <v>0</v>
      </c>
      <c r="AD3" s="3">
        <v>0</v>
      </c>
      <c r="AE3" s="3">
        <f>PARTICIPACION('Datos Protegidos'!AE3,PARTIDOS!AF$5)</f>
        <v>0</v>
      </c>
      <c r="AF3" s="3">
        <v>0</v>
      </c>
      <c r="AG3" s="3">
        <f>PARTICIPACION('Datos Protegidos'!AG3,PARTIDOS!AH$5)</f>
        <v>0</v>
      </c>
      <c r="AH3" s="3">
        <v>0</v>
      </c>
      <c r="AI3" s="3">
        <f>PARTICIPACION('Datos Protegidos'!AI3,PARTIDOS!AJ$5)</f>
        <v>0</v>
      </c>
      <c r="AJ3" s="3">
        <v>0</v>
      </c>
      <c r="AK3" s="3">
        <f>PARTICIPACION('Datos Protegidos'!AK3,PARTIDOS!AL$5)</f>
        <v>0</v>
      </c>
      <c r="AL3" s="3">
        <v>0</v>
      </c>
      <c r="AM3" s="3">
        <f>PARTICIPACION('Datos Protegidos'!AM3,PARTIDOS!AN$5)</f>
        <v>8394</v>
      </c>
      <c r="AN3" s="3">
        <v>0</v>
      </c>
      <c r="AO3" s="3">
        <f>PARTICIPACION('Datos Protegidos'!AO3,PARTIDOS!AP$5)</f>
        <v>0</v>
      </c>
      <c r="AP3" s="3">
        <v>0</v>
      </c>
      <c r="AQ3" s="3">
        <f>PARTICIPACION('Datos Protegidos'!AQ3,PARTIDOS!AR$5)</f>
        <v>910</v>
      </c>
      <c r="AR3" s="3">
        <v>0</v>
      </c>
      <c r="AS3" s="3">
        <f>PARTICIPACION('Datos Protegidos'!AS3,PARTIDOS!AT$5)</f>
        <v>703</v>
      </c>
      <c r="AT3" s="3">
        <v>0</v>
      </c>
      <c r="AU3" s="3">
        <f>PARTICIPACION('Datos Protegidos'!AU3,PARTIDOS!AV$5)</f>
        <v>0</v>
      </c>
      <c r="AV3" s="3">
        <v>0</v>
      </c>
      <c r="AW3" s="3">
        <f>PARTICIPACION('Datos Protegidos'!AW3,PARTIDOS!AX$5)</f>
        <v>0</v>
      </c>
      <c r="AX3" s="3">
        <v>0</v>
      </c>
      <c r="AY3" s="3">
        <f>PARTICIPACION('Datos Protegidos'!AY3,PARTIDOS!AZ$5)</f>
        <v>3491</v>
      </c>
      <c r="AZ3" s="3">
        <v>0</v>
      </c>
      <c r="BA3" s="3">
        <f>PARTICIPACION('Datos Protegidos'!BA3,PARTIDOS!BB$5)</f>
        <v>670</v>
      </c>
      <c r="BB3" s="3">
        <v>0</v>
      </c>
      <c r="BC3" s="3">
        <f>PARTICIPACION('Datos Protegidos'!BC3,PARTIDOS!BD$5)</f>
        <v>0</v>
      </c>
      <c r="BD3" s="3">
        <v>0</v>
      </c>
      <c r="BE3" s="3">
        <f>PARTICIPACION('Datos Protegidos'!BE3,PARTIDOS!BF$5)</f>
        <v>0</v>
      </c>
      <c r="BF3" s="3">
        <v>0</v>
      </c>
      <c r="BG3" s="3">
        <f>PARTICIPACION('Datos Protegidos'!BG3,PARTIDOS!BH$5)</f>
        <v>0</v>
      </c>
      <c r="BH3" s="3">
        <v>0</v>
      </c>
      <c r="BI3" s="3">
        <f>PARTICIPACION('Datos Protegidos'!BI3,PARTIDOS!BJ$5)</f>
        <v>1825</v>
      </c>
      <c r="BJ3" s="3">
        <v>0</v>
      </c>
      <c r="BK3" s="3">
        <f>PARTICIPACION('Datos Protegidos'!BK3,PARTIDOS!BL$5)</f>
        <v>0</v>
      </c>
      <c r="BL3" s="3">
        <v>0</v>
      </c>
      <c r="BM3" s="3">
        <f>PARTICIPACION('Datos Protegidos'!BM3,PARTIDOS!BN$5)</f>
        <v>0</v>
      </c>
      <c r="BN3" s="3">
        <v>0</v>
      </c>
      <c r="BO3" s="3">
        <f>PARTICIPACION('Datos Protegidos'!BO3,PARTIDOS!BP$5)</f>
        <v>0</v>
      </c>
      <c r="BP3" s="3">
        <v>0</v>
      </c>
      <c r="BQ3" s="3">
        <f>PARTICIPACION('Datos Protegidos'!BQ3,PARTIDOS!BR$5)</f>
        <v>0</v>
      </c>
      <c r="BR3" s="3">
        <v>0</v>
      </c>
      <c r="BS3" s="3">
        <f>PARTICIPACION('Datos Protegidos'!BS3,PARTIDOS!BT$5)</f>
        <v>0</v>
      </c>
      <c r="BT3" s="3">
        <v>0</v>
      </c>
      <c r="BU3" s="3">
        <f>PARTICIPACION('Datos Protegidos'!BU3,PARTIDOS!BV$5)</f>
        <v>0</v>
      </c>
      <c r="BV3" s="3">
        <v>0</v>
      </c>
      <c r="BW3" s="3">
        <f>PARTICIPACION('Datos Protegidos'!BW3,PARTIDOS!BX$5)</f>
        <v>0</v>
      </c>
      <c r="BX3" s="3">
        <v>0</v>
      </c>
      <c r="BY3" s="3">
        <f>PARTICIPACION('Datos Protegidos'!BY3,PARTIDOS!BZ$5)</f>
        <v>0</v>
      </c>
      <c r="BZ3" s="3">
        <v>0</v>
      </c>
      <c r="CA3" s="3">
        <f>PARTICIPACION('Datos Protegidos'!CA3,PARTIDOS!CB$5)</f>
        <v>0</v>
      </c>
      <c r="CB3" s="3">
        <v>0</v>
      </c>
      <c r="CC3" s="3">
        <f>PARTICIPACION('Datos Protegidos'!CC3,PARTIDOS!CD$5)</f>
        <v>0</v>
      </c>
      <c r="CD3" s="3">
        <v>0</v>
      </c>
      <c r="CE3" s="3">
        <f>PARTICIPACION('Datos Protegidos'!CE3,PARTIDOS!CF$5)</f>
        <v>0</v>
      </c>
      <c r="CF3" s="3">
        <v>0</v>
      </c>
      <c r="CG3" s="3">
        <f>PARTICIPACION('Datos Protegidos'!CG3,PARTIDOS!CH$5)</f>
        <v>0</v>
      </c>
      <c r="CH3" s="3">
        <v>0</v>
      </c>
      <c r="CI3" s="3">
        <f>PARTICIPACION('Datos Protegidos'!CI3,PARTIDOS!CJ$5)</f>
        <v>0</v>
      </c>
      <c r="CJ3" s="3">
        <v>0</v>
      </c>
      <c r="CK3" s="3">
        <f>PARTICIPACION('Datos Protegidos'!CK3,PARTIDOS!CL$5)</f>
        <v>0</v>
      </c>
      <c r="CL3" s="3">
        <v>0</v>
      </c>
      <c r="CM3" s="3">
        <f>PARTICIPACION('Datos Protegidos'!CM3,PARTIDOS!CN$5)</f>
        <v>0</v>
      </c>
      <c r="CN3" s="3">
        <v>0</v>
      </c>
      <c r="CO3" s="3">
        <f>PARTICIPACION('Datos Protegidos'!CO3,PARTIDOS!CP$5)</f>
        <v>0</v>
      </c>
      <c r="CP3" s="3">
        <v>0</v>
      </c>
      <c r="CQ3" s="3">
        <f>PARTICIPACION('Datos Protegidos'!CQ3,PARTIDOS!CR$5)</f>
        <v>0</v>
      </c>
      <c r="CR3" s="3">
        <v>0</v>
      </c>
      <c r="CS3" s="3">
        <f>PARTICIPACION('Datos Protegidos'!CS3,PARTIDOS!CT$5)</f>
        <v>0</v>
      </c>
      <c r="CT3" s="3">
        <v>0</v>
      </c>
      <c r="CU3" s="3">
        <f>PARTICIPACION('Datos Protegidos'!CU3,PARTIDOS!CV$5)</f>
        <v>0</v>
      </c>
      <c r="CV3" s="3">
        <v>0</v>
      </c>
      <c r="CW3" s="3">
        <f>PARTICIPACION('Datos Protegidos'!CW3,PARTIDOS!CX$5)</f>
        <v>0</v>
      </c>
      <c r="CX3" s="3">
        <v>0</v>
      </c>
      <c r="CY3" s="3">
        <f>PARTICIPACION('Datos Protegidos'!CY3,PARTIDOS!CZ$5)</f>
        <v>0</v>
      </c>
      <c r="CZ3" s="3">
        <v>0</v>
      </c>
      <c r="DA3" s="3">
        <f>PARTICIPACION('Datos Protegidos'!DA3,PARTIDOS!DB$5)</f>
        <v>0</v>
      </c>
      <c r="DB3" s="3">
        <v>0</v>
      </c>
      <c r="DC3" s="3">
        <f>PARTICIPACION('Datos Protegidos'!DC3,PARTIDOS!DD$5)</f>
        <v>0</v>
      </c>
      <c r="DD3" s="3">
        <v>0</v>
      </c>
      <c r="DE3" s="3">
        <f>PARTICIPACION('Datos Protegidos'!DE3,PARTIDOS!DF$5)</f>
        <v>0</v>
      </c>
      <c r="DF3" s="3">
        <v>0</v>
      </c>
      <c r="DG3" s="3">
        <f>PARTICIPACION('Datos Protegidos'!DG3,PARTIDOS!DH$5)</f>
        <v>0</v>
      </c>
      <c r="DH3" s="3">
        <v>0</v>
      </c>
      <c r="DI3" s="3">
        <f>PARTICIPACION('Datos Protegidos'!DI3,PARTIDOS!DJ$5)</f>
        <v>0</v>
      </c>
      <c r="DJ3" s="3">
        <v>0</v>
      </c>
      <c r="DK3" s="3">
        <f>PARTICIPACION('Datos Protegidos'!DK3,PARTIDOS!DL$5)</f>
        <v>0</v>
      </c>
      <c r="DL3" s="3">
        <v>0</v>
      </c>
      <c r="DM3" s="3">
        <f>PARTICIPACION('Datos Protegidos'!DM3,PARTIDOS!DN$5)</f>
        <v>0</v>
      </c>
      <c r="DN3" s="3">
        <v>0</v>
      </c>
      <c r="DO3" s="3">
        <f>PARTICIPACION('Datos Protegidos'!DO3,PARTIDOS!DP$5)</f>
        <v>0</v>
      </c>
      <c r="DP3" s="3">
        <v>0</v>
      </c>
      <c r="DQ3" s="3">
        <f>PARTICIPACION('Datos Protegidos'!DQ3,PARTIDOS!DR$5)</f>
        <v>0</v>
      </c>
      <c r="DR3" s="3">
        <v>0</v>
      </c>
      <c r="DS3" s="3">
        <f>PARTICIPACION('Datos Protegidos'!DS3,PARTIDOS!DT$5)</f>
        <v>0</v>
      </c>
      <c r="DT3" s="3">
        <v>0</v>
      </c>
      <c r="DU3" s="3">
        <f>PARTICIPACION('Datos Protegidos'!DU3,PARTIDOS!DV$5)</f>
        <v>0</v>
      </c>
      <c r="DV3" s="3">
        <v>0</v>
      </c>
      <c r="DW3" s="3">
        <f>PARTICIPACION('Datos Protegidos'!DW3,PARTIDOS!DX$5)</f>
        <v>0</v>
      </c>
      <c r="DX3" s="3">
        <v>0</v>
      </c>
      <c r="DY3" s="3">
        <f>PARTICIPACION('Datos Protegidos'!DY3,PARTIDOS!DZ$5)</f>
        <v>0</v>
      </c>
      <c r="DZ3" s="3">
        <v>0</v>
      </c>
      <c r="EA3" s="3">
        <f>PARTICIPACION('Datos Protegidos'!EA3,PARTIDOS!EB$5)</f>
        <v>0</v>
      </c>
      <c r="EB3" s="3">
        <v>0</v>
      </c>
      <c r="EC3" s="3">
        <f>PARTICIPACION('Datos Protegidos'!EC3,PARTIDOS!ED$5)</f>
        <v>0</v>
      </c>
      <c r="ED3" s="3">
        <v>0</v>
      </c>
    </row>
    <row r="4" spans="1:134" x14ac:dyDescent="0.25">
      <c r="A4" s="3">
        <f>PARTICIPACION('Datos Protegidos'!A4,PARTIDOS!B$5)</f>
        <v>154099</v>
      </c>
      <c r="B4" s="3">
        <v>2</v>
      </c>
      <c r="C4" s="3">
        <f>PARTICIPACION('Datos Protegidos'!C4,PARTIDOS!D$5)</f>
        <v>101998</v>
      </c>
      <c r="D4" s="3">
        <v>2</v>
      </c>
      <c r="E4" s="3">
        <f>PARTICIPACION('Datos Protegidos'!E4,PARTIDOS!F$5)</f>
        <v>84184</v>
      </c>
      <c r="F4" s="3">
        <v>1</v>
      </c>
      <c r="G4" s="3">
        <f>PARTICIPACION('Datos Protegidos'!G4,PARTIDOS!H$5)</f>
        <v>68007</v>
      </c>
      <c r="H4" s="3">
        <v>1</v>
      </c>
      <c r="I4" s="3">
        <f>PARTICIPACION('Datos Protegidos'!I4,PARTIDOS!J$5)</f>
        <v>0</v>
      </c>
      <c r="J4" s="3">
        <v>0</v>
      </c>
      <c r="K4" s="3">
        <f>PARTICIPACION('Datos Protegidos'!K4,PARTIDOS!L$5)</f>
        <v>36229</v>
      </c>
      <c r="L4" s="3">
        <v>0</v>
      </c>
      <c r="M4" s="3">
        <f>PARTICIPACION('Datos Protegidos'!M4,PARTIDOS!N$5)</f>
        <v>0</v>
      </c>
      <c r="N4" s="3">
        <v>0</v>
      </c>
      <c r="O4" s="3">
        <f>PARTICIPACION('Datos Protegidos'!O4,PARTIDOS!P$5)</f>
        <v>0</v>
      </c>
      <c r="P4" s="3">
        <v>0</v>
      </c>
      <c r="Q4" s="3">
        <f>PARTICIPACION('Datos Protegidos'!Q4,PARTIDOS!R$5)</f>
        <v>0</v>
      </c>
      <c r="R4" s="3">
        <v>0</v>
      </c>
      <c r="S4" s="3">
        <f>PARTICIPACION('Datos Protegidos'!S4,PARTIDOS!T$5)</f>
        <v>0</v>
      </c>
      <c r="T4" s="3">
        <v>0</v>
      </c>
      <c r="U4" s="3">
        <f>PARTICIPACION('Datos Protegidos'!U4,PARTIDOS!V$5)</f>
        <v>0</v>
      </c>
      <c r="V4" s="3">
        <v>0</v>
      </c>
      <c r="W4" s="3">
        <f>PARTICIPACION('Datos Protegidos'!W4,PARTIDOS!X$5)</f>
        <v>0</v>
      </c>
      <c r="X4" s="3">
        <v>0</v>
      </c>
      <c r="Y4" s="3">
        <f>PARTICIPACION('Datos Protegidos'!Y4,PARTIDOS!Z$5)</f>
        <v>0</v>
      </c>
      <c r="Z4" s="3">
        <v>0</v>
      </c>
      <c r="AA4" s="3">
        <f>PARTICIPACION('Datos Protegidos'!AA4,PARTIDOS!AB$5)</f>
        <v>0</v>
      </c>
      <c r="AB4" s="3">
        <v>0</v>
      </c>
      <c r="AC4" s="3">
        <f>PARTICIPACION('Datos Protegidos'!AC4,PARTIDOS!AD$5)</f>
        <v>0</v>
      </c>
      <c r="AD4" s="3">
        <v>0</v>
      </c>
      <c r="AE4" s="3">
        <f>PARTICIPACION('Datos Protegidos'!AE4,PARTIDOS!AF$5)</f>
        <v>0</v>
      </c>
      <c r="AF4" s="3">
        <v>0</v>
      </c>
      <c r="AG4" s="3">
        <f>PARTICIPACION('Datos Protegidos'!AG4,PARTIDOS!AH$5)</f>
        <v>0</v>
      </c>
      <c r="AH4" s="3">
        <v>0</v>
      </c>
      <c r="AI4" s="3">
        <f>PARTICIPACION('Datos Protegidos'!AI4,PARTIDOS!AJ$5)</f>
        <v>0</v>
      </c>
      <c r="AJ4" s="3">
        <v>0</v>
      </c>
      <c r="AK4" s="3">
        <f>PARTICIPACION('Datos Protegidos'!AK4,PARTIDOS!AL$5)</f>
        <v>0</v>
      </c>
      <c r="AL4" s="3">
        <v>0</v>
      </c>
      <c r="AM4" s="3">
        <f>PARTICIPACION('Datos Protegidos'!AM4,PARTIDOS!AN$5)</f>
        <v>3926</v>
      </c>
      <c r="AN4" s="3">
        <v>0</v>
      </c>
      <c r="AO4" s="3">
        <f>PARTICIPACION('Datos Protegidos'!AO4,PARTIDOS!AP$5)</f>
        <v>0</v>
      </c>
      <c r="AP4" s="3">
        <v>0</v>
      </c>
      <c r="AQ4" s="3">
        <f>PARTICIPACION('Datos Protegidos'!AQ4,PARTIDOS!AR$5)</f>
        <v>546</v>
      </c>
      <c r="AR4" s="3">
        <v>0</v>
      </c>
      <c r="AS4" s="3">
        <f>PARTICIPACION('Datos Protegidos'!AS4,PARTIDOS!AT$5)</f>
        <v>475</v>
      </c>
      <c r="AT4" s="3">
        <v>0</v>
      </c>
      <c r="AU4" s="3">
        <f>PARTICIPACION('Datos Protegidos'!AU4,PARTIDOS!AV$5)</f>
        <v>0</v>
      </c>
      <c r="AV4" s="3">
        <v>0</v>
      </c>
      <c r="AW4" s="3">
        <f>PARTICIPACION('Datos Protegidos'!AW4,PARTIDOS!AX$5)</f>
        <v>0</v>
      </c>
      <c r="AX4" s="3">
        <v>0</v>
      </c>
      <c r="AY4" s="3">
        <f>PARTICIPACION('Datos Protegidos'!AY4,PARTIDOS!AZ$5)</f>
        <v>1013</v>
      </c>
      <c r="AZ4" s="3">
        <v>0</v>
      </c>
      <c r="BA4" s="3">
        <f>PARTICIPACION('Datos Protegidos'!BA4,PARTIDOS!BB$5)</f>
        <v>571</v>
      </c>
      <c r="BB4" s="3">
        <v>0</v>
      </c>
      <c r="BC4" s="3">
        <f>PARTICIPACION('Datos Protegidos'!BC4,PARTIDOS!BD$5)</f>
        <v>337</v>
      </c>
      <c r="BD4" s="3">
        <v>0</v>
      </c>
      <c r="BE4" s="3">
        <f>PARTICIPACION('Datos Protegidos'!BE4,PARTIDOS!BF$5)</f>
        <v>0</v>
      </c>
      <c r="BF4" s="3">
        <v>0</v>
      </c>
      <c r="BG4" s="3">
        <f>PARTICIPACION('Datos Protegidos'!BG4,PARTIDOS!BH$5)</f>
        <v>0</v>
      </c>
      <c r="BH4" s="3">
        <v>0</v>
      </c>
      <c r="BI4" s="3">
        <f>PARTICIPACION('Datos Protegidos'!BI4,PARTIDOS!BJ$5)</f>
        <v>1115</v>
      </c>
      <c r="BJ4" s="3">
        <v>0</v>
      </c>
      <c r="BK4" s="3">
        <f>PARTICIPACION('Datos Protegidos'!BK4,PARTIDOS!BL$5)</f>
        <v>0</v>
      </c>
      <c r="BL4" s="3">
        <v>0</v>
      </c>
      <c r="BM4" s="3">
        <f>PARTICIPACION('Datos Protegidos'!BM4,PARTIDOS!BN$5)</f>
        <v>756</v>
      </c>
      <c r="BN4" s="3">
        <v>0</v>
      </c>
      <c r="BO4" s="3">
        <f>PARTICIPACION('Datos Protegidos'!BO4,PARTIDOS!BP$5)</f>
        <v>0</v>
      </c>
      <c r="BP4" s="3">
        <v>0</v>
      </c>
      <c r="BQ4" s="3">
        <f>PARTICIPACION('Datos Protegidos'!BQ4,PARTIDOS!BR$5)</f>
        <v>0</v>
      </c>
      <c r="BR4" s="3">
        <v>0</v>
      </c>
      <c r="BS4" s="3">
        <f>PARTICIPACION('Datos Protegidos'!BS4,PARTIDOS!BT$5)</f>
        <v>0</v>
      </c>
      <c r="BT4" s="3">
        <v>0</v>
      </c>
      <c r="BU4" s="3">
        <f>PARTICIPACION('Datos Protegidos'!BU4,PARTIDOS!BV$5)</f>
        <v>0</v>
      </c>
      <c r="BV4" s="3">
        <v>0</v>
      </c>
      <c r="BW4" s="3">
        <f>PARTICIPACION('Datos Protegidos'!BW4,PARTIDOS!BX$5)</f>
        <v>0</v>
      </c>
      <c r="BX4" s="3">
        <v>0</v>
      </c>
      <c r="BY4" s="3">
        <f>PARTICIPACION('Datos Protegidos'!BY4,PARTIDOS!BZ$5)</f>
        <v>0</v>
      </c>
      <c r="BZ4" s="3">
        <v>0</v>
      </c>
      <c r="CA4" s="3">
        <f>PARTICIPACION('Datos Protegidos'!CA4,PARTIDOS!CB$5)</f>
        <v>0</v>
      </c>
      <c r="CB4" s="3">
        <v>0</v>
      </c>
      <c r="CC4" s="3">
        <f>PARTICIPACION('Datos Protegidos'!CC4,PARTIDOS!CD$5)</f>
        <v>0</v>
      </c>
      <c r="CD4" s="3">
        <v>0</v>
      </c>
      <c r="CE4" s="3">
        <f>PARTICIPACION('Datos Protegidos'!CE4,PARTIDOS!CF$5)</f>
        <v>0</v>
      </c>
      <c r="CF4" s="3">
        <v>0</v>
      </c>
      <c r="CG4" s="3">
        <f>PARTICIPACION('Datos Protegidos'!CG4,PARTIDOS!CH$5)</f>
        <v>0</v>
      </c>
      <c r="CH4" s="3">
        <v>0</v>
      </c>
      <c r="CI4" s="3">
        <f>PARTICIPACION('Datos Protegidos'!CI4,PARTIDOS!CJ$5)</f>
        <v>0</v>
      </c>
      <c r="CJ4" s="3">
        <v>0</v>
      </c>
      <c r="CK4" s="3">
        <f>PARTICIPACION('Datos Protegidos'!CK4,PARTIDOS!CL$5)</f>
        <v>0</v>
      </c>
      <c r="CL4" s="3">
        <v>0</v>
      </c>
      <c r="CM4" s="3">
        <f>PARTICIPACION('Datos Protegidos'!CM4,PARTIDOS!CN$5)</f>
        <v>0</v>
      </c>
      <c r="CN4" s="3">
        <v>0</v>
      </c>
      <c r="CO4" s="3">
        <f>PARTICIPACION('Datos Protegidos'!CO4,PARTIDOS!CP$5)</f>
        <v>0</v>
      </c>
      <c r="CP4" s="3">
        <v>0</v>
      </c>
      <c r="CQ4" s="3">
        <f>PARTICIPACION('Datos Protegidos'!CQ4,PARTIDOS!CR$5)</f>
        <v>0</v>
      </c>
      <c r="CR4" s="3">
        <v>0</v>
      </c>
      <c r="CS4" s="3">
        <f>PARTICIPACION('Datos Protegidos'!CS4,PARTIDOS!CT$5)</f>
        <v>0</v>
      </c>
      <c r="CT4" s="3">
        <v>0</v>
      </c>
      <c r="CU4" s="3">
        <f>PARTICIPACION('Datos Protegidos'!CU4,PARTIDOS!CV$5)</f>
        <v>0</v>
      </c>
      <c r="CV4" s="3">
        <v>0</v>
      </c>
      <c r="CW4" s="3">
        <f>PARTICIPACION('Datos Protegidos'!CW4,PARTIDOS!CX$5)</f>
        <v>0</v>
      </c>
      <c r="CX4" s="3">
        <v>0</v>
      </c>
      <c r="CY4" s="3">
        <f>PARTICIPACION('Datos Protegidos'!CY4,PARTIDOS!CZ$5)</f>
        <v>0</v>
      </c>
      <c r="CZ4" s="3">
        <v>0</v>
      </c>
      <c r="DA4" s="3">
        <f>PARTICIPACION('Datos Protegidos'!DA4,PARTIDOS!DB$5)</f>
        <v>0</v>
      </c>
      <c r="DB4" s="3">
        <v>0</v>
      </c>
      <c r="DC4" s="3">
        <f>PARTICIPACION('Datos Protegidos'!DC4,PARTIDOS!DD$5)</f>
        <v>0</v>
      </c>
      <c r="DD4" s="3">
        <v>0</v>
      </c>
      <c r="DE4" s="3">
        <f>PARTICIPACION('Datos Protegidos'!DE4,PARTIDOS!DF$5)</f>
        <v>0</v>
      </c>
      <c r="DF4" s="3">
        <v>0</v>
      </c>
      <c r="DG4" s="3">
        <f>PARTICIPACION('Datos Protegidos'!DG4,PARTIDOS!DH$5)</f>
        <v>0</v>
      </c>
      <c r="DH4" s="3">
        <v>0</v>
      </c>
      <c r="DI4" s="3">
        <f>PARTICIPACION('Datos Protegidos'!DI4,PARTIDOS!DJ$5)</f>
        <v>0</v>
      </c>
      <c r="DJ4" s="3">
        <v>0</v>
      </c>
      <c r="DK4" s="3">
        <f>PARTICIPACION('Datos Protegidos'!DK4,PARTIDOS!DL$5)</f>
        <v>0</v>
      </c>
      <c r="DL4" s="3">
        <v>0</v>
      </c>
      <c r="DM4" s="3">
        <f>PARTICIPACION('Datos Protegidos'!DM4,PARTIDOS!DN$5)</f>
        <v>0</v>
      </c>
      <c r="DN4" s="3">
        <v>0</v>
      </c>
      <c r="DO4" s="3">
        <f>PARTICIPACION('Datos Protegidos'!DO4,PARTIDOS!DP$5)</f>
        <v>0</v>
      </c>
      <c r="DP4" s="3">
        <v>0</v>
      </c>
      <c r="DQ4" s="3">
        <f>PARTICIPACION('Datos Protegidos'!DQ4,PARTIDOS!DR$5)</f>
        <v>0</v>
      </c>
      <c r="DR4" s="3">
        <v>0</v>
      </c>
      <c r="DS4" s="3">
        <f>PARTICIPACION('Datos Protegidos'!DS4,PARTIDOS!DT$5)</f>
        <v>0</v>
      </c>
      <c r="DT4" s="3">
        <v>0</v>
      </c>
      <c r="DU4" s="3">
        <f>PARTICIPACION('Datos Protegidos'!DU4,PARTIDOS!DV$5)</f>
        <v>0</v>
      </c>
      <c r="DV4" s="3">
        <v>0</v>
      </c>
      <c r="DW4" s="3">
        <f>PARTICIPACION('Datos Protegidos'!DW4,PARTIDOS!DX$5)</f>
        <v>0</v>
      </c>
      <c r="DX4" s="3">
        <v>0</v>
      </c>
      <c r="DY4" s="3">
        <f>PARTICIPACION('Datos Protegidos'!DY4,PARTIDOS!DZ$5)</f>
        <v>0</v>
      </c>
      <c r="DZ4" s="3">
        <v>0</v>
      </c>
      <c r="EA4" s="3">
        <f>PARTICIPACION('Datos Protegidos'!EA4,PARTIDOS!EB$5)</f>
        <v>0</v>
      </c>
      <c r="EB4" s="3">
        <v>0</v>
      </c>
      <c r="EC4" s="3">
        <f>PARTICIPACION('Datos Protegidos'!EC4,PARTIDOS!ED$5)</f>
        <v>0</v>
      </c>
      <c r="ED4" s="3">
        <v>0</v>
      </c>
    </row>
    <row r="5" spans="1:134" x14ac:dyDescent="0.25">
      <c r="A5" s="3">
        <f>PARTICIPACION('Datos Protegidos'!A5,PARTIDOS!B$5)</f>
        <v>168199</v>
      </c>
      <c r="B5" s="3">
        <v>3</v>
      </c>
      <c r="C5" s="3">
        <f>PARTICIPACION('Datos Protegidos'!C5,PARTIDOS!D$5)</f>
        <v>107295</v>
      </c>
      <c r="D5" s="3">
        <v>2</v>
      </c>
      <c r="E5" s="3">
        <f>PARTICIPACION('Datos Protegidos'!E5,PARTIDOS!F$5)</f>
        <v>101926</v>
      </c>
      <c r="F5" s="3">
        <v>1</v>
      </c>
      <c r="G5" s="3">
        <f>PARTICIPACION('Datos Protegidos'!G5,PARTIDOS!H$5)</f>
        <v>62297</v>
      </c>
      <c r="H5" s="3">
        <v>1</v>
      </c>
      <c r="I5" s="3">
        <f>PARTICIPACION('Datos Protegidos'!I5,PARTIDOS!J$5)</f>
        <v>0</v>
      </c>
      <c r="J5" s="3">
        <v>0</v>
      </c>
      <c r="K5" s="3">
        <f>PARTICIPACION('Datos Protegidos'!K5,PARTIDOS!L$5)</f>
        <v>37772</v>
      </c>
      <c r="L5" s="3">
        <v>0</v>
      </c>
      <c r="M5" s="3">
        <f>PARTICIPACION('Datos Protegidos'!M5,PARTIDOS!N$5)</f>
        <v>0</v>
      </c>
      <c r="N5" s="3">
        <v>0</v>
      </c>
      <c r="O5" s="3">
        <f>PARTICIPACION('Datos Protegidos'!O5,PARTIDOS!P$5)</f>
        <v>0</v>
      </c>
      <c r="P5" s="3">
        <v>0</v>
      </c>
      <c r="Q5" s="3">
        <f>PARTICIPACION('Datos Protegidos'!Q5,PARTIDOS!R$5)</f>
        <v>0</v>
      </c>
      <c r="R5" s="3">
        <v>0</v>
      </c>
      <c r="S5" s="3">
        <f>PARTICIPACION('Datos Protegidos'!S5,PARTIDOS!T$5)</f>
        <v>0</v>
      </c>
      <c r="T5" s="3">
        <v>0</v>
      </c>
      <c r="U5" s="3">
        <f>PARTICIPACION('Datos Protegidos'!U5,PARTIDOS!V$5)</f>
        <v>9060</v>
      </c>
      <c r="V5" s="3">
        <v>0</v>
      </c>
      <c r="W5" s="3">
        <f>PARTICIPACION('Datos Protegidos'!W5,PARTIDOS!X$5)</f>
        <v>0</v>
      </c>
      <c r="X5" s="3">
        <v>0</v>
      </c>
      <c r="Y5" s="3">
        <f>PARTICIPACION('Datos Protegidos'!Y5,PARTIDOS!Z$5)</f>
        <v>0</v>
      </c>
      <c r="Z5" s="3">
        <v>0</v>
      </c>
      <c r="AA5" s="3">
        <f>PARTICIPACION('Datos Protegidos'!AA5,PARTIDOS!AB$5)</f>
        <v>0</v>
      </c>
      <c r="AB5" s="3">
        <v>0</v>
      </c>
      <c r="AC5" s="3">
        <f>PARTICIPACION('Datos Protegidos'!AC5,PARTIDOS!AD$5)</f>
        <v>0</v>
      </c>
      <c r="AD5" s="3">
        <v>0</v>
      </c>
      <c r="AE5" s="3">
        <f>PARTICIPACION('Datos Protegidos'!AE5,PARTIDOS!AF$5)</f>
        <v>0</v>
      </c>
      <c r="AF5" s="3">
        <v>0</v>
      </c>
      <c r="AG5" s="3">
        <f>PARTICIPACION('Datos Protegidos'!AG5,PARTIDOS!AH$5)</f>
        <v>0</v>
      </c>
      <c r="AH5" s="3">
        <v>0</v>
      </c>
      <c r="AI5" s="3">
        <f>PARTICIPACION('Datos Protegidos'!AI5,PARTIDOS!AJ$5)</f>
        <v>0</v>
      </c>
      <c r="AJ5" s="3">
        <v>0</v>
      </c>
      <c r="AK5" s="3">
        <f>PARTICIPACION('Datos Protegidos'!AK5,PARTIDOS!AL$5)</f>
        <v>0</v>
      </c>
      <c r="AL5" s="3">
        <v>0</v>
      </c>
      <c r="AM5" s="3">
        <f>PARTICIPACION('Datos Protegidos'!AM5,PARTIDOS!AN$5)</f>
        <v>4074</v>
      </c>
      <c r="AN5" s="3">
        <v>0</v>
      </c>
      <c r="AO5" s="3">
        <f>PARTICIPACION('Datos Protegidos'!AO5,PARTIDOS!AP$5)</f>
        <v>0</v>
      </c>
      <c r="AP5" s="3">
        <v>0</v>
      </c>
      <c r="AQ5" s="3">
        <f>PARTICIPACION('Datos Protegidos'!AQ5,PARTIDOS!AR$5)</f>
        <v>542</v>
      </c>
      <c r="AR5" s="3">
        <v>0</v>
      </c>
      <c r="AS5" s="3">
        <f>PARTICIPACION('Datos Protegidos'!AS5,PARTIDOS!AT$5)</f>
        <v>620</v>
      </c>
      <c r="AT5" s="3">
        <v>0</v>
      </c>
      <c r="AU5" s="3">
        <f>PARTICIPACION('Datos Protegidos'!AU5,PARTIDOS!AV$5)</f>
        <v>0</v>
      </c>
      <c r="AV5" s="3">
        <v>0</v>
      </c>
      <c r="AW5" s="3">
        <f>PARTICIPACION('Datos Protegidos'!AW5,PARTIDOS!AX$5)</f>
        <v>0</v>
      </c>
      <c r="AX5" s="3">
        <v>0</v>
      </c>
      <c r="AY5" s="3">
        <f>PARTICIPACION('Datos Protegidos'!AY5,PARTIDOS!AZ$5)</f>
        <v>615</v>
      </c>
      <c r="AZ5" s="3">
        <v>0</v>
      </c>
      <c r="BA5" s="3">
        <f>PARTICIPACION('Datos Protegidos'!BA5,PARTIDOS!BB$5)</f>
        <v>389</v>
      </c>
      <c r="BB5" s="3">
        <v>0</v>
      </c>
      <c r="BC5" s="3">
        <f>PARTICIPACION('Datos Protegidos'!BC5,PARTIDOS!BD$5)</f>
        <v>338</v>
      </c>
      <c r="BD5" s="3">
        <v>0</v>
      </c>
      <c r="BE5" s="3">
        <f>PARTICIPACION('Datos Protegidos'!BE5,PARTIDOS!BF$5)</f>
        <v>0</v>
      </c>
      <c r="BF5" s="3">
        <v>0</v>
      </c>
      <c r="BG5" s="3">
        <f>PARTICIPACION('Datos Protegidos'!BG5,PARTIDOS!BH$5)</f>
        <v>0</v>
      </c>
      <c r="BH5" s="3">
        <v>0</v>
      </c>
      <c r="BI5" s="3">
        <f>PARTICIPACION('Datos Protegidos'!BI5,PARTIDOS!BJ$5)</f>
        <v>0</v>
      </c>
      <c r="BJ5" s="3">
        <v>0</v>
      </c>
      <c r="BK5" s="3">
        <f>PARTICIPACION('Datos Protegidos'!BK5,PARTIDOS!BL$5)</f>
        <v>0</v>
      </c>
      <c r="BL5" s="3">
        <v>0</v>
      </c>
      <c r="BM5" s="3">
        <f>PARTICIPACION('Datos Protegidos'!BM5,PARTIDOS!BN$5)</f>
        <v>0</v>
      </c>
      <c r="BN5" s="3">
        <v>0</v>
      </c>
      <c r="BO5" s="3">
        <f>PARTICIPACION('Datos Protegidos'!BO5,PARTIDOS!BP$5)</f>
        <v>0</v>
      </c>
      <c r="BP5" s="3">
        <v>0</v>
      </c>
      <c r="BQ5" s="3">
        <f>PARTICIPACION('Datos Protegidos'!BQ5,PARTIDOS!BR$5)</f>
        <v>0</v>
      </c>
      <c r="BR5" s="3">
        <v>0</v>
      </c>
      <c r="BS5" s="3">
        <f>PARTICIPACION('Datos Protegidos'!BS5,PARTIDOS!BT$5)</f>
        <v>0</v>
      </c>
      <c r="BT5" s="3">
        <v>0</v>
      </c>
      <c r="BU5" s="3">
        <f>PARTICIPACION('Datos Protegidos'!BU5,PARTIDOS!BV$5)</f>
        <v>0</v>
      </c>
      <c r="BV5" s="3">
        <v>0</v>
      </c>
      <c r="BW5" s="3">
        <f>PARTICIPACION('Datos Protegidos'!BW5,PARTIDOS!BX$5)</f>
        <v>0</v>
      </c>
      <c r="BX5" s="3">
        <v>0</v>
      </c>
      <c r="BY5" s="3">
        <f>PARTICIPACION('Datos Protegidos'!BY5,PARTIDOS!BZ$5)</f>
        <v>0</v>
      </c>
      <c r="BZ5" s="3">
        <v>0</v>
      </c>
      <c r="CA5" s="3">
        <f>PARTICIPACION('Datos Protegidos'!CA5,PARTIDOS!CB$5)</f>
        <v>0</v>
      </c>
      <c r="CB5" s="3">
        <v>0</v>
      </c>
      <c r="CC5" s="3">
        <f>PARTICIPACION('Datos Protegidos'!CC5,PARTIDOS!CD$5)</f>
        <v>0</v>
      </c>
      <c r="CD5" s="3">
        <v>0</v>
      </c>
      <c r="CE5" s="3">
        <f>PARTICIPACION('Datos Protegidos'!CE5,PARTIDOS!CF$5)</f>
        <v>0</v>
      </c>
      <c r="CF5" s="3">
        <v>0</v>
      </c>
      <c r="CG5" s="3">
        <f>PARTICIPACION('Datos Protegidos'!CG5,PARTIDOS!CH$5)</f>
        <v>0</v>
      </c>
      <c r="CH5" s="3">
        <v>0</v>
      </c>
      <c r="CI5" s="3">
        <f>PARTICIPACION('Datos Protegidos'!CI5,PARTIDOS!CJ$5)</f>
        <v>0</v>
      </c>
      <c r="CJ5" s="3">
        <v>0</v>
      </c>
      <c r="CK5" s="3">
        <f>PARTICIPACION('Datos Protegidos'!CK5,PARTIDOS!CL$5)</f>
        <v>0</v>
      </c>
      <c r="CL5" s="3">
        <v>0</v>
      </c>
      <c r="CM5" s="3">
        <f>PARTICIPACION('Datos Protegidos'!CM5,PARTIDOS!CN$5)</f>
        <v>0</v>
      </c>
      <c r="CN5" s="3">
        <v>0</v>
      </c>
      <c r="CO5" s="3">
        <f>PARTICIPACION('Datos Protegidos'!CO5,PARTIDOS!CP$5)</f>
        <v>0</v>
      </c>
      <c r="CP5" s="3">
        <v>0</v>
      </c>
      <c r="CQ5" s="3">
        <f>PARTICIPACION('Datos Protegidos'!CQ5,PARTIDOS!CR$5)</f>
        <v>0</v>
      </c>
      <c r="CR5" s="3">
        <v>0</v>
      </c>
      <c r="CS5" s="3">
        <f>PARTICIPACION('Datos Protegidos'!CS5,PARTIDOS!CT$5)</f>
        <v>0</v>
      </c>
      <c r="CT5" s="3">
        <v>0</v>
      </c>
      <c r="CU5" s="3">
        <f>PARTICIPACION('Datos Protegidos'!CU5,PARTIDOS!CV$5)</f>
        <v>0</v>
      </c>
      <c r="CV5" s="3">
        <v>0</v>
      </c>
      <c r="CW5" s="3">
        <f>PARTICIPACION('Datos Protegidos'!CW5,PARTIDOS!CX$5)</f>
        <v>0</v>
      </c>
      <c r="CX5" s="3">
        <v>0</v>
      </c>
      <c r="CY5" s="3">
        <f>PARTICIPACION('Datos Protegidos'!CY5,PARTIDOS!CZ$5)</f>
        <v>0</v>
      </c>
      <c r="CZ5" s="3">
        <v>0</v>
      </c>
      <c r="DA5" s="3">
        <f>PARTICIPACION('Datos Protegidos'!DA5,PARTIDOS!DB$5)</f>
        <v>0</v>
      </c>
      <c r="DB5" s="3">
        <v>0</v>
      </c>
      <c r="DC5" s="3">
        <f>PARTICIPACION('Datos Protegidos'!DC5,PARTIDOS!DD$5)</f>
        <v>0</v>
      </c>
      <c r="DD5" s="3">
        <v>0</v>
      </c>
      <c r="DE5" s="3">
        <f>PARTICIPACION('Datos Protegidos'!DE5,PARTIDOS!DF$5)</f>
        <v>0</v>
      </c>
      <c r="DF5" s="3">
        <v>0</v>
      </c>
      <c r="DG5" s="3">
        <f>PARTICIPACION('Datos Protegidos'!DG5,PARTIDOS!DH$5)</f>
        <v>0</v>
      </c>
      <c r="DH5" s="3">
        <v>0</v>
      </c>
      <c r="DI5" s="3">
        <f>PARTICIPACION('Datos Protegidos'!DI5,PARTIDOS!DJ$5)</f>
        <v>0</v>
      </c>
      <c r="DJ5" s="3">
        <v>0</v>
      </c>
      <c r="DK5" s="3">
        <f>PARTICIPACION('Datos Protegidos'!DK5,PARTIDOS!DL$5)</f>
        <v>0</v>
      </c>
      <c r="DL5" s="3">
        <v>0</v>
      </c>
      <c r="DM5" s="3">
        <f>PARTICIPACION('Datos Protegidos'!DM5,PARTIDOS!DN$5)</f>
        <v>517</v>
      </c>
      <c r="DN5" s="3">
        <v>0</v>
      </c>
      <c r="DO5" s="3">
        <f>PARTICIPACION('Datos Protegidos'!DO5,PARTIDOS!DP$5)</f>
        <v>0</v>
      </c>
      <c r="DP5" s="3">
        <v>0</v>
      </c>
      <c r="DQ5" s="3">
        <f>PARTICIPACION('Datos Protegidos'!DQ5,PARTIDOS!DR$5)</f>
        <v>0</v>
      </c>
      <c r="DR5" s="3">
        <v>0</v>
      </c>
      <c r="DS5" s="3">
        <f>PARTICIPACION('Datos Protegidos'!DS5,PARTIDOS!DT$5)</f>
        <v>0</v>
      </c>
      <c r="DT5" s="3">
        <v>0</v>
      </c>
      <c r="DU5" s="3">
        <f>PARTICIPACION('Datos Protegidos'!DU5,PARTIDOS!DV$5)</f>
        <v>0</v>
      </c>
      <c r="DV5" s="3">
        <v>0</v>
      </c>
      <c r="DW5" s="3">
        <f>PARTICIPACION('Datos Protegidos'!DW5,PARTIDOS!DX$5)</f>
        <v>0</v>
      </c>
      <c r="DX5" s="3">
        <v>0</v>
      </c>
      <c r="DY5" s="3">
        <f>PARTICIPACION('Datos Protegidos'!DY5,PARTIDOS!DZ$5)</f>
        <v>118</v>
      </c>
      <c r="DZ5" s="3">
        <v>0</v>
      </c>
      <c r="EA5" s="3">
        <f>PARTICIPACION('Datos Protegidos'!EA5,PARTIDOS!EB$5)</f>
        <v>0</v>
      </c>
      <c r="EB5" s="3">
        <v>0</v>
      </c>
      <c r="EC5" s="3">
        <f>PARTICIPACION('Datos Protegidos'!EC5,PARTIDOS!ED$5)</f>
        <v>0</v>
      </c>
      <c r="ED5" s="3">
        <v>0</v>
      </c>
    </row>
    <row r="6" spans="1:134" x14ac:dyDescent="0.25">
      <c r="A6" s="3">
        <f>PARTICIPACION('Datos Protegidos'!A6,PARTIDOS!B$5)</f>
        <v>96238</v>
      </c>
      <c r="B6" s="3">
        <v>3</v>
      </c>
      <c r="C6" s="3">
        <f>PARTICIPACION('Datos Protegidos'!C6,PARTIDOS!D$5)</f>
        <v>50441</v>
      </c>
      <c r="D6" s="3">
        <v>1</v>
      </c>
      <c r="E6" s="3">
        <f>PARTICIPACION('Datos Protegidos'!E6,PARTIDOS!F$5)</f>
        <v>53534</v>
      </c>
      <c r="F6" s="3">
        <v>1</v>
      </c>
      <c r="G6" s="3">
        <f>PARTICIPACION('Datos Protegidos'!G6,PARTIDOS!H$5)</f>
        <v>31908</v>
      </c>
      <c r="H6" s="3">
        <v>0</v>
      </c>
      <c r="I6" s="3">
        <f>PARTICIPACION('Datos Protegidos'!I6,PARTIDOS!J$5)</f>
        <v>0</v>
      </c>
      <c r="J6" s="3">
        <v>0</v>
      </c>
      <c r="K6" s="3">
        <f>PARTICIPACION('Datos Protegidos'!K6,PARTIDOS!L$5)</f>
        <v>18382</v>
      </c>
      <c r="L6" s="3">
        <v>0</v>
      </c>
      <c r="M6" s="3">
        <f>PARTICIPACION('Datos Protegidos'!M6,PARTIDOS!N$5)</f>
        <v>0</v>
      </c>
      <c r="N6" s="3">
        <v>0</v>
      </c>
      <c r="O6" s="3">
        <f>PARTICIPACION('Datos Protegidos'!O6,PARTIDOS!P$5)</f>
        <v>0</v>
      </c>
      <c r="P6" s="3">
        <v>0</v>
      </c>
      <c r="Q6" s="3">
        <f>PARTICIPACION('Datos Protegidos'!Q6,PARTIDOS!R$5)</f>
        <v>0</v>
      </c>
      <c r="R6" s="3">
        <v>0</v>
      </c>
      <c r="S6" s="3">
        <f>PARTICIPACION('Datos Protegidos'!S6,PARTIDOS!T$5)</f>
        <v>0</v>
      </c>
      <c r="T6" s="3">
        <v>0</v>
      </c>
      <c r="U6" s="3">
        <f>PARTICIPACION('Datos Protegidos'!U6,PARTIDOS!V$5)</f>
        <v>0</v>
      </c>
      <c r="V6" s="3">
        <v>0</v>
      </c>
      <c r="W6" s="3">
        <f>PARTICIPACION('Datos Protegidos'!W6,PARTIDOS!X$5)</f>
        <v>0</v>
      </c>
      <c r="X6" s="3">
        <v>0</v>
      </c>
      <c r="Y6" s="3">
        <f>PARTICIPACION('Datos Protegidos'!Y6,PARTIDOS!Z$5)</f>
        <v>0</v>
      </c>
      <c r="Z6" s="3">
        <v>0</v>
      </c>
      <c r="AA6" s="3">
        <f>PARTICIPACION('Datos Protegidos'!AA6,PARTIDOS!AB$5)</f>
        <v>0</v>
      </c>
      <c r="AB6" s="3">
        <v>0</v>
      </c>
      <c r="AC6" s="3">
        <f>PARTICIPACION('Datos Protegidos'!AC6,PARTIDOS!AD$5)</f>
        <v>0</v>
      </c>
      <c r="AD6" s="3">
        <v>0</v>
      </c>
      <c r="AE6" s="3">
        <f>PARTICIPACION('Datos Protegidos'!AE6,PARTIDOS!AF$5)</f>
        <v>0</v>
      </c>
      <c r="AF6" s="3">
        <v>0</v>
      </c>
      <c r="AG6" s="3">
        <f>PARTICIPACION('Datos Protegidos'!AG6,PARTIDOS!AH$5)</f>
        <v>0</v>
      </c>
      <c r="AH6" s="3">
        <v>0</v>
      </c>
      <c r="AI6" s="3">
        <f>PARTICIPACION('Datos Protegidos'!AI6,PARTIDOS!AJ$5)</f>
        <v>0</v>
      </c>
      <c r="AJ6" s="3">
        <v>0</v>
      </c>
      <c r="AK6" s="3">
        <f>PARTICIPACION('Datos Protegidos'!AK6,PARTIDOS!AL$5)</f>
        <v>0</v>
      </c>
      <c r="AL6" s="3">
        <v>0</v>
      </c>
      <c r="AM6" s="3">
        <f>PARTICIPACION('Datos Protegidos'!AM6,PARTIDOS!AN$5)</f>
        <v>2522</v>
      </c>
      <c r="AN6" s="3">
        <v>0</v>
      </c>
      <c r="AO6" s="3">
        <f>PARTICIPACION('Datos Protegidos'!AO6,PARTIDOS!AP$5)</f>
        <v>0</v>
      </c>
      <c r="AP6" s="3">
        <v>0</v>
      </c>
      <c r="AQ6" s="3">
        <f>PARTICIPACION('Datos Protegidos'!AQ6,PARTIDOS!AR$5)</f>
        <v>492</v>
      </c>
      <c r="AR6" s="3">
        <v>0</v>
      </c>
      <c r="AS6" s="3">
        <f>PARTICIPACION('Datos Protegidos'!AS6,PARTIDOS!AT$5)</f>
        <v>349</v>
      </c>
      <c r="AT6" s="3">
        <v>0</v>
      </c>
      <c r="AU6" s="3">
        <f>PARTICIPACION('Datos Protegidos'!AU6,PARTIDOS!AV$5)</f>
        <v>0</v>
      </c>
      <c r="AV6" s="3">
        <v>0</v>
      </c>
      <c r="AW6" s="3">
        <f>PARTICIPACION('Datos Protegidos'!AW6,PARTIDOS!AX$5)</f>
        <v>0</v>
      </c>
      <c r="AX6" s="3">
        <v>0</v>
      </c>
      <c r="AY6" s="3">
        <f>PARTICIPACION('Datos Protegidos'!AY6,PARTIDOS!AZ$5)</f>
        <v>851</v>
      </c>
      <c r="AZ6" s="3">
        <v>0</v>
      </c>
      <c r="BA6" s="3">
        <f>PARTICIPACION('Datos Protegidos'!BA6,PARTIDOS!BB$5)</f>
        <v>166</v>
      </c>
      <c r="BB6" s="3">
        <v>0</v>
      </c>
      <c r="BC6" s="3">
        <f>PARTICIPACION('Datos Protegidos'!BC6,PARTIDOS!BD$5)</f>
        <v>117</v>
      </c>
      <c r="BD6" s="3">
        <v>0</v>
      </c>
      <c r="BE6" s="3">
        <f>PARTICIPACION('Datos Protegidos'!BE6,PARTIDOS!BF$5)</f>
        <v>0</v>
      </c>
      <c r="BF6" s="3">
        <v>0</v>
      </c>
      <c r="BG6" s="3">
        <f>PARTICIPACION('Datos Protegidos'!BG6,PARTIDOS!BH$5)</f>
        <v>0</v>
      </c>
      <c r="BH6" s="3">
        <v>0</v>
      </c>
      <c r="BI6" s="3">
        <f>PARTICIPACION('Datos Protegidos'!BI6,PARTIDOS!BJ$5)</f>
        <v>487</v>
      </c>
      <c r="BJ6" s="3">
        <v>0</v>
      </c>
      <c r="BK6" s="3">
        <f>PARTICIPACION('Datos Protegidos'!BK6,PARTIDOS!BL$5)</f>
        <v>0</v>
      </c>
      <c r="BL6" s="3">
        <v>0</v>
      </c>
      <c r="BM6" s="3">
        <f>PARTICIPACION('Datos Protegidos'!BM6,PARTIDOS!BN$5)</f>
        <v>0</v>
      </c>
      <c r="BN6" s="3">
        <v>0</v>
      </c>
      <c r="BO6" s="3">
        <f>PARTICIPACION('Datos Protegidos'!BO6,PARTIDOS!BP$5)</f>
        <v>0</v>
      </c>
      <c r="BP6" s="3">
        <v>0</v>
      </c>
      <c r="BQ6" s="3">
        <f>PARTICIPACION('Datos Protegidos'!BQ6,PARTIDOS!BR$5)</f>
        <v>0</v>
      </c>
      <c r="BR6" s="3">
        <v>0</v>
      </c>
      <c r="BS6" s="3">
        <f>PARTICIPACION('Datos Protegidos'!BS6,PARTIDOS!BT$5)</f>
        <v>0</v>
      </c>
      <c r="BT6" s="3">
        <v>0</v>
      </c>
      <c r="BU6" s="3">
        <f>PARTICIPACION('Datos Protegidos'!BU6,PARTIDOS!BV$5)</f>
        <v>0</v>
      </c>
      <c r="BV6" s="3">
        <v>0</v>
      </c>
      <c r="BW6" s="3">
        <f>PARTICIPACION('Datos Protegidos'!BW6,PARTIDOS!BX$5)</f>
        <v>0</v>
      </c>
      <c r="BX6" s="3">
        <v>0</v>
      </c>
      <c r="BY6" s="3">
        <f>PARTICIPACION('Datos Protegidos'!BY6,PARTIDOS!BZ$5)</f>
        <v>0</v>
      </c>
      <c r="BZ6" s="3">
        <v>0</v>
      </c>
      <c r="CA6" s="3">
        <f>PARTICIPACION('Datos Protegidos'!CA6,PARTIDOS!CB$5)</f>
        <v>0</v>
      </c>
      <c r="CB6" s="3">
        <v>0</v>
      </c>
      <c r="CC6" s="3">
        <f>PARTICIPACION('Datos Protegidos'!CC6,PARTIDOS!CD$5)</f>
        <v>0</v>
      </c>
      <c r="CD6" s="3">
        <v>0</v>
      </c>
      <c r="CE6" s="3">
        <f>PARTICIPACION('Datos Protegidos'!CE6,PARTIDOS!CF$5)</f>
        <v>0</v>
      </c>
      <c r="CF6" s="3">
        <v>0</v>
      </c>
      <c r="CG6" s="3">
        <f>PARTICIPACION('Datos Protegidos'!CG6,PARTIDOS!CH$5)</f>
        <v>0</v>
      </c>
      <c r="CH6" s="3">
        <v>0</v>
      </c>
      <c r="CI6" s="3">
        <f>PARTICIPACION('Datos Protegidos'!CI6,PARTIDOS!CJ$5)</f>
        <v>0</v>
      </c>
      <c r="CJ6" s="3">
        <v>0</v>
      </c>
      <c r="CK6" s="3">
        <f>PARTICIPACION('Datos Protegidos'!CK6,PARTIDOS!CL$5)</f>
        <v>0</v>
      </c>
      <c r="CL6" s="3">
        <v>0</v>
      </c>
      <c r="CM6" s="3">
        <f>PARTICIPACION('Datos Protegidos'!CM6,PARTIDOS!CN$5)</f>
        <v>0</v>
      </c>
      <c r="CN6" s="3">
        <v>0</v>
      </c>
      <c r="CO6" s="3">
        <f>PARTICIPACION('Datos Protegidos'!CO6,PARTIDOS!CP$5)</f>
        <v>0</v>
      </c>
      <c r="CP6" s="3">
        <v>0</v>
      </c>
      <c r="CQ6" s="3">
        <f>PARTICIPACION('Datos Protegidos'!CQ6,PARTIDOS!CR$5)</f>
        <v>0</v>
      </c>
      <c r="CR6" s="3">
        <v>0</v>
      </c>
      <c r="CS6" s="3">
        <f>PARTICIPACION('Datos Protegidos'!CS6,PARTIDOS!CT$5)</f>
        <v>0</v>
      </c>
      <c r="CT6" s="3">
        <v>0</v>
      </c>
      <c r="CU6" s="3">
        <f>PARTICIPACION('Datos Protegidos'!CU6,PARTIDOS!CV$5)</f>
        <v>0</v>
      </c>
      <c r="CV6" s="3">
        <v>0</v>
      </c>
      <c r="CW6" s="3">
        <f>PARTICIPACION('Datos Protegidos'!CW6,PARTIDOS!CX$5)</f>
        <v>0</v>
      </c>
      <c r="CX6" s="3">
        <v>0</v>
      </c>
      <c r="CY6" s="3">
        <f>PARTICIPACION('Datos Protegidos'!CY6,PARTIDOS!CZ$5)</f>
        <v>0</v>
      </c>
      <c r="CZ6" s="3">
        <v>0</v>
      </c>
      <c r="DA6" s="3">
        <f>PARTICIPACION('Datos Protegidos'!DA6,PARTIDOS!DB$5)</f>
        <v>0</v>
      </c>
      <c r="DB6" s="3">
        <v>0</v>
      </c>
      <c r="DC6" s="3">
        <f>PARTICIPACION('Datos Protegidos'!DC6,PARTIDOS!DD$5)</f>
        <v>0</v>
      </c>
      <c r="DD6" s="3">
        <v>0</v>
      </c>
      <c r="DE6" s="3">
        <f>PARTICIPACION('Datos Protegidos'!DE6,PARTIDOS!DF$5)</f>
        <v>0</v>
      </c>
      <c r="DF6" s="3">
        <v>0</v>
      </c>
      <c r="DG6" s="3">
        <f>PARTICIPACION('Datos Protegidos'!DG6,PARTIDOS!DH$5)</f>
        <v>0</v>
      </c>
      <c r="DH6" s="3">
        <v>0</v>
      </c>
      <c r="DI6" s="3">
        <f>PARTICIPACION('Datos Protegidos'!DI6,PARTIDOS!DJ$5)</f>
        <v>0</v>
      </c>
      <c r="DJ6" s="3">
        <v>0</v>
      </c>
      <c r="DK6" s="3">
        <f>PARTICIPACION('Datos Protegidos'!DK6,PARTIDOS!DL$5)</f>
        <v>0</v>
      </c>
      <c r="DL6" s="3">
        <v>0</v>
      </c>
      <c r="DM6" s="3">
        <f>PARTICIPACION('Datos Protegidos'!DM6,PARTIDOS!DN$5)</f>
        <v>0</v>
      </c>
      <c r="DN6" s="3">
        <v>0</v>
      </c>
      <c r="DO6" s="3">
        <f>PARTICIPACION('Datos Protegidos'!DO6,PARTIDOS!DP$5)</f>
        <v>0</v>
      </c>
      <c r="DP6" s="3">
        <v>0</v>
      </c>
      <c r="DQ6" s="3">
        <f>PARTICIPACION('Datos Protegidos'!DQ6,PARTIDOS!DR$5)</f>
        <v>0</v>
      </c>
      <c r="DR6" s="3">
        <v>0</v>
      </c>
      <c r="DS6" s="3">
        <f>PARTICIPACION('Datos Protegidos'!DS6,PARTIDOS!DT$5)</f>
        <v>0</v>
      </c>
      <c r="DT6" s="3">
        <v>0</v>
      </c>
      <c r="DU6" s="3">
        <f>PARTICIPACION('Datos Protegidos'!DU6,PARTIDOS!DV$5)</f>
        <v>0</v>
      </c>
      <c r="DV6" s="3">
        <v>0</v>
      </c>
      <c r="DW6" s="3">
        <f>PARTICIPACION('Datos Protegidos'!DW6,PARTIDOS!DX$5)</f>
        <v>0</v>
      </c>
      <c r="DX6" s="3">
        <v>0</v>
      </c>
      <c r="DY6" s="3">
        <f>PARTICIPACION('Datos Protegidos'!DY6,PARTIDOS!DZ$5)</f>
        <v>0</v>
      </c>
      <c r="DZ6" s="3">
        <v>0</v>
      </c>
      <c r="EA6" s="3">
        <f>PARTICIPACION('Datos Protegidos'!EA6,PARTIDOS!EB$5)</f>
        <v>0</v>
      </c>
      <c r="EB6" s="3">
        <v>0</v>
      </c>
      <c r="EC6" s="3">
        <f>PARTICIPACION('Datos Protegidos'!EC6,PARTIDOS!ED$5)</f>
        <v>0</v>
      </c>
      <c r="ED6" s="3">
        <v>0</v>
      </c>
    </row>
    <row r="7" spans="1:134" x14ac:dyDescent="0.25">
      <c r="A7" s="3">
        <f>PARTICIPACION('Datos Protegidos'!A7,PARTIDOS!B$5)</f>
        <v>148823</v>
      </c>
      <c r="B7" s="3">
        <v>3</v>
      </c>
      <c r="C7" s="3">
        <f>PARTICIPACION('Datos Protegidos'!C7,PARTIDOS!D$5)</f>
        <v>83696</v>
      </c>
      <c r="D7" s="3">
        <v>1</v>
      </c>
      <c r="E7" s="3">
        <f>PARTICIPACION('Datos Protegidos'!E7,PARTIDOS!F$5)</f>
        <v>73389</v>
      </c>
      <c r="F7" s="3">
        <v>1</v>
      </c>
      <c r="G7" s="3">
        <f>PARTICIPACION('Datos Protegidos'!G7,PARTIDOS!H$5)</f>
        <v>37760</v>
      </c>
      <c r="H7" s="3">
        <v>0</v>
      </c>
      <c r="I7" s="3">
        <f>PARTICIPACION('Datos Protegidos'!I7,PARTIDOS!J$5)</f>
        <v>0</v>
      </c>
      <c r="J7" s="3">
        <v>0</v>
      </c>
      <c r="K7" s="3">
        <f>PARTICIPACION('Datos Protegidos'!K7,PARTIDOS!L$5)</f>
        <v>24816</v>
      </c>
      <c r="L7" s="3">
        <v>0</v>
      </c>
      <c r="M7" s="3">
        <f>PARTICIPACION('Datos Protegidos'!M7,PARTIDOS!N$5)</f>
        <v>0</v>
      </c>
      <c r="N7" s="3">
        <v>0</v>
      </c>
      <c r="O7" s="3">
        <f>PARTICIPACION('Datos Protegidos'!O7,PARTIDOS!P$5)</f>
        <v>0</v>
      </c>
      <c r="P7" s="3">
        <v>0</v>
      </c>
      <c r="Q7" s="3">
        <f>PARTICIPACION('Datos Protegidos'!Q7,PARTIDOS!R$5)</f>
        <v>0</v>
      </c>
      <c r="R7" s="3">
        <v>0</v>
      </c>
      <c r="S7" s="3">
        <f>PARTICIPACION('Datos Protegidos'!S7,PARTIDOS!T$5)</f>
        <v>0</v>
      </c>
      <c r="T7" s="3">
        <v>0</v>
      </c>
      <c r="U7" s="3">
        <f>PARTICIPACION('Datos Protegidos'!U7,PARTIDOS!V$5)</f>
        <v>0</v>
      </c>
      <c r="V7" s="3">
        <v>0</v>
      </c>
      <c r="W7" s="3">
        <f>PARTICIPACION('Datos Protegidos'!W7,PARTIDOS!X$5)</f>
        <v>0</v>
      </c>
      <c r="X7" s="3">
        <v>0</v>
      </c>
      <c r="Y7" s="3">
        <f>PARTICIPACION('Datos Protegidos'!Y7,PARTIDOS!Z$5)</f>
        <v>0</v>
      </c>
      <c r="Z7" s="3">
        <v>0</v>
      </c>
      <c r="AA7" s="3">
        <f>PARTICIPACION('Datos Protegidos'!AA7,PARTIDOS!AB$5)</f>
        <v>0</v>
      </c>
      <c r="AB7" s="3">
        <v>0</v>
      </c>
      <c r="AC7" s="3">
        <f>PARTICIPACION('Datos Protegidos'!AC7,PARTIDOS!AD$5)</f>
        <v>0</v>
      </c>
      <c r="AD7" s="3">
        <v>0</v>
      </c>
      <c r="AE7" s="3">
        <f>PARTICIPACION('Datos Protegidos'!AE7,PARTIDOS!AF$5)</f>
        <v>0</v>
      </c>
      <c r="AF7" s="3">
        <v>0</v>
      </c>
      <c r="AG7" s="3">
        <f>PARTICIPACION('Datos Protegidos'!AG7,PARTIDOS!AH$5)</f>
        <v>0</v>
      </c>
      <c r="AH7" s="3">
        <v>0</v>
      </c>
      <c r="AI7" s="3">
        <f>PARTICIPACION('Datos Protegidos'!AI7,PARTIDOS!AJ$5)</f>
        <v>0</v>
      </c>
      <c r="AJ7" s="3">
        <v>0</v>
      </c>
      <c r="AK7" s="3">
        <f>PARTICIPACION('Datos Protegidos'!AK7,PARTIDOS!AL$5)</f>
        <v>0</v>
      </c>
      <c r="AL7" s="3">
        <v>0</v>
      </c>
      <c r="AM7" s="3">
        <f>PARTICIPACION('Datos Protegidos'!AM7,PARTIDOS!AN$5)</f>
        <v>2752</v>
      </c>
      <c r="AN7" s="3">
        <v>0</v>
      </c>
      <c r="AO7" s="3">
        <f>PARTICIPACION('Datos Protegidos'!AO7,PARTIDOS!AP$5)</f>
        <v>0</v>
      </c>
      <c r="AP7" s="3">
        <v>0</v>
      </c>
      <c r="AQ7" s="3">
        <f>PARTICIPACION('Datos Protegidos'!AQ7,PARTIDOS!AR$5)</f>
        <v>461</v>
      </c>
      <c r="AR7" s="3">
        <v>0</v>
      </c>
      <c r="AS7" s="3">
        <f>PARTICIPACION('Datos Protegidos'!AS7,PARTIDOS!AT$5)</f>
        <v>416</v>
      </c>
      <c r="AT7" s="3">
        <v>0</v>
      </c>
      <c r="AU7" s="3">
        <f>PARTICIPACION('Datos Protegidos'!AU7,PARTIDOS!AV$5)</f>
        <v>0</v>
      </c>
      <c r="AV7" s="3">
        <v>0</v>
      </c>
      <c r="AW7" s="3">
        <f>PARTICIPACION('Datos Protegidos'!AW7,PARTIDOS!AX$5)</f>
        <v>0</v>
      </c>
      <c r="AX7" s="3">
        <v>0</v>
      </c>
      <c r="AY7" s="3">
        <f>PARTICIPACION('Datos Protegidos'!AY7,PARTIDOS!AZ$5)</f>
        <v>851</v>
      </c>
      <c r="AZ7" s="3">
        <v>0</v>
      </c>
      <c r="BA7" s="3">
        <f>PARTICIPACION('Datos Protegidos'!BA7,PARTIDOS!BB$5)</f>
        <v>0</v>
      </c>
      <c r="BB7" s="3">
        <v>0</v>
      </c>
      <c r="BC7" s="3">
        <f>PARTICIPACION('Datos Protegidos'!BC7,PARTIDOS!BD$5)</f>
        <v>494</v>
      </c>
      <c r="BD7" s="3">
        <v>0</v>
      </c>
      <c r="BE7" s="3">
        <f>PARTICIPACION('Datos Protegidos'!BE7,PARTIDOS!BF$5)</f>
        <v>0</v>
      </c>
      <c r="BF7" s="3">
        <v>0</v>
      </c>
      <c r="BG7" s="3">
        <f>PARTICIPACION('Datos Protegidos'!BG7,PARTIDOS!BH$5)</f>
        <v>0</v>
      </c>
      <c r="BH7" s="3">
        <v>0</v>
      </c>
      <c r="BI7" s="3">
        <f>PARTICIPACION('Datos Protegidos'!BI7,PARTIDOS!BJ$5)</f>
        <v>0</v>
      </c>
      <c r="BJ7" s="3">
        <v>0</v>
      </c>
      <c r="BK7" s="3">
        <f>PARTICIPACION('Datos Protegidos'!BK7,PARTIDOS!BL$5)</f>
        <v>0</v>
      </c>
      <c r="BL7" s="3">
        <v>0</v>
      </c>
      <c r="BM7" s="3">
        <f>PARTICIPACION('Datos Protegidos'!BM7,PARTIDOS!BN$5)</f>
        <v>0</v>
      </c>
      <c r="BN7" s="3">
        <v>0</v>
      </c>
      <c r="BO7" s="3">
        <f>PARTICIPACION('Datos Protegidos'!BO7,PARTIDOS!BP$5)</f>
        <v>0</v>
      </c>
      <c r="BP7" s="3">
        <v>0</v>
      </c>
      <c r="BQ7" s="3">
        <f>PARTICIPACION('Datos Protegidos'!BQ7,PARTIDOS!BR$5)</f>
        <v>0</v>
      </c>
      <c r="BR7" s="3">
        <v>0</v>
      </c>
      <c r="BS7" s="3">
        <f>PARTICIPACION('Datos Protegidos'!BS7,PARTIDOS!BT$5)</f>
        <v>0</v>
      </c>
      <c r="BT7" s="3">
        <v>0</v>
      </c>
      <c r="BU7" s="3">
        <f>PARTICIPACION('Datos Protegidos'!BU7,PARTIDOS!BV$5)</f>
        <v>0</v>
      </c>
      <c r="BV7" s="3">
        <v>0</v>
      </c>
      <c r="BW7" s="3">
        <f>PARTICIPACION('Datos Protegidos'!BW7,PARTIDOS!BX$5)</f>
        <v>0</v>
      </c>
      <c r="BX7" s="3">
        <v>0</v>
      </c>
      <c r="BY7" s="3">
        <f>PARTICIPACION('Datos Protegidos'!BY7,PARTIDOS!BZ$5)</f>
        <v>0</v>
      </c>
      <c r="BZ7" s="3">
        <v>0</v>
      </c>
      <c r="CA7" s="3">
        <f>PARTICIPACION('Datos Protegidos'!CA7,PARTIDOS!CB$5)</f>
        <v>0</v>
      </c>
      <c r="CB7" s="3">
        <v>0</v>
      </c>
      <c r="CC7" s="3">
        <f>PARTICIPACION('Datos Protegidos'!CC7,PARTIDOS!CD$5)</f>
        <v>0</v>
      </c>
      <c r="CD7" s="3">
        <v>0</v>
      </c>
      <c r="CE7" s="3">
        <f>PARTICIPACION('Datos Protegidos'!CE7,PARTIDOS!CF$5)</f>
        <v>0</v>
      </c>
      <c r="CF7" s="3">
        <v>0</v>
      </c>
      <c r="CG7" s="3">
        <f>PARTICIPACION('Datos Protegidos'!CG7,PARTIDOS!CH$5)</f>
        <v>0</v>
      </c>
      <c r="CH7" s="3">
        <v>0</v>
      </c>
      <c r="CI7" s="3">
        <f>PARTICIPACION('Datos Protegidos'!CI7,PARTIDOS!CJ$5)</f>
        <v>0</v>
      </c>
      <c r="CJ7" s="3">
        <v>0</v>
      </c>
      <c r="CK7" s="3">
        <f>PARTICIPACION('Datos Protegidos'!CK7,PARTIDOS!CL$5)</f>
        <v>0</v>
      </c>
      <c r="CL7" s="3">
        <v>0</v>
      </c>
      <c r="CM7" s="3">
        <f>PARTICIPACION('Datos Protegidos'!CM7,PARTIDOS!CN$5)</f>
        <v>0</v>
      </c>
      <c r="CN7" s="3">
        <v>0</v>
      </c>
      <c r="CO7" s="3">
        <f>PARTICIPACION('Datos Protegidos'!CO7,PARTIDOS!CP$5)</f>
        <v>0</v>
      </c>
      <c r="CP7" s="3">
        <v>0</v>
      </c>
      <c r="CQ7" s="3">
        <f>PARTICIPACION('Datos Protegidos'!CQ7,PARTIDOS!CR$5)</f>
        <v>0</v>
      </c>
      <c r="CR7" s="3">
        <v>0</v>
      </c>
      <c r="CS7" s="3">
        <f>PARTICIPACION('Datos Protegidos'!CS7,PARTIDOS!CT$5)</f>
        <v>0</v>
      </c>
      <c r="CT7" s="3">
        <v>0</v>
      </c>
      <c r="CU7" s="3">
        <f>PARTICIPACION('Datos Protegidos'!CU7,PARTIDOS!CV$5)</f>
        <v>0</v>
      </c>
      <c r="CV7" s="3">
        <v>0</v>
      </c>
      <c r="CW7" s="3">
        <f>PARTICIPACION('Datos Protegidos'!CW7,PARTIDOS!CX$5)</f>
        <v>0</v>
      </c>
      <c r="CX7" s="3">
        <v>0</v>
      </c>
      <c r="CY7" s="3">
        <f>PARTICIPACION('Datos Protegidos'!CY7,PARTIDOS!CZ$5)</f>
        <v>0</v>
      </c>
      <c r="CZ7" s="3">
        <v>0</v>
      </c>
      <c r="DA7" s="3">
        <f>PARTICIPACION('Datos Protegidos'!DA7,PARTIDOS!DB$5)</f>
        <v>0</v>
      </c>
      <c r="DB7" s="3">
        <v>0</v>
      </c>
      <c r="DC7" s="3">
        <f>PARTICIPACION('Datos Protegidos'!DC7,PARTIDOS!DD$5)</f>
        <v>0</v>
      </c>
      <c r="DD7" s="3">
        <v>0</v>
      </c>
      <c r="DE7" s="3">
        <f>PARTICIPACION('Datos Protegidos'!DE7,PARTIDOS!DF$5)</f>
        <v>0</v>
      </c>
      <c r="DF7" s="3">
        <v>0</v>
      </c>
      <c r="DG7" s="3">
        <f>PARTICIPACION('Datos Protegidos'!DG7,PARTIDOS!DH$5)</f>
        <v>0</v>
      </c>
      <c r="DH7" s="3">
        <v>0</v>
      </c>
      <c r="DI7" s="3">
        <f>PARTICIPACION('Datos Protegidos'!DI7,PARTIDOS!DJ$5)</f>
        <v>0</v>
      </c>
      <c r="DJ7" s="3">
        <v>0</v>
      </c>
      <c r="DK7" s="3">
        <f>PARTICIPACION('Datos Protegidos'!DK7,PARTIDOS!DL$5)</f>
        <v>0</v>
      </c>
      <c r="DL7" s="3">
        <v>0</v>
      </c>
      <c r="DM7" s="3">
        <f>PARTICIPACION('Datos Protegidos'!DM7,PARTIDOS!DN$5)</f>
        <v>0</v>
      </c>
      <c r="DN7" s="3">
        <v>0</v>
      </c>
      <c r="DO7" s="3">
        <f>PARTICIPACION('Datos Protegidos'!DO7,PARTIDOS!DP$5)</f>
        <v>0</v>
      </c>
      <c r="DP7" s="3">
        <v>0</v>
      </c>
      <c r="DQ7" s="3">
        <f>PARTICIPACION('Datos Protegidos'!DQ7,PARTIDOS!DR$5)</f>
        <v>0</v>
      </c>
      <c r="DR7" s="3">
        <v>0</v>
      </c>
      <c r="DS7" s="3">
        <f>PARTICIPACION('Datos Protegidos'!DS7,PARTIDOS!DT$5)</f>
        <v>247</v>
      </c>
      <c r="DT7" s="3">
        <v>0</v>
      </c>
      <c r="DU7" s="3">
        <f>PARTICIPACION('Datos Protegidos'!DU7,PARTIDOS!DV$5)</f>
        <v>0</v>
      </c>
      <c r="DV7" s="3">
        <v>0</v>
      </c>
      <c r="DW7" s="3">
        <f>PARTICIPACION('Datos Protegidos'!DW7,PARTIDOS!DX$5)</f>
        <v>0</v>
      </c>
      <c r="DX7" s="3">
        <v>0</v>
      </c>
      <c r="DY7" s="3">
        <f>PARTICIPACION('Datos Protegidos'!DY7,PARTIDOS!DZ$5)</f>
        <v>0</v>
      </c>
      <c r="DZ7" s="3">
        <v>0</v>
      </c>
      <c r="EA7" s="3">
        <f>PARTICIPACION('Datos Protegidos'!EA7,PARTIDOS!EB$5)</f>
        <v>0</v>
      </c>
      <c r="EB7" s="3">
        <v>0</v>
      </c>
      <c r="EC7" s="3">
        <f>PARTICIPACION('Datos Protegidos'!EC7,PARTIDOS!ED$5)</f>
        <v>0</v>
      </c>
      <c r="ED7" s="3">
        <v>0</v>
      </c>
    </row>
    <row r="8" spans="1:134" x14ac:dyDescent="0.25">
      <c r="A8" s="3">
        <f>PARTICIPACION('Datos Protegidos'!A8,PARTIDOS!B$5)</f>
        <v>238172</v>
      </c>
      <c r="B8" s="3">
        <v>4</v>
      </c>
      <c r="C8" s="3">
        <f>PARTICIPACION('Datos Protegidos'!C8,PARTIDOS!D$5)</f>
        <v>166440</v>
      </c>
      <c r="D8" s="3">
        <v>3</v>
      </c>
      <c r="E8" s="3">
        <f>PARTICIPACION('Datos Protegidos'!E8,PARTIDOS!F$5)</f>
        <v>165525</v>
      </c>
      <c r="F8" s="3">
        <v>2</v>
      </c>
      <c r="G8" s="3">
        <f>PARTICIPACION('Datos Protegidos'!G8,PARTIDOS!H$5)</f>
        <v>102691</v>
      </c>
      <c r="H8" s="3">
        <v>1</v>
      </c>
      <c r="I8" s="3">
        <f>PARTICIPACION('Datos Protegidos'!I8,PARTIDOS!J$5)</f>
        <v>0</v>
      </c>
      <c r="J8" s="3">
        <v>0</v>
      </c>
      <c r="K8" s="3">
        <f>PARTICIPACION('Datos Protegidos'!K8,PARTIDOS!L$5)</f>
        <v>66995</v>
      </c>
      <c r="L8" s="3">
        <v>1</v>
      </c>
      <c r="M8" s="3">
        <f>PARTICIPACION('Datos Protegidos'!M8,PARTIDOS!N$5)</f>
        <v>0</v>
      </c>
      <c r="N8" s="3">
        <v>0</v>
      </c>
      <c r="O8" s="3">
        <f>PARTICIPACION('Datos Protegidos'!O8,PARTIDOS!P$5)</f>
        <v>0</v>
      </c>
      <c r="P8" s="3">
        <v>0</v>
      </c>
      <c r="Q8" s="3">
        <f>PARTICIPACION('Datos Protegidos'!Q8,PARTIDOS!R$5)</f>
        <v>0</v>
      </c>
      <c r="R8" s="3">
        <v>0</v>
      </c>
      <c r="S8" s="3">
        <f>PARTICIPACION('Datos Protegidos'!S8,PARTIDOS!T$5)</f>
        <v>0</v>
      </c>
      <c r="T8" s="3">
        <v>0</v>
      </c>
      <c r="U8" s="3">
        <f>PARTICIPACION('Datos Protegidos'!U8,PARTIDOS!V$5)</f>
        <v>14817</v>
      </c>
      <c r="V8" s="3">
        <v>0</v>
      </c>
      <c r="W8" s="3">
        <f>PARTICIPACION('Datos Protegidos'!W8,PARTIDOS!X$5)</f>
        <v>0</v>
      </c>
      <c r="X8" s="3">
        <v>0</v>
      </c>
      <c r="Y8" s="3">
        <f>PARTICIPACION('Datos Protegidos'!Y8,PARTIDOS!Z$5)</f>
        <v>0</v>
      </c>
      <c r="Z8" s="3">
        <v>0</v>
      </c>
      <c r="AA8" s="3">
        <f>PARTICIPACION('Datos Protegidos'!AA8,PARTIDOS!AB$5)</f>
        <v>0</v>
      </c>
      <c r="AB8" s="3">
        <v>0</v>
      </c>
      <c r="AC8" s="3">
        <f>PARTICIPACION('Datos Protegidos'!AC8,PARTIDOS!AD$5)</f>
        <v>0</v>
      </c>
      <c r="AD8" s="3">
        <v>0</v>
      </c>
      <c r="AE8" s="3">
        <f>PARTICIPACION('Datos Protegidos'!AE8,PARTIDOS!AF$5)</f>
        <v>0</v>
      </c>
      <c r="AF8" s="3">
        <v>0</v>
      </c>
      <c r="AG8" s="3">
        <f>PARTICIPACION('Datos Protegidos'!AG8,PARTIDOS!AH$5)</f>
        <v>0</v>
      </c>
      <c r="AH8" s="3">
        <v>0</v>
      </c>
      <c r="AI8" s="3">
        <f>PARTICIPACION('Datos Protegidos'!AI8,PARTIDOS!AJ$5)</f>
        <v>0</v>
      </c>
      <c r="AJ8" s="3">
        <v>0</v>
      </c>
      <c r="AK8" s="3">
        <f>PARTICIPACION('Datos Protegidos'!AK8,PARTIDOS!AL$5)</f>
        <v>0</v>
      </c>
      <c r="AL8" s="3">
        <v>0</v>
      </c>
      <c r="AM8" s="3">
        <f>PARTICIPACION('Datos Protegidos'!AM8,PARTIDOS!AN$5)</f>
        <v>11033</v>
      </c>
      <c r="AN8" s="3">
        <v>0</v>
      </c>
      <c r="AO8" s="3">
        <f>PARTICIPACION('Datos Protegidos'!AO8,PARTIDOS!AP$5)</f>
        <v>0</v>
      </c>
      <c r="AP8" s="3">
        <v>0</v>
      </c>
      <c r="AQ8" s="3">
        <f>PARTICIPACION('Datos Protegidos'!AQ8,PARTIDOS!AR$5)</f>
        <v>1254</v>
      </c>
      <c r="AR8" s="3">
        <v>0</v>
      </c>
      <c r="AS8" s="3">
        <f>PARTICIPACION('Datos Protegidos'!AS8,PARTIDOS!AT$5)</f>
        <v>899</v>
      </c>
      <c r="AT8" s="3">
        <v>0</v>
      </c>
      <c r="AU8" s="3">
        <f>PARTICIPACION('Datos Protegidos'!AU8,PARTIDOS!AV$5)</f>
        <v>0</v>
      </c>
      <c r="AV8" s="3">
        <v>0</v>
      </c>
      <c r="AW8" s="3">
        <f>PARTICIPACION('Datos Protegidos'!AW8,PARTIDOS!AX$5)</f>
        <v>0</v>
      </c>
      <c r="AX8" s="3">
        <v>0</v>
      </c>
      <c r="AY8" s="3">
        <f>PARTICIPACION('Datos Protegidos'!AY8,PARTIDOS!AZ$5)</f>
        <v>1677</v>
      </c>
      <c r="AZ8" s="3">
        <v>0</v>
      </c>
      <c r="BA8" s="3">
        <f>PARTICIPACION('Datos Protegidos'!BA8,PARTIDOS!BB$5)</f>
        <v>610</v>
      </c>
      <c r="BB8" s="3">
        <v>0</v>
      </c>
      <c r="BC8" s="3">
        <f>PARTICIPACION('Datos Protegidos'!BC8,PARTIDOS!BD$5)</f>
        <v>400</v>
      </c>
      <c r="BD8" s="3">
        <v>0</v>
      </c>
      <c r="BE8" s="3">
        <f>PARTICIPACION('Datos Protegidos'!BE8,PARTIDOS!BF$5)</f>
        <v>0</v>
      </c>
      <c r="BF8" s="3">
        <v>0</v>
      </c>
      <c r="BG8" s="3">
        <f>PARTICIPACION('Datos Protegidos'!BG8,PARTIDOS!BH$5)</f>
        <v>0</v>
      </c>
      <c r="BH8" s="3">
        <v>0</v>
      </c>
      <c r="BI8" s="3">
        <f>PARTICIPACION('Datos Protegidos'!BI8,PARTIDOS!BJ$5)</f>
        <v>1328</v>
      </c>
      <c r="BJ8" s="3">
        <v>0</v>
      </c>
      <c r="BK8" s="3">
        <f>PARTICIPACION('Datos Protegidos'!BK8,PARTIDOS!BL$5)</f>
        <v>0</v>
      </c>
      <c r="BL8" s="3">
        <v>0</v>
      </c>
      <c r="BM8" s="3">
        <f>PARTICIPACION('Datos Protegidos'!BM8,PARTIDOS!BN$5)</f>
        <v>0</v>
      </c>
      <c r="BN8" s="3">
        <v>0</v>
      </c>
      <c r="BO8" s="3">
        <f>PARTICIPACION('Datos Protegidos'!BO8,PARTIDOS!BP$5)</f>
        <v>0</v>
      </c>
      <c r="BP8" s="3">
        <v>0</v>
      </c>
      <c r="BQ8" s="3">
        <f>PARTICIPACION('Datos Protegidos'!BQ8,PARTIDOS!BR$5)</f>
        <v>0</v>
      </c>
      <c r="BR8" s="3">
        <v>0</v>
      </c>
      <c r="BS8" s="3">
        <f>PARTICIPACION('Datos Protegidos'!BS8,PARTIDOS!BT$5)</f>
        <v>0</v>
      </c>
      <c r="BT8" s="3">
        <v>0</v>
      </c>
      <c r="BU8" s="3">
        <f>PARTICIPACION('Datos Protegidos'!BU8,PARTIDOS!BV$5)</f>
        <v>0</v>
      </c>
      <c r="BV8" s="3">
        <v>0</v>
      </c>
      <c r="BW8" s="3">
        <f>PARTICIPACION('Datos Protegidos'!BW8,PARTIDOS!BX$5)</f>
        <v>0</v>
      </c>
      <c r="BX8" s="3">
        <v>0</v>
      </c>
      <c r="BY8" s="3">
        <f>PARTICIPACION('Datos Protegidos'!BY8,PARTIDOS!BZ$5)</f>
        <v>0</v>
      </c>
      <c r="BZ8" s="3">
        <v>0</v>
      </c>
      <c r="CA8" s="3">
        <f>PARTICIPACION('Datos Protegidos'!CA8,PARTIDOS!CB$5)</f>
        <v>0</v>
      </c>
      <c r="CB8" s="3">
        <v>0</v>
      </c>
      <c r="CC8" s="3">
        <f>PARTICIPACION('Datos Protegidos'!CC8,PARTIDOS!CD$5)</f>
        <v>0</v>
      </c>
      <c r="CD8" s="3">
        <v>0</v>
      </c>
      <c r="CE8" s="3">
        <f>PARTICIPACION('Datos Protegidos'!CE8,PARTIDOS!CF$5)</f>
        <v>0</v>
      </c>
      <c r="CF8" s="3">
        <v>0</v>
      </c>
      <c r="CG8" s="3">
        <f>PARTICIPACION('Datos Protegidos'!CG8,PARTIDOS!CH$5)</f>
        <v>0</v>
      </c>
      <c r="CH8" s="3">
        <v>0</v>
      </c>
      <c r="CI8" s="3">
        <f>PARTICIPACION('Datos Protegidos'!CI8,PARTIDOS!CJ$5)</f>
        <v>0</v>
      </c>
      <c r="CJ8" s="3">
        <v>0</v>
      </c>
      <c r="CK8" s="3">
        <f>PARTICIPACION('Datos Protegidos'!CK8,PARTIDOS!CL$5)</f>
        <v>0</v>
      </c>
      <c r="CL8" s="3">
        <v>0</v>
      </c>
      <c r="CM8" s="3">
        <f>PARTICIPACION('Datos Protegidos'!CM8,PARTIDOS!CN$5)</f>
        <v>0</v>
      </c>
      <c r="CN8" s="3">
        <v>0</v>
      </c>
      <c r="CO8" s="3">
        <f>PARTICIPACION('Datos Protegidos'!CO8,PARTIDOS!CP$5)</f>
        <v>0</v>
      </c>
      <c r="CP8" s="3">
        <v>0</v>
      </c>
      <c r="CQ8" s="3">
        <f>PARTICIPACION('Datos Protegidos'!CQ8,PARTIDOS!CR$5)</f>
        <v>0</v>
      </c>
      <c r="CR8" s="3">
        <v>0</v>
      </c>
      <c r="CS8" s="3">
        <f>PARTICIPACION('Datos Protegidos'!CS8,PARTIDOS!CT$5)</f>
        <v>0</v>
      </c>
      <c r="CT8" s="3">
        <v>0</v>
      </c>
      <c r="CU8" s="3">
        <f>PARTICIPACION('Datos Protegidos'!CU8,PARTIDOS!CV$5)</f>
        <v>0</v>
      </c>
      <c r="CV8" s="3">
        <v>0</v>
      </c>
      <c r="CW8" s="3">
        <f>PARTICIPACION('Datos Protegidos'!CW8,PARTIDOS!CX$5)</f>
        <v>0</v>
      </c>
      <c r="CX8" s="3">
        <v>0</v>
      </c>
      <c r="CY8" s="3">
        <f>PARTICIPACION('Datos Protegidos'!CY8,PARTIDOS!CZ$5)</f>
        <v>0</v>
      </c>
      <c r="CZ8" s="3">
        <v>0</v>
      </c>
      <c r="DA8" s="3">
        <f>PARTICIPACION('Datos Protegidos'!DA8,PARTIDOS!DB$5)</f>
        <v>0</v>
      </c>
      <c r="DB8" s="3">
        <v>0</v>
      </c>
      <c r="DC8" s="3">
        <f>PARTICIPACION('Datos Protegidos'!DC8,PARTIDOS!DD$5)</f>
        <v>0</v>
      </c>
      <c r="DD8" s="3">
        <v>0</v>
      </c>
      <c r="DE8" s="3">
        <f>PARTICIPACION('Datos Protegidos'!DE8,PARTIDOS!DF$5)</f>
        <v>0</v>
      </c>
      <c r="DF8" s="3">
        <v>0</v>
      </c>
      <c r="DG8" s="3">
        <f>PARTICIPACION('Datos Protegidos'!DG8,PARTIDOS!DH$5)</f>
        <v>0</v>
      </c>
      <c r="DH8" s="3">
        <v>0</v>
      </c>
      <c r="DI8" s="3">
        <f>PARTICIPACION('Datos Protegidos'!DI8,PARTIDOS!DJ$5)</f>
        <v>0</v>
      </c>
      <c r="DJ8" s="3">
        <v>0</v>
      </c>
      <c r="DK8" s="3">
        <f>PARTICIPACION('Datos Protegidos'!DK8,PARTIDOS!DL$5)</f>
        <v>0</v>
      </c>
      <c r="DL8" s="3">
        <v>0</v>
      </c>
      <c r="DM8" s="3">
        <f>PARTICIPACION('Datos Protegidos'!DM8,PARTIDOS!DN$5)</f>
        <v>0</v>
      </c>
      <c r="DN8" s="3">
        <v>0</v>
      </c>
      <c r="DO8" s="3">
        <f>PARTICIPACION('Datos Protegidos'!DO8,PARTIDOS!DP$5)</f>
        <v>0</v>
      </c>
      <c r="DP8" s="3">
        <v>0</v>
      </c>
      <c r="DQ8" s="3">
        <f>PARTICIPACION('Datos Protegidos'!DQ8,PARTIDOS!DR$5)</f>
        <v>0</v>
      </c>
      <c r="DR8" s="3">
        <v>0</v>
      </c>
      <c r="DS8" s="3">
        <f>PARTICIPACION('Datos Protegidos'!DS8,PARTIDOS!DT$5)</f>
        <v>0</v>
      </c>
      <c r="DT8" s="3">
        <v>0</v>
      </c>
      <c r="DU8" s="3">
        <f>PARTICIPACION('Datos Protegidos'!DU8,PARTIDOS!DV$5)</f>
        <v>0</v>
      </c>
      <c r="DV8" s="3">
        <v>0</v>
      </c>
      <c r="DW8" s="3">
        <f>PARTICIPACION('Datos Protegidos'!DW8,PARTIDOS!DX$5)</f>
        <v>0</v>
      </c>
      <c r="DX8" s="3">
        <v>0</v>
      </c>
      <c r="DY8" s="3">
        <f>PARTICIPACION('Datos Protegidos'!DY8,PARTIDOS!DZ$5)</f>
        <v>0</v>
      </c>
      <c r="DZ8" s="3">
        <v>0</v>
      </c>
      <c r="EA8" s="3">
        <f>PARTICIPACION('Datos Protegidos'!EA8,PARTIDOS!EB$5)</f>
        <v>0</v>
      </c>
      <c r="EB8" s="3">
        <v>0</v>
      </c>
      <c r="EC8" s="3">
        <f>PARTICIPACION('Datos Protegidos'!EC8,PARTIDOS!ED$5)</f>
        <v>0</v>
      </c>
      <c r="ED8" s="3">
        <v>0</v>
      </c>
    </row>
    <row r="9" spans="1:134" x14ac:dyDescent="0.25">
      <c r="A9" s="3">
        <f>PARTICIPACION('Datos Protegidos'!A9,PARTIDOS!B$5)</f>
        <v>399404</v>
      </c>
      <c r="B9" s="3">
        <v>5</v>
      </c>
      <c r="C9" s="3">
        <f>PARTICIPACION('Datos Protegidos'!C9,PARTIDOS!D$5)</f>
        <v>191929</v>
      </c>
      <c r="D9" s="3">
        <v>2</v>
      </c>
      <c r="E9" s="3">
        <f>PARTICIPACION('Datos Protegidos'!E9,PARTIDOS!F$5)</f>
        <v>192589</v>
      </c>
      <c r="F9" s="3">
        <v>2</v>
      </c>
      <c r="G9" s="3">
        <f>PARTICIPACION('Datos Protegidos'!G9,PARTIDOS!H$5)</f>
        <v>161106</v>
      </c>
      <c r="H9" s="3">
        <v>2</v>
      </c>
      <c r="I9" s="3">
        <f>PARTICIPACION('Datos Protegidos'!I9,PARTIDOS!J$5)</f>
        <v>0</v>
      </c>
      <c r="J9" s="3">
        <v>0</v>
      </c>
      <c r="K9" s="3">
        <f>PARTICIPACION('Datos Protegidos'!K9,PARTIDOS!L$5)</f>
        <v>83575</v>
      </c>
      <c r="L9" s="3">
        <v>1</v>
      </c>
      <c r="M9" s="3">
        <f>PARTICIPACION('Datos Protegidos'!M9,PARTIDOS!N$5)</f>
        <v>0</v>
      </c>
      <c r="N9" s="3">
        <v>0</v>
      </c>
      <c r="O9" s="3">
        <f>PARTICIPACION('Datos Protegidos'!O9,PARTIDOS!P$5)</f>
        <v>0</v>
      </c>
      <c r="P9" s="3">
        <v>0</v>
      </c>
      <c r="Q9" s="3">
        <f>PARTICIPACION('Datos Protegidos'!Q9,PARTIDOS!R$5)</f>
        <v>0</v>
      </c>
      <c r="R9" s="3">
        <v>0</v>
      </c>
      <c r="S9" s="3">
        <f>PARTICIPACION('Datos Protegidos'!S9,PARTIDOS!T$5)</f>
        <v>0</v>
      </c>
      <c r="T9" s="3">
        <v>0</v>
      </c>
      <c r="U9" s="3">
        <f>PARTICIPACION('Datos Protegidos'!U9,PARTIDOS!V$5)</f>
        <v>23507</v>
      </c>
      <c r="V9" s="3">
        <v>0</v>
      </c>
      <c r="W9" s="3">
        <f>PARTICIPACION('Datos Protegidos'!W9,PARTIDOS!X$5)</f>
        <v>0</v>
      </c>
      <c r="X9" s="3">
        <v>0</v>
      </c>
      <c r="Y9" s="3">
        <f>PARTICIPACION('Datos Protegidos'!Y9,PARTIDOS!Z$5)</f>
        <v>0</v>
      </c>
      <c r="Z9" s="3">
        <v>0</v>
      </c>
      <c r="AA9" s="3">
        <f>PARTICIPACION('Datos Protegidos'!AA9,PARTIDOS!AB$5)</f>
        <v>0</v>
      </c>
      <c r="AB9" s="3">
        <v>0</v>
      </c>
      <c r="AC9" s="3">
        <f>PARTICIPACION('Datos Protegidos'!AC9,PARTIDOS!AD$5)</f>
        <v>0</v>
      </c>
      <c r="AD9" s="3">
        <v>0</v>
      </c>
      <c r="AE9" s="3">
        <f>PARTICIPACION('Datos Protegidos'!AE9,PARTIDOS!AF$5)</f>
        <v>0</v>
      </c>
      <c r="AF9" s="3">
        <v>0</v>
      </c>
      <c r="AG9" s="3">
        <f>PARTICIPACION('Datos Protegidos'!AG9,PARTIDOS!AH$5)</f>
        <v>0</v>
      </c>
      <c r="AH9" s="3">
        <v>0</v>
      </c>
      <c r="AI9" s="3">
        <f>PARTICIPACION('Datos Protegidos'!AI9,PARTIDOS!AJ$5)</f>
        <v>0</v>
      </c>
      <c r="AJ9" s="3">
        <v>0</v>
      </c>
      <c r="AK9" s="3">
        <f>PARTICIPACION('Datos Protegidos'!AK9,PARTIDOS!AL$5)</f>
        <v>0</v>
      </c>
      <c r="AL9" s="3">
        <v>0</v>
      </c>
      <c r="AM9" s="3">
        <f>PARTICIPACION('Datos Protegidos'!AM9,PARTIDOS!AN$5)</f>
        <v>11974</v>
      </c>
      <c r="AN9" s="3">
        <v>0</v>
      </c>
      <c r="AO9" s="3">
        <f>PARTICIPACION('Datos Protegidos'!AO9,PARTIDOS!AP$5)</f>
        <v>0</v>
      </c>
      <c r="AP9" s="3">
        <v>0</v>
      </c>
      <c r="AQ9" s="3">
        <f>PARTICIPACION('Datos Protegidos'!AQ9,PARTIDOS!AR$5)</f>
        <v>1448</v>
      </c>
      <c r="AR9" s="3">
        <v>0</v>
      </c>
      <c r="AS9" s="3">
        <f>PARTICIPACION('Datos Protegidos'!AS9,PARTIDOS!AT$5)</f>
        <v>1394</v>
      </c>
      <c r="AT9" s="3">
        <v>0</v>
      </c>
      <c r="AU9" s="3">
        <f>PARTICIPACION('Datos Protegidos'!AU9,PARTIDOS!AV$5)</f>
        <v>0</v>
      </c>
      <c r="AV9" s="3">
        <v>0</v>
      </c>
      <c r="AW9" s="3">
        <f>PARTICIPACION('Datos Protegidos'!AW9,PARTIDOS!AX$5)</f>
        <v>0</v>
      </c>
      <c r="AX9" s="3">
        <v>0</v>
      </c>
      <c r="AY9" s="3">
        <f>PARTICIPACION('Datos Protegidos'!AY9,PARTIDOS!AZ$5)</f>
        <v>5157</v>
      </c>
      <c r="AZ9" s="3">
        <v>0</v>
      </c>
      <c r="BA9" s="3">
        <f>PARTICIPACION('Datos Protegidos'!BA9,PARTIDOS!BB$5)</f>
        <v>884</v>
      </c>
      <c r="BB9" s="3">
        <v>0</v>
      </c>
      <c r="BC9" s="3">
        <f>PARTICIPACION('Datos Protegidos'!BC9,PARTIDOS!BD$5)</f>
        <v>577</v>
      </c>
      <c r="BD9" s="3">
        <v>0</v>
      </c>
      <c r="BE9" s="3">
        <f>PARTICIPACION('Datos Protegidos'!BE9,PARTIDOS!BF$5)</f>
        <v>0</v>
      </c>
      <c r="BF9" s="3">
        <v>0</v>
      </c>
      <c r="BG9" s="3">
        <f>PARTICIPACION('Datos Protegidos'!BG9,PARTIDOS!BH$5)</f>
        <v>0</v>
      </c>
      <c r="BH9" s="3">
        <v>0</v>
      </c>
      <c r="BI9" s="3">
        <f>PARTICIPACION('Datos Protegidos'!BI9,PARTIDOS!BJ$5)</f>
        <v>1569</v>
      </c>
      <c r="BJ9" s="3">
        <v>0</v>
      </c>
      <c r="BK9" s="3">
        <f>PARTICIPACION('Datos Protegidos'!BK9,PARTIDOS!BL$5)</f>
        <v>0</v>
      </c>
      <c r="BL9" s="3">
        <v>0</v>
      </c>
      <c r="BM9" s="3">
        <f>PARTICIPACION('Datos Protegidos'!BM9,PARTIDOS!BN$5)</f>
        <v>0</v>
      </c>
      <c r="BN9" s="3">
        <v>0</v>
      </c>
      <c r="BO9" s="3">
        <f>PARTICIPACION('Datos Protegidos'!BO9,PARTIDOS!BP$5)</f>
        <v>0</v>
      </c>
      <c r="BP9" s="3">
        <v>0</v>
      </c>
      <c r="BQ9" s="3">
        <f>PARTICIPACION('Datos Protegidos'!BQ9,PARTIDOS!BR$5)</f>
        <v>0</v>
      </c>
      <c r="BR9" s="3">
        <v>0</v>
      </c>
      <c r="BS9" s="3">
        <f>PARTICIPACION('Datos Protegidos'!BS9,PARTIDOS!BT$5)</f>
        <v>0</v>
      </c>
      <c r="BT9" s="3">
        <v>0</v>
      </c>
      <c r="BU9" s="3">
        <f>PARTICIPACION('Datos Protegidos'!BU9,PARTIDOS!BV$5)</f>
        <v>0</v>
      </c>
      <c r="BV9" s="3">
        <v>0</v>
      </c>
      <c r="BW9" s="3">
        <f>PARTICIPACION('Datos Protegidos'!BW9,PARTIDOS!BX$5)</f>
        <v>0</v>
      </c>
      <c r="BX9" s="3">
        <v>0</v>
      </c>
      <c r="BY9" s="3">
        <f>PARTICIPACION('Datos Protegidos'!BY9,PARTIDOS!BZ$5)</f>
        <v>0</v>
      </c>
      <c r="BZ9" s="3">
        <v>0</v>
      </c>
      <c r="CA9" s="3">
        <f>PARTICIPACION('Datos Protegidos'!CA9,PARTIDOS!CB$5)</f>
        <v>0</v>
      </c>
      <c r="CB9" s="3">
        <v>0</v>
      </c>
      <c r="CC9" s="3">
        <f>PARTICIPACION('Datos Protegidos'!CC9,PARTIDOS!CD$5)</f>
        <v>0</v>
      </c>
      <c r="CD9" s="3">
        <v>0</v>
      </c>
      <c r="CE9" s="3">
        <f>PARTICIPACION('Datos Protegidos'!CE9,PARTIDOS!CF$5)</f>
        <v>0</v>
      </c>
      <c r="CF9" s="3">
        <v>0</v>
      </c>
      <c r="CG9" s="3">
        <f>PARTICIPACION('Datos Protegidos'!CG9,PARTIDOS!CH$5)</f>
        <v>0</v>
      </c>
      <c r="CH9" s="3">
        <v>0</v>
      </c>
      <c r="CI9" s="3">
        <f>PARTICIPACION('Datos Protegidos'!CI9,PARTIDOS!CJ$5)</f>
        <v>0</v>
      </c>
      <c r="CJ9" s="3">
        <v>0</v>
      </c>
      <c r="CK9" s="3">
        <f>PARTICIPACION('Datos Protegidos'!CK9,PARTIDOS!CL$5)</f>
        <v>0</v>
      </c>
      <c r="CL9" s="3">
        <v>0</v>
      </c>
      <c r="CM9" s="3">
        <f>PARTICIPACION('Datos Protegidos'!CM9,PARTIDOS!CN$5)</f>
        <v>0</v>
      </c>
      <c r="CN9" s="3">
        <v>0</v>
      </c>
      <c r="CO9" s="3">
        <f>PARTICIPACION('Datos Protegidos'!CO9,PARTIDOS!CP$5)</f>
        <v>0</v>
      </c>
      <c r="CP9" s="3">
        <v>0</v>
      </c>
      <c r="CQ9" s="3">
        <f>PARTICIPACION('Datos Protegidos'!CQ9,PARTIDOS!CR$5)</f>
        <v>0</v>
      </c>
      <c r="CR9" s="3">
        <v>0</v>
      </c>
      <c r="CS9" s="3">
        <f>PARTICIPACION('Datos Protegidos'!CS9,PARTIDOS!CT$5)</f>
        <v>0</v>
      </c>
      <c r="CT9" s="3">
        <v>0</v>
      </c>
      <c r="CU9" s="3">
        <f>PARTICIPACION('Datos Protegidos'!CU9,PARTIDOS!CV$5)</f>
        <v>0</v>
      </c>
      <c r="CV9" s="3">
        <v>0</v>
      </c>
      <c r="CW9" s="3">
        <f>PARTICIPACION('Datos Protegidos'!CW9,PARTIDOS!CX$5)</f>
        <v>0</v>
      </c>
      <c r="CX9" s="3">
        <v>0</v>
      </c>
      <c r="CY9" s="3">
        <f>PARTICIPACION('Datos Protegidos'!CY9,PARTIDOS!CZ$5)</f>
        <v>0</v>
      </c>
      <c r="CZ9" s="3">
        <v>0</v>
      </c>
      <c r="DA9" s="3">
        <f>PARTICIPACION('Datos Protegidos'!DA9,PARTIDOS!DB$5)</f>
        <v>0</v>
      </c>
      <c r="DB9" s="3">
        <v>0</v>
      </c>
      <c r="DC9" s="3">
        <f>PARTICIPACION('Datos Protegidos'!DC9,PARTIDOS!DD$5)</f>
        <v>0</v>
      </c>
      <c r="DD9" s="3">
        <v>0</v>
      </c>
      <c r="DE9" s="3">
        <f>PARTICIPACION('Datos Protegidos'!DE9,PARTIDOS!DF$5)</f>
        <v>0</v>
      </c>
      <c r="DF9" s="3">
        <v>0</v>
      </c>
      <c r="DG9" s="3">
        <f>PARTICIPACION('Datos Protegidos'!DG9,PARTIDOS!DH$5)</f>
        <v>0</v>
      </c>
      <c r="DH9" s="3">
        <v>0</v>
      </c>
      <c r="DI9" s="3">
        <f>PARTICIPACION('Datos Protegidos'!DI9,PARTIDOS!DJ$5)</f>
        <v>0</v>
      </c>
      <c r="DJ9" s="3">
        <v>0</v>
      </c>
      <c r="DK9" s="3">
        <f>PARTICIPACION('Datos Protegidos'!DK9,PARTIDOS!DL$5)</f>
        <v>0</v>
      </c>
      <c r="DL9" s="3">
        <v>0</v>
      </c>
      <c r="DM9" s="3">
        <f>PARTICIPACION('Datos Protegidos'!DM9,PARTIDOS!DN$5)</f>
        <v>0</v>
      </c>
      <c r="DN9" s="3">
        <v>0</v>
      </c>
      <c r="DO9" s="3">
        <f>PARTICIPACION('Datos Protegidos'!DO9,PARTIDOS!DP$5)</f>
        <v>0</v>
      </c>
      <c r="DP9" s="3">
        <v>0</v>
      </c>
      <c r="DQ9" s="3">
        <f>PARTICIPACION('Datos Protegidos'!DQ9,PARTIDOS!DR$5)</f>
        <v>0</v>
      </c>
      <c r="DR9" s="3">
        <v>0</v>
      </c>
      <c r="DS9" s="3">
        <f>PARTICIPACION('Datos Protegidos'!DS9,PARTIDOS!DT$5)</f>
        <v>0</v>
      </c>
      <c r="DT9" s="3">
        <v>0</v>
      </c>
      <c r="DU9" s="3">
        <f>PARTICIPACION('Datos Protegidos'!DU9,PARTIDOS!DV$5)</f>
        <v>0</v>
      </c>
      <c r="DV9" s="3">
        <v>0</v>
      </c>
      <c r="DW9" s="3">
        <f>PARTICIPACION('Datos Protegidos'!DW9,PARTIDOS!DX$5)</f>
        <v>0</v>
      </c>
      <c r="DX9" s="3">
        <v>0</v>
      </c>
      <c r="DY9" s="3">
        <f>PARTICIPACION('Datos Protegidos'!DY9,PARTIDOS!DZ$5)</f>
        <v>0</v>
      </c>
      <c r="DZ9" s="3">
        <v>0</v>
      </c>
      <c r="EA9" s="3">
        <f>PARTICIPACION('Datos Protegidos'!EA9,PARTIDOS!EB$5)</f>
        <v>0</v>
      </c>
      <c r="EB9" s="3">
        <v>0</v>
      </c>
      <c r="EC9" s="3">
        <f>PARTICIPACION('Datos Protegidos'!EC9,PARTIDOS!ED$5)</f>
        <v>0</v>
      </c>
      <c r="ED9" s="3">
        <v>0</v>
      </c>
    </row>
    <row r="10" spans="1:134" x14ac:dyDescent="0.25">
      <c r="A10" s="3">
        <f>PARTICIPACION('Datos Protegidos'!A10,PARTIDOS!B$5)</f>
        <v>40006</v>
      </c>
      <c r="B10" s="3">
        <v>2</v>
      </c>
      <c r="C10" s="3">
        <f>PARTICIPACION('Datos Protegidos'!C10,PARTIDOS!D$5)</f>
        <v>30400</v>
      </c>
      <c r="D10" s="3">
        <v>1</v>
      </c>
      <c r="E10" s="3">
        <f>PARTICIPACION('Datos Protegidos'!E10,PARTIDOS!F$5)</f>
        <v>17581</v>
      </c>
      <c r="F10" s="3">
        <v>0</v>
      </c>
      <c r="G10" s="3">
        <f>PARTICIPACION('Datos Protegidos'!G10,PARTIDOS!H$5)</f>
        <v>14736</v>
      </c>
      <c r="H10" s="3">
        <v>0</v>
      </c>
      <c r="I10" s="3">
        <f>PARTICIPACION('Datos Protegidos'!I10,PARTIDOS!J$5)</f>
        <v>0</v>
      </c>
      <c r="J10" s="3">
        <v>0</v>
      </c>
      <c r="K10" s="3">
        <f>PARTICIPACION('Datos Protegidos'!K10,PARTIDOS!L$5)</f>
        <v>9244</v>
      </c>
      <c r="L10" s="3">
        <v>0</v>
      </c>
      <c r="M10" s="3">
        <f>PARTICIPACION('Datos Protegidos'!M10,PARTIDOS!N$5)</f>
        <v>0</v>
      </c>
      <c r="N10" s="3">
        <v>0</v>
      </c>
      <c r="O10" s="3">
        <f>PARTICIPACION('Datos Protegidos'!O10,PARTIDOS!P$5)</f>
        <v>0</v>
      </c>
      <c r="P10" s="3">
        <v>0</v>
      </c>
      <c r="Q10" s="3">
        <f>PARTICIPACION('Datos Protegidos'!Q10,PARTIDOS!R$5)</f>
        <v>0</v>
      </c>
      <c r="R10" s="3">
        <v>0</v>
      </c>
      <c r="S10" s="3">
        <f>PARTICIPACION('Datos Protegidos'!S10,PARTIDOS!T$5)</f>
        <v>0</v>
      </c>
      <c r="T10" s="3">
        <v>0</v>
      </c>
      <c r="U10" s="3">
        <f>PARTICIPACION('Datos Protegidos'!U10,PARTIDOS!V$5)</f>
        <v>0</v>
      </c>
      <c r="V10" s="3">
        <v>0</v>
      </c>
      <c r="W10" s="3">
        <f>PARTICIPACION('Datos Protegidos'!W10,PARTIDOS!X$5)</f>
        <v>0</v>
      </c>
      <c r="X10" s="3">
        <v>0</v>
      </c>
      <c r="Y10" s="3">
        <f>PARTICIPACION('Datos Protegidos'!Y10,PARTIDOS!Z$5)</f>
        <v>0</v>
      </c>
      <c r="Z10" s="3">
        <v>0</v>
      </c>
      <c r="AA10" s="3">
        <f>PARTICIPACION('Datos Protegidos'!AA10,PARTIDOS!AB$5)</f>
        <v>0</v>
      </c>
      <c r="AB10" s="3">
        <v>0</v>
      </c>
      <c r="AC10" s="3">
        <f>PARTICIPACION('Datos Protegidos'!AC10,PARTIDOS!AD$5)</f>
        <v>0</v>
      </c>
      <c r="AD10" s="3">
        <v>0</v>
      </c>
      <c r="AE10" s="3">
        <f>PARTICIPACION('Datos Protegidos'!AE10,PARTIDOS!AF$5)</f>
        <v>0</v>
      </c>
      <c r="AF10" s="3">
        <v>0</v>
      </c>
      <c r="AG10" s="3">
        <f>PARTICIPACION('Datos Protegidos'!AG10,PARTIDOS!AH$5)</f>
        <v>0</v>
      </c>
      <c r="AH10" s="3">
        <v>0</v>
      </c>
      <c r="AI10" s="3">
        <f>PARTICIPACION('Datos Protegidos'!AI10,PARTIDOS!AJ$5)</f>
        <v>0</v>
      </c>
      <c r="AJ10" s="3">
        <v>0</v>
      </c>
      <c r="AK10" s="3">
        <f>PARTICIPACION('Datos Protegidos'!AK10,PARTIDOS!AL$5)</f>
        <v>0</v>
      </c>
      <c r="AL10" s="3">
        <v>0</v>
      </c>
      <c r="AM10" s="3">
        <f>PARTICIPACION('Datos Protegidos'!AM10,PARTIDOS!AN$5)</f>
        <v>731</v>
      </c>
      <c r="AN10" s="3">
        <v>0</v>
      </c>
      <c r="AO10" s="3">
        <f>PARTICIPACION('Datos Protegidos'!AO10,PARTIDOS!AP$5)</f>
        <v>0</v>
      </c>
      <c r="AP10" s="3">
        <v>0</v>
      </c>
      <c r="AQ10" s="3">
        <f>PARTICIPACION('Datos Protegidos'!AQ10,PARTIDOS!AR$5)</f>
        <v>197</v>
      </c>
      <c r="AR10" s="3">
        <v>0</v>
      </c>
      <c r="AS10" s="3">
        <f>PARTICIPACION('Datos Protegidos'!AS10,PARTIDOS!AT$5)</f>
        <v>152</v>
      </c>
      <c r="AT10" s="3">
        <v>0</v>
      </c>
      <c r="AU10" s="3">
        <f>PARTICIPACION('Datos Protegidos'!AU10,PARTIDOS!AV$5)</f>
        <v>0</v>
      </c>
      <c r="AV10" s="3">
        <v>0</v>
      </c>
      <c r="AW10" s="3">
        <f>PARTICIPACION('Datos Protegidos'!AW10,PARTIDOS!AX$5)</f>
        <v>0</v>
      </c>
      <c r="AX10" s="3">
        <v>0</v>
      </c>
      <c r="AY10" s="3">
        <f>PARTICIPACION('Datos Protegidos'!AY10,PARTIDOS!AZ$5)</f>
        <v>0</v>
      </c>
      <c r="AZ10" s="3">
        <v>0</v>
      </c>
      <c r="BA10" s="3">
        <f>PARTICIPACION('Datos Protegidos'!BA10,PARTIDOS!BB$5)</f>
        <v>105</v>
      </c>
      <c r="BB10" s="3">
        <v>0</v>
      </c>
      <c r="BC10" s="3">
        <f>PARTICIPACION('Datos Protegidos'!BC10,PARTIDOS!BD$5)</f>
        <v>90</v>
      </c>
      <c r="BD10" s="3">
        <v>0</v>
      </c>
      <c r="BE10" s="3">
        <f>PARTICIPACION('Datos Protegidos'!BE10,PARTIDOS!BF$5)</f>
        <v>0</v>
      </c>
      <c r="BF10" s="3">
        <v>0</v>
      </c>
      <c r="BG10" s="3">
        <f>PARTICIPACION('Datos Protegidos'!BG10,PARTIDOS!BH$5)</f>
        <v>0</v>
      </c>
      <c r="BH10" s="3">
        <v>0</v>
      </c>
      <c r="BI10" s="3">
        <f>PARTICIPACION('Datos Protegidos'!BI10,PARTIDOS!BJ$5)</f>
        <v>0</v>
      </c>
      <c r="BJ10" s="3">
        <v>0</v>
      </c>
      <c r="BK10" s="3">
        <f>PARTICIPACION('Datos Protegidos'!BK10,PARTIDOS!BL$5)</f>
        <v>0</v>
      </c>
      <c r="BL10" s="3">
        <v>0</v>
      </c>
      <c r="BM10" s="3">
        <f>PARTICIPACION('Datos Protegidos'!BM10,PARTIDOS!BN$5)</f>
        <v>391</v>
      </c>
      <c r="BN10" s="3">
        <v>0</v>
      </c>
      <c r="BO10" s="3">
        <f>PARTICIPACION('Datos Protegidos'!BO10,PARTIDOS!BP$5)</f>
        <v>0</v>
      </c>
      <c r="BP10" s="3">
        <v>0</v>
      </c>
      <c r="BQ10" s="3">
        <f>PARTICIPACION('Datos Protegidos'!BQ10,PARTIDOS!BR$5)</f>
        <v>0</v>
      </c>
      <c r="BR10" s="3">
        <v>0</v>
      </c>
      <c r="BS10" s="3">
        <f>PARTICIPACION('Datos Protegidos'!BS10,PARTIDOS!BT$5)</f>
        <v>0</v>
      </c>
      <c r="BT10" s="3">
        <v>0</v>
      </c>
      <c r="BU10" s="3">
        <f>PARTICIPACION('Datos Protegidos'!BU10,PARTIDOS!BV$5)</f>
        <v>0</v>
      </c>
      <c r="BV10" s="3">
        <v>0</v>
      </c>
      <c r="BW10" s="3">
        <f>PARTICIPACION('Datos Protegidos'!BW10,PARTIDOS!BX$5)</f>
        <v>0</v>
      </c>
      <c r="BX10" s="3">
        <v>0</v>
      </c>
      <c r="BY10" s="3">
        <f>PARTICIPACION('Datos Protegidos'!BY10,PARTIDOS!BZ$5)</f>
        <v>0</v>
      </c>
      <c r="BZ10" s="3">
        <v>0</v>
      </c>
      <c r="CA10" s="3">
        <f>PARTICIPACION('Datos Protegidos'!CA10,PARTIDOS!CB$5)</f>
        <v>0</v>
      </c>
      <c r="CB10" s="3">
        <v>0</v>
      </c>
      <c r="CC10" s="3">
        <f>PARTICIPACION('Datos Protegidos'!CC10,PARTIDOS!CD$5)</f>
        <v>0</v>
      </c>
      <c r="CD10" s="3">
        <v>0</v>
      </c>
      <c r="CE10" s="3">
        <f>PARTICIPACION('Datos Protegidos'!CE10,PARTIDOS!CF$5)</f>
        <v>0</v>
      </c>
      <c r="CF10" s="3">
        <v>0</v>
      </c>
      <c r="CG10" s="3">
        <f>PARTICIPACION('Datos Protegidos'!CG10,PARTIDOS!CH$5)</f>
        <v>0</v>
      </c>
      <c r="CH10" s="3">
        <v>0</v>
      </c>
      <c r="CI10" s="3">
        <f>PARTICIPACION('Datos Protegidos'!CI10,PARTIDOS!CJ$5)</f>
        <v>0</v>
      </c>
      <c r="CJ10" s="3">
        <v>0</v>
      </c>
      <c r="CK10" s="3">
        <f>PARTICIPACION('Datos Protegidos'!CK10,PARTIDOS!CL$5)</f>
        <v>1990</v>
      </c>
      <c r="CL10" s="3">
        <v>0</v>
      </c>
      <c r="CM10" s="3">
        <f>PARTICIPACION('Datos Protegidos'!CM10,PARTIDOS!CN$5)</f>
        <v>0</v>
      </c>
      <c r="CN10" s="3">
        <v>0</v>
      </c>
      <c r="CO10" s="3">
        <f>PARTICIPACION('Datos Protegidos'!CO10,PARTIDOS!CP$5)</f>
        <v>0</v>
      </c>
      <c r="CP10" s="3">
        <v>0</v>
      </c>
      <c r="CQ10" s="3">
        <f>PARTICIPACION('Datos Protegidos'!CQ10,PARTIDOS!CR$5)</f>
        <v>0</v>
      </c>
      <c r="CR10" s="3">
        <v>0</v>
      </c>
      <c r="CS10" s="3">
        <f>PARTICIPACION('Datos Protegidos'!CS10,PARTIDOS!CT$5)</f>
        <v>0</v>
      </c>
      <c r="CT10" s="3">
        <v>0</v>
      </c>
      <c r="CU10" s="3">
        <f>PARTICIPACION('Datos Protegidos'!CU10,PARTIDOS!CV$5)</f>
        <v>0</v>
      </c>
      <c r="CV10" s="3">
        <v>0</v>
      </c>
      <c r="CW10" s="3">
        <f>PARTICIPACION('Datos Protegidos'!CW10,PARTIDOS!CX$5)</f>
        <v>0</v>
      </c>
      <c r="CX10" s="3">
        <v>0</v>
      </c>
      <c r="CY10" s="3">
        <f>PARTICIPACION('Datos Protegidos'!CY10,PARTIDOS!CZ$5)</f>
        <v>0</v>
      </c>
      <c r="CZ10" s="3">
        <v>0</v>
      </c>
      <c r="DA10" s="3">
        <f>PARTICIPACION('Datos Protegidos'!DA10,PARTIDOS!DB$5)</f>
        <v>0</v>
      </c>
      <c r="DB10" s="3">
        <v>0</v>
      </c>
      <c r="DC10" s="3">
        <f>PARTICIPACION('Datos Protegidos'!DC10,PARTIDOS!DD$5)</f>
        <v>0</v>
      </c>
      <c r="DD10" s="3">
        <v>0</v>
      </c>
      <c r="DE10" s="3">
        <f>PARTICIPACION('Datos Protegidos'!DE10,PARTIDOS!DF$5)</f>
        <v>72</v>
      </c>
      <c r="DF10" s="3">
        <v>0</v>
      </c>
      <c r="DG10" s="3">
        <f>PARTICIPACION('Datos Protegidos'!DG10,PARTIDOS!DH$5)</f>
        <v>0</v>
      </c>
      <c r="DH10" s="3">
        <v>0</v>
      </c>
      <c r="DI10" s="3">
        <f>PARTICIPACION('Datos Protegidos'!DI10,PARTIDOS!DJ$5)</f>
        <v>0</v>
      </c>
      <c r="DJ10" s="3">
        <v>0</v>
      </c>
      <c r="DK10" s="3">
        <f>PARTICIPACION('Datos Protegidos'!DK10,PARTIDOS!DL$5)</f>
        <v>0</v>
      </c>
      <c r="DL10" s="3">
        <v>0</v>
      </c>
      <c r="DM10" s="3">
        <f>PARTICIPACION('Datos Protegidos'!DM10,PARTIDOS!DN$5)</f>
        <v>0</v>
      </c>
      <c r="DN10" s="3">
        <v>0</v>
      </c>
      <c r="DO10" s="3">
        <f>PARTICIPACION('Datos Protegidos'!DO10,PARTIDOS!DP$5)</f>
        <v>74</v>
      </c>
      <c r="DP10" s="3">
        <v>0</v>
      </c>
      <c r="DQ10" s="3">
        <f>PARTICIPACION('Datos Protegidos'!DQ10,PARTIDOS!DR$5)</f>
        <v>0</v>
      </c>
      <c r="DR10" s="3">
        <v>0</v>
      </c>
      <c r="DS10" s="3">
        <f>PARTICIPACION('Datos Protegidos'!DS10,PARTIDOS!DT$5)</f>
        <v>0</v>
      </c>
      <c r="DT10" s="3">
        <v>0</v>
      </c>
      <c r="DU10" s="3">
        <f>PARTICIPACION('Datos Protegidos'!DU10,PARTIDOS!DV$5)</f>
        <v>0</v>
      </c>
      <c r="DV10" s="3">
        <v>0</v>
      </c>
      <c r="DW10" s="3">
        <f>PARTICIPACION('Datos Protegidos'!DW10,PARTIDOS!DX$5)</f>
        <v>0</v>
      </c>
      <c r="DX10" s="3">
        <v>0</v>
      </c>
      <c r="DY10" s="3">
        <f>PARTICIPACION('Datos Protegidos'!DY10,PARTIDOS!DZ$5)</f>
        <v>0</v>
      </c>
      <c r="DZ10" s="3">
        <v>0</v>
      </c>
      <c r="EA10" s="3">
        <f>PARTICIPACION('Datos Protegidos'!EA10,PARTIDOS!EB$5)</f>
        <v>0</v>
      </c>
      <c r="EB10" s="3">
        <v>0</v>
      </c>
      <c r="EC10" s="3">
        <f>PARTICIPACION('Datos Protegidos'!EC10,PARTIDOS!ED$5)</f>
        <v>0</v>
      </c>
      <c r="ED10" s="3">
        <v>0</v>
      </c>
    </row>
    <row r="11" spans="1:134" x14ac:dyDescent="0.25">
      <c r="A11" s="3">
        <f>PARTICIPACION('Datos Protegidos'!A11,PARTIDOS!B$5)</f>
        <v>19880</v>
      </c>
      <c r="B11" s="3">
        <v>1</v>
      </c>
      <c r="C11" s="3">
        <f>PARTICIPACION('Datos Protegidos'!C11,PARTIDOS!D$5)</f>
        <v>17870</v>
      </c>
      <c r="D11" s="3">
        <v>1</v>
      </c>
      <c r="E11" s="3">
        <f>PARTICIPACION('Datos Protegidos'!E11,PARTIDOS!F$5)</f>
        <v>9532</v>
      </c>
      <c r="F11" s="3">
        <v>0</v>
      </c>
      <c r="G11" s="3">
        <f>PARTICIPACION('Datos Protegidos'!G11,PARTIDOS!H$5)</f>
        <v>4181</v>
      </c>
      <c r="H11" s="3">
        <v>0</v>
      </c>
      <c r="I11" s="3">
        <f>PARTICIPACION('Datos Protegidos'!I11,PARTIDOS!J$5)</f>
        <v>0</v>
      </c>
      <c r="J11" s="3">
        <v>0</v>
      </c>
      <c r="K11" s="3">
        <f>PARTICIPACION('Datos Protegidos'!K11,PARTIDOS!L$5)</f>
        <v>3732</v>
      </c>
      <c r="L11" s="3">
        <v>0</v>
      </c>
      <c r="M11" s="3">
        <f>PARTICIPACION('Datos Protegidos'!M11,PARTIDOS!N$5)</f>
        <v>0</v>
      </c>
      <c r="N11" s="3">
        <v>0</v>
      </c>
      <c r="O11" s="3">
        <f>PARTICIPACION('Datos Protegidos'!O11,PARTIDOS!P$5)</f>
        <v>0</v>
      </c>
      <c r="P11" s="3">
        <v>0</v>
      </c>
      <c r="Q11" s="3">
        <f>PARTICIPACION('Datos Protegidos'!Q11,PARTIDOS!R$5)</f>
        <v>0</v>
      </c>
      <c r="R11" s="3">
        <v>0</v>
      </c>
      <c r="S11" s="3">
        <f>PARTICIPACION('Datos Protegidos'!S11,PARTIDOS!T$5)</f>
        <v>0</v>
      </c>
      <c r="T11" s="3">
        <v>0</v>
      </c>
      <c r="U11" s="3">
        <f>PARTICIPACION('Datos Protegidos'!U11,PARTIDOS!V$5)</f>
        <v>0</v>
      </c>
      <c r="V11" s="3">
        <v>0</v>
      </c>
      <c r="W11" s="3">
        <f>PARTICIPACION('Datos Protegidos'!W11,PARTIDOS!X$5)</f>
        <v>0</v>
      </c>
      <c r="X11" s="3">
        <v>0</v>
      </c>
      <c r="Y11" s="3">
        <f>PARTICIPACION('Datos Protegidos'!Y11,PARTIDOS!Z$5)</f>
        <v>0</v>
      </c>
      <c r="Z11" s="3">
        <v>0</v>
      </c>
      <c r="AA11" s="3">
        <f>PARTICIPACION('Datos Protegidos'!AA11,PARTIDOS!AB$5)</f>
        <v>0</v>
      </c>
      <c r="AB11" s="3">
        <v>0</v>
      </c>
      <c r="AC11" s="3">
        <f>PARTICIPACION('Datos Protegidos'!AC11,PARTIDOS!AD$5)</f>
        <v>0</v>
      </c>
      <c r="AD11" s="3">
        <v>0</v>
      </c>
      <c r="AE11" s="3">
        <f>PARTICIPACION('Datos Protegidos'!AE11,PARTIDOS!AF$5)</f>
        <v>0</v>
      </c>
      <c r="AF11" s="3">
        <v>0</v>
      </c>
      <c r="AG11" s="3">
        <f>PARTICIPACION('Datos Protegidos'!AG11,PARTIDOS!AH$5)</f>
        <v>0</v>
      </c>
      <c r="AH11" s="3">
        <v>0</v>
      </c>
      <c r="AI11" s="3">
        <f>PARTICIPACION('Datos Protegidos'!AI11,PARTIDOS!AJ$5)</f>
        <v>0</v>
      </c>
      <c r="AJ11" s="3">
        <v>0</v>
      </c>
      <c r="AK11" s="3">
        <f>PARTICIPACION('Datos Protegidos'!AK11,PARTIDOS!AL$5)</f>
        <v>19662</v>
      </c>
      <c r="AL11" s="3">
        <v>1</v>
      </c>
      <c r="AM11" s="3">
        <f>PARTICIPACION('Datos Protegidos'!AM11,PARTIDOS!AN$5)</f>
        <v>210</v>
      </c>
      <c r="AN11" s="3">
        <v>0</v>
      </c>
      <c r="AO11" s="3">
        <f>PARTICIPACION('Datos Protegidos'!AO11,PARTIDOS!AP$5)</f>
        <v>0</v>
      </c>
      <c r="AP11" s="3">
        <v>0</v>
      </c>
      <c r="AQ11" s="3">
        <f>PARTICIPACION('Datos Protegidos'!AQ11,PARTIDOS!AR$5)</f>
        <v>0</v>
      </c>
      <c r="AR11" s="3">
        <v>0</v>
      </c>
      <c r="AS11" s="3">
        <f>PARTICIPACION('Datos Protegidos'!AS11,PARTIDOS!AT$5)</f>
        <v>34</v>
      </c>
      <c r="AT11" s="3">
        <v>0</v>
      </c>
      <c r="AU11" s="3">
        <f>PARTICIPACION('Datos Protegidos'!AU11,PARTIDOS!AV$5)</f>
        <v>0</v>
      </c>
      <c r="AV11" s="3">
        <v>0</v>
      </c>
      <c r="AW11" s="3">
        <f>PARTICIPACION('Datos Protegidos'!AW11,PARTIDOS!AX$5)</f>
        <v>0</v>
      </c>
      <c r="AX11" s="3">
        <v>0</v>
      </c>
      <c r="AY11" s="3">
        <f>PARTICIPACION('Datos Protegidos'!AY11,PARTIDOS!AZ$5)</f>
        <v>0</v>
      </c>
      <c r="AZ11" s="3">
        <v>0</v>
      </c>
      <c r="BA11" s="3">
        <f>PARTICIPACION('Datos Protegidos'!BA11,PARTIDOS!BB$5)</f>
        <v>47</v>
      </c>
      <c r="BB11" s="3">
        <v>0</v>
      </c>
      <c r="BC11" s="3">
        <f>PARTICIPACION('Datos Protegidos'!BC11,PARTIDOS!BD$5)</f>
        <v>0</v>
      </c>
      <c r="BD11" s="3">
        <v>0</v>
      </c>
      <c r="BE11" s="3">
        <f>PARTICIPACION('Datos Protegidos'!BE11,PARTIDOS!BF$5)</f>
        <v>0</v>
      </c>
      <c r="BF11" s="3">
        <v>0</v>
      </c>
      <c r="BG11" s="3">
        <f>PARTICIPACION('Datos Protegidos'!BG11,PARTIDOS!BH$5)</f>
        <v>0</v>
      </c>
      <c r="BH11" s="3">
        <v>0</v>
      </c>
      <c r="BI11" s="3">
        <f>PARTICIPACION('Datos Protegidos'!BI11,PARTIDOS!BJ$5)</f>
        <v>100</v>
      </c>
      <c r="BJ11" s="3">
        <v>0</v>
      </c>
      <c r="BK11" s="3">
        <f>PARTICIPACION('Datos Protegidos'!BK11,PARTIDOS!BL$5)</f>
        <v>0</v>
      </c>
      <c r="BL11" s="3">
        <v>0</v>
      </c>
      <c r="BM11" s="3">
        <f>PARTICIPACION('Datos Protegidos'!BM11,PARTIDOS!BN$5)</f>
        <v>0</v>
      </c>
      <c r="BN11" s="3">
        <v>0</v>
      </c>
      <c r="BO11" s="3">
        <f>PARTICIPACION('Datos Protegidos'!BO11,PARTIDOS!BP$5)</f>
        <v>0</v>
      </c>
      <c r="BP11" s="3">
        <v>0</v>
      </c>
      <c r="BQ11" s="3">
        <f>PARTICIPACION('Datos Protegidos'!BQ11,PARTIDOS!BR$5)</f>
        <v>0</v>
      </c>
      <c r="BR11" s="3">
        <v>0</v>
      </c>
      <c r="BS11" s="3">
        <f>PARTICIPACION('Datos Protegidos'!BS11,PARTIDOS!BT$5)</f>
        <v>0</v>
      </c>
      <c r="BT11" s="3">
        <v>0</v>
      </c>
      <c r="BU11" s="3">
        <f>PARTICIPACION('Datos Protegidos'!BU11,PARTIDOS!BV$5)</f>
        <v>0</v>
      </c>
      <c r="BV11" s="3">
        <v>0</v>
      </c>
      <c r="BW11" s="3">
        <f>PARTICIPACION('Datos Protegidos'!BW11,PARTIDOS!BX$5)</f>
        <v>0</v>
      </c>
      <c r="BX11" s="3">
        <v>0</v>
      </c>
      <c r="BY11" s="3">
        <f>PARTICIPACION('Datos Protegidos'!BY11,PARTIDOS!BZ$5)</f>
        <v>0</v>
      </c>
      <c r="BZ11" s="3">
        <v>0</v>
      </c>
      <c r="CA11" s="3">
        <f>PARTICIPACION('Datos Protegidos'!CA11,PARTIDOS!CB$5)</f>
        <v>0</v>
      </c>
      <c r="CB11" s="3">
        <v>0</v>
      </c>
      <c r="CC11" s="3">
        <f>PARTICIPACION('Datos Protegidos'!CC11,PARTIDOS!CD$5)</f>
        <v>0</v>
      </c>
      <c r="CD11" s="3">
        <v>0</v>
      </c>
      <c r="CE11" s="3">
        <f>PARTICIPACION('Datos Protegidos'!CE11,PARTIDOS!CF$5)</f>
        <v>0</v>
      </c>
      <c r="CF11" s="3">
        <v>0</v>
      </c>
      <c r="CG11" s="3">
        <f>PARTICIPACION('Datos Protegidos'!CG11,PARTIDOS!CH$5)</f>
        <v>0</v>
      </c>
      <c r="CH11" s="3">
        <v>0</v>
      </c>
      <c r="CI11" s="3">
        <f>PARTICIPACION('Datos Protegidos'!CI11,PARTIDOS!CJ$5)</f>
        <v>0</v>
      </c>
      <c r="CJ11" s="3">
        <v>0</v>
      </c>
      <c r="CK11" s="3">
        <f>PARTICIPACION('Datos Protegidos'!CK11,PARTIDOS!CL$5)</f>
        <v>0</v>
      </c>
      <c r="CL11" s="3">
        <v>0</v>
      </c>
      <c r="CM11" s="3">
        <f>PARTICIPACION('Datos Protegidos'!CM11,PARTIDOS!CN$5)</f>
        <v>0</v>
      </c>
      <c r="CN11" s="3">
        <v>0</v>
      </c>
      <c r="CO11" s="3">
        <f>PARTICIPACION('Datos Protegidos'!CO11,PARTIDOS!CP$5)</f>
        <v>0</v>
      </c>
      <c r="CP11" s="3">
        <v>0</v>
      </c>
      <c r="CQ11" s="3">
        <f>PARTICIPACION('Datos Protegidos'!CQ11,PARTIDOS!CR$5)</f>
        <v>0</v>
      </c>
      <c r="CR11" s="3">
        <v>0</v>
      </c>
      <c r="CS11" s="3">
        <f>PARTICIPACION('Datos Protegidos'!CS11,PARTIDOS!CT$5)</f>
        <v>0</v>
      </c>
      <c r="CT11" s="3">
        <v>0</v>
      </c>
      <c r="CU11" s="3">
        <f>PARTICIPACION('Datos Protegidos'!CU11,PARTIDOS!CV$5)</f>
        <v>0</v>
      </c>
      <c r="CV11" s="3">
        <v>0</v>
      </c>
      <c r="CW11" s="3">
        <f>PARTICIPACION('Datos Protegidos'!CW11,PARTIDOS!CX$5)</f>
        <v>0</v>
      </c>
      <c r="CX11" s="3">
        <v>0</v>
      </c>
      <c r="CY11" s="3">
        <f>PARTICIPACION('Datos Protegidos'!CY11,PARTIDOS!CZ$5)</f>
        <v>0</v>
      </c>
      <c r="CZ11" s="3">
        <v>0</v>
      </c>
      <c r="DA11" s="3">
        <f>PARTICIPACION('Datos Protegidos'!DA11,PARTIDOS!DB$5)</f>
        <v>0</v>
      </c>
      <c r="DB11" s="3">
        <v>0</v>
      </c>
      <c r="DC11" s="3">
        <f>PARTICIPACION('Datos Protegidos'!DC11,PARTIDOS!DD$5)</f>
        <v>0</v>
      </c>
      <c r="DD11" s="3">
        <v>0</v>
      </c>
      <c r="DE11" s="3">
        <f>PARTICIPACION('Datos Protegidos'!DE11,PARTIDOS!DF$5)</f>
        <v>24</v>
      </c>
      <c r="DF11" s="3">
        <v>0</v>
      </c>
      <c r="DG11" s="3">
        <f>PARTICIPACION('Datos Protegidos'!DG11,PARTIDOS!DH$5)</f>
        <v>0</v>
      </c>
      <c r="DH11" s="3">
        <v>0</v>
      </c>
      <c r="DI11" s="3">
        <f>PARTICIPACION('Datos Protegidos'!DI11,PARTIDOS!DJ$5)</f>
        <v>13</v>
      </c>
      <c r="DJ11" s="3">
        <v>0</v>
      </c>
      <c r="DK11" s="3">
        <f>PARTICIPACION('Datos Protegidos'!DK11,PARTIDOS!DL$5)</f>
        <v>0</v>
      </c>
      <c r="DL11" s="3">
        <v>0</v>
      </c>
      <c r="DM11" s="3">
        <f>PARTICIPACION('Datos Protegidos'!DM11,PARTIDOS!DN$5)</f>
        <v>0</v>
      </c>
      <c r="DN11" s="3">
        <v>0</v>
      </c>
      <c r="DO11" s="3">
        <f>PARTICIPACION('Datos Protegidos'!DO11,PARTIDOS!DP$5)</f>
        <v>0</v>
      </c>
      <c r="DP11" s="3">
        <v>0</v>
      </c>
      <c r="DQ11" s="3">
        <f>PARTICIPACION('Datos Protegidos'!DQ11,PARTIDOS!DR$5)</f>
        <v>0</v>
      </c>
      <c r="DR11" s="3">
        <v>0</v>
      </c>
      <c r="DS11" s="3">
        <f>PARTICIPACION('Datos Protegidos'!DS11,PARTIDOS!DT$5)</f>
        <v>0</v>
      </c>
      <c r="DT11" s="3">
        <v>0</v>
      </c>
      <c r="DU11" s="3">
        <f>PARTICIPACION('Datos Protegidos'!DU11,PARTIDOS!DV$5)</f>
        <v>0</v>
      </c>
      <c r="DV11" s="3">
        <v>0</v>
      </c>
      <c r="DW11" s="3">
        <f>PARTICIPACION('Datos Protegidos'!DW11,PARTIDOS!DX$5)</f>
        <v>0</v>
      </c>
      <c r="DX11" s="3">
        <v>0</v>
      </c>
      <c r="DY11" s="3">
        <f>PARTICIPACION('Datos Protegidos'!DY11,PARTIDOS!DZ$5)</f>
        <v>0</v>
      </c>
      <c r="DZ11" s="3">
        <v>0</v>
      </c>
      <c r="EA11" s="3">
        <f>PARTICIPACION('Datos Protegidos'!EA11,PARTIDOS!EB$5)</f>
        <v>0</v>
      </c>
      <c r="EB11" s="3">
        <v>0</v>
      </c>
      <c r="EC11" s="3">
        <f>PARTICIPACION('Datos Protegidos'!EC11,PARTIDOS!ED$5)</f>
        <v>25</v>
      </c>
      <c r="ED11" s="3">
        <v>0</v>
      </c>
    </row>
    <row r="12" spans="1:134" x14ac:dyDescent="0.25">
      <c r="A12" s="3">
        <f>PARTICIPACION('Datos Protegidos'!A12,PARTIDOS!B$5)</f>
        <v>166242</v>
      </c>
      <c r="B12" s="3">
        <v>3</v>
      </c>
      <c r="C12" s="3">
        <f>PARTICIPACION('Datos Protegidos'!C12,PARTIDOS!D$5)</f>
        <v>122307</v>
      </c>
      <c r="D12" s="3">
        <v>2</v>
      </c>
      <c r="E12" s="3">
        <f>PARTICIPACION('Datos Protegidos'!E12,PARTIDOS!F$5)</f>
        <v>94200</v>
      </c>
      <c r="F12" s="3">
        <v>1</v>
      </c>
      <c r="G12" s="3">
        <f>PARTICIPACION('Datos Protegidos'!G12,PARTIDOS!H$5)</f>
        <v>60768</v>
      </c>
      <c r="H12" s="3">
        <v>1</v>
      </c>
      <c r="I12" s="3">
        <f>PARTICIPACION('Datos Protegidos'!I12,PARTIDOS!J$5)</f>
        <v>0</v>
      </c>
      <c r="J12" s="3">
        <v>0</v>
      </c>
      <c r="K12" s="3">
        <f>PARTICIPACION('Datos Protegidos'!K12,PARTIDOS!L$5)</f>
        <v>47001</v>
      </c>
      <c r="L12" s="3">
        <v>0</v>
      </c>
      <c r="M12" s="3">
        <f>PARTICIPACION('Datos Protegidos'!M12,PARTIDOS!N$5)</f>
        <v>0</v>
      </c>
      <c r="N12" s="3">
        <v>0</v>
      </c>
      <c r="O12" s="3">
        <f>PARTICIPACION('Datos Protegidos'!O12,PARTIDOS!P$5)</f>
        <v>0</v>
      </c>
      <c r="P12" s="3">
        <v>0</v>
      </c>
      <c r="Q12" s="3">
        <f>PARTICIPACION('Datos Protegidos'!Q12,PARTIDOS!R$5)</f>
        <v>0</v>
      </c>
      <c r="R12" s="3">
        <v>0</v>
      </c>
      <c r="S12" s="3">
        <f>PARTICIPACION('Datos Protegidos'!S12,PARTIDOS!T$5)</f>
        <v>0</v>
      </c>
      <c r="T12" s="3">
        <v>0</v>
      </c>
      <c r="U12" s="3">
        <f>PARTICIPACION('Datos Protegidos'!U12,PARTIDOS!V$5)</f>
        <v>0</v>
      </c>
      <c r="V12" s="3">
        <v>0</v>
      </c>
      <c r="W12" s="3">
        <f>PARTICIPACION('Datos Protegidos'!W12,PARTIDOS!X$5)</f>
        <v>0</v>
      </c>
      <c r="X12" s="3">
        <v>0</v>
      </c>
      <c r="Y12" s="3">
        <f>PARTICIPACION('Datos Protegidos'!Y12,PARTIDOS!Z$5)</f>
        <v>0</v>
      </c>
      <c r="Z12" s="3">
        <v>0</v>
      </c>
      <c r="AA12" s="3">
        <f>PARTICIPACION('Datos Protegidos'!AA12,PARTIDOS!AB$5)</f>
        <v>0</v>
      </c>
      <c r="AB12" s="3">
        <v>0</v>
      </c>
      <c r="AC12" s="3">
        <f>PARTICIPACION('Datos Protegidos'!AC12,PARTIDOS!AD$5)</f>
        <v>0</v>
      </c>
      <c r="AD12" s="3">
        <v>0</v>
      </c>
      <c r="AE12" s="3">
        <f>PARTICIPACION('Datos Protegidos'!AE12,PARTIDOS!AF$5)</f>
        <v>0</v>
      </c>
      <c r="AF12" s="3">
        <v>0</v>
      </c>
      <c r="AG12" s="3">
        <f>PARTICIPACION('Datos Protegidos'!AG12,PARTIDOS!AH$5)</f>
        <v>0</v>
      </c>
      <c r="AH12" s="3">
        <v>0</v>
      </c>
      <c r="AI12" s="3">
        <f>PARTICIPACION('Datos Protegidos'!AI12,PARTIDOS!AJ$5)</f>
        <v>0</v>
      </c>
      <c r="AJ12" s="3">
        <v>0</v>
      </c>
      <c r="AK12" s="3">
        <f>PARTICIPACION('Datos Protegidos'!AK12,PARTIDOS!AL$5)</f>
        <v>0</v>
      </c>
      <c r="AL12" s="3">
        <v>0</v>
      </c>
      <c r="AM12" s="3">
        <f>PARTICIPACION('Datos Protegidos'!AM12,PARTIDOS!AN$5)</f>
        <v>3599</v>
      </c>
      <c r="AN12" s="3">
        <v>0</v>
      </c>
      <c r="AO12" s="3">
        <f>PARTICIPACION('Datos Protegidos'!AO12,PARTIDOS!AP$5)</f>
        <v>0</v>
      </c>
      <c r="AP12" s="3">
        <v>0</v>
      </c>
      <c r="AQ12" s="3">
        <f>PARTICIPACION('Datos Protegidos'!AQ12,PARTIDOS!AR$5)</f>
        <v>856</v>
      </c>
      <c r="AR12" s="3">
        <v>0</v>
      </c>
      <c r="AS12" s="3">
        <f>PARTICIPACION('Datos Protegidos'!AS12,PARTIDOS!AT$5)</f>
        <v>482</v>
      </c>
      <c r="AT12" s="3">
        <v>0</v>
      </c>
      <c r="AU12" s="3">
        <f>PARTICIPACION('Datos Protegidos'!AU12,PARTIDOS!AV$5)</f>
        <v>23080</v>
      </c>
      <c r="AV12" s="3">
        <v>0</v>
      </c>
      <c r="AW12" s="3">
        <f>PARTICIPACION('Datos Protegidos'!AW12,PARTIDOS!AX$5)</f>
        <v>0</v>
      </c>
      <c r="AX12" s="3">
        <v>0</v>
      </c>
      <c r="AY12" s="3">
        <f>PARTICIPACION('Datos Protegidos'!AY12,PARTIDOS!AZ$5)</f>
        <v>0</v>
      </c>
      <c r="AZ12" s="3">
        <v>0</v>
      </c>
      <c r="BA12" s="3">
        <f>PARTICIPACION('Datos Protegidos'!BA12,PARTIDOS!BB$5)</f>
        <v>347</v>
      </c>
      <c r="BB12" s="3">
        <v>0</v>
      </c>
      <c r="BC12" s="3">
        <f>PARTICIPACION('Datos Protegidos'!BC12,PARTIDOS!BD$5)</f>
        <v>434</v>
      </c>
      <c r="BD12" s="3">
        <v>0</v>
      </c>
      <c r="BE12" s="3">
        <f>PARTICIPACION('Datos Protegidos'!BE12,PARTIDOS!BF$5)</f>
        <v>0</v>
      </c>
      <c r="BF12" s="3">
        <v>0</v>
      </c>
      <c r="BG12" s="3">
        <f>PARTICIPACION('Datos Protegidos'!BG12,PARTIDOS!BH$5)</f>
        <v>0</v>
      </c>
      <c r="BH12" s="3">
        <v>0</v>
      </c>
      <c r="BI12" s="3">
        <f>PARTICIPACION('Datos Protegidos'!BI12,PARTIDOS!BJ$5)</f>
        <v>0</v>
      </c>
      <c r="BJ12" s="3">
        <v>0</v>
      </c>
      <c r="BK12" s="3">
        <f>PARTICIPACION('Datos Protegidos'!BK12,PARTIDOS!BL$5)</f>
        <v>0</v>
      </c>
      <c r="BL12" s="3">
        <v>0</v>
      </c>
      <c r="BM12" s="3">
        <f>PARTICIPACION('Datos Protegidos'!BM12,PARTIDOS!BN$5)</f>
        <v>1930</v>
      </c>
      <c r="BN12" s="3">
        <v>0</v>
      </c>
      <c r="BO12" s="3">
        <f>PARTICIPACION('Datos Protegidos'!BO12,PARTIDOS!BP$5)</f>
        <v>0</v>
      </c>
      <c r="BP12" s="3">
        <v>0</v>
      </c>
      <c r="BQ12" s="3">
        <f>PARTICIPACION('Datos Protegidos'!BQ12,PARTIDOS!BR$5)</f>
        <v>0</v>
      </c>
      <c r="BR12" s="3">
        <v>0</v>
      </c>
      <c r="BS12" s="3">
        <f>PARTICIPACION('Datos Protegidos'!BS12,PARTIDOS!BT$5)</f>
        <v>0</v>
      </c>
      <c r="BT12" s="3">
        <v>0</v>
      </c>
      <c r="BU12" s="3">
        <f>PARTICIPACION('Datos Protegidos'!BU12,PARTIDOS!BV$5)</f>
        <v>0</v>
      </c>
      <c r="BV12" s="3">
        <v>0</v>
      </c>
      <c r="BW12" s="3">
        <f>PARTICIPACION('Datos Protegidos'!BW12,PARTIDOS!BX$5)</f>
        <v>0</v>
      </c>
      <c r="BX12" s="3">
        <v>0</v>
      </c>
      <c r="BY12" s="3">
        <f>PARTICIPACION('Datos Protegidos'!BY12,PARTIDOS!BZ$5)</f>
        <v>0</v>
      </c>
      <c r="BZ12" s="3">
        <v>0</v>
      </c>
      <c r="CA12" s="3">
        <f>PARTICIPACION('Datos Protegidos'!CA12,PARTIDOS!CB$5)</f>
        <v>0</v>
      </c>
      <c r="CB12" s="3">
        <v>0</v>
      </c>
      <c r="CC12" s="3">
        <f>PARTICIPACION('Datos Protegidos'!CC12,PARTIDOS!CD$5)</f>
        <v>0</v>
      </c>
      <c r="CD12" s="3">
        <v>0</v>
      </c>
      <c r="CE12" s="3">
        <f>PARTICIPACION('Datos Protegidos'!CE12,PARTIDOS!CF$5)</f>
        <v>0</v>
      </c>
      <c r="CF12" s="3">
        <v>0</v>
      </c>
      <c r="CG12" s="3">
        <f>PARTICIPACION('Datos Protegidos'!CG12,PARTIDOS!CH$5)</f>
        <v>0</v>
      </c>
      <c r="CH12" s="3">
        <v>0</v>
      </c>
      <c r="CI12" s="3">
        <f>PARTICIPACION('Datos Protegidos'!CI12,PARTIDOS!CJ$5)</f>
        <v>0</v>
      </c>
      <c r="CJ12" s="3">
        <v>0</v>
      </c>
      <c r="CK12" s="3">
        <f>PARTICIPACION('Datos Protegidos'!CK12,PARTIDOS!CL$5)</f>
        <v>0</v>
      </c>
      <c r="CL12" s="3">
        <v>0</v>
      </c>
      <c r="CM12" s="3">
        <f>PARTICIPACION('Datos Protegidos'!CM12,PARTIDOS!CN$5)</f>
        <v>0</v>
      </c>
      <c r="CN12" s="3">
        <v>0</v>
      </c>
      <c r="CO12" s="3">
        <f>PARTICIPACION('Datos Protegidos'!CO12,PARTIDOS!CP$5)</f>
        <v>0</v>
      </c>
      <c r="CP12" s="3">
        <v>0</v>
      </c>
      <c r="CQ12" s="3">
        <f>PARTICIPACION('Datos Protegidos'!CQ12,PARTIDOS!CR$5)</f>
        <v>0</v>
      </c>
      <c r="CR12" s="3">
        <v>0</v>
      </c>
      <c r="CS12" s="3">
        <f>PARTICIPACION('Datos Protegidos'!CS12,PARTIDOS!CT$5)</f>
        <v>0</v>
      </c>
      <c r="CT12" s="3">
        <v>0</v>
      </c>
      <c r="CU12" s="3">
        <f>PARTICIPACION('Datos Protegidos'!CU12,PARTIDOS!CV$5)</f>
        <v>1121</v>
      </c>
      <c r="CV12" s="3">
        <v>0</v>
      </c>
      <c r="CW12" s="3">
        <f>PARTICIPACION('Datos Protegidos'!CW12,PARTIDOS!CX$5)</f>
        <v>0</v>
      </c>
      <c r="CX12" s="3">
        <v>0</v>
      </c>
      <c r="CY12" s="3">
        <f>PARTICIPACION('Datos Protegidos'!CY12,PARTIDOS!CZ$5)</f>
        <v>0</v>
      </c>
      <c r="CZ12" s="3">
        <v>0</v>
      </c>
      <c r="DA12" s="3">
        <f>PARTICIPACION('Datos Protegidos'!DA12,PARTIDOS!DB$5)</f>
        <v>0</v>
      </c>
      <c r="DB12" s="3">
        <v>0</v>
      </c>
      <c r="DC12" s="3">
        <f>PARTICIPACION('Datos Protegidos'!DC12,PARTIDOS!DD$5)</f>
        <v>0</v>
      </c>
      <c r="DD12" s="3">
        <v>0</v>
      </c>
      <c r="DE12" s="3">
        <f>PARTICIPACION('Datos Protegidos'!DE12,PARTIDOS!DF$5)</f>
        <v>529</v>
      </c>
      <c r="DF12" s="3">
        <v>0</v>
      </c>
      <c r="DG12" s="3">
        <f>PARTICIPACION('Datos Protegidos'!DG12,PARTIDOS!DH$5)</f>
        <v>0</v>
      </c>
      <c r="DH12" s="3">
        <v>0</v>
      </c>
      <c r="DI12" s="3">
        <f>PARTICIPACION('Datos Protegidos'!DI12,PARTIDOS!DJ$5)</f>
        <v>0</v>
      </c>
      <c r="DJ12" s="3">
        <v>0</v>
      </c>
      <c r="DK12" s="3">
        <f>PARTICIPACION('Datos Protegidos'!DK12,PARTIDOS!DL$5)</f>
        <v>0</v>
      </c>
      <c r="DL12" s="3">
        <v>0</v>
      </c>
      <c r="DM12" s="3">
        <f>PARTICIPACION('Datos Protegidos'!DM12,PARTIDOS!DN$5)</f>
        <v>0</v>
      </c>
      <c r="DN12" s="3">
        <v>0</v>
      </c>
      <c r="DO12" s="3">
        <f>PARTICIPACION('Datos Protegidos'!DO12,PARTIDOS!DP$5)</f>
        <v>384</v>
      </c>
      <c r="DP12" s="3">
        <v>0</v>
      </c>
      <c r="DQ12" s="3">
        <f>PARTICIPACION('Datos Protegidos'!DQ12,PARTIDOS!DR$5)</f>
        <v>0</v>
      </c>
      <c r="DR12" s="3">
        <v>0</v>
      </c>
      <c r="DS12" s="3">
        <f>PARTICIPACION('Datos Protegidos'!DS12,PARTIDOS!DT$5)</f>
        <v>0</v>
      </c>
      <c r="DT12" s="3">
        <v>0</v>
      </c>
      <c r="DU12" s="3">
        <f>PARTICIPACION('Datos Protegidos'!DU12,PARTIDOS!DV$5)</f>
        <v>0</v>
      </c>
      <c r="DV12" s="3">
        <v>0</v>
      </c>
      <c r="DW12" s="3">
        <f>PARTICIPACION('Datos Protegidos'!DW12,PARTIDOS!DX$5)</f>
        <v>0</v>
      </c>
      <c r="DX12" s="3">
        <v>0</v>
      </c>
      <c r="DY12" s="3">
        <f>PARTICIPACION('Datos Protegidos'!DY12,PARTIDOS!DZ$5)</f>
        <v>0</v>
      </c>
      <c r="DZ12" s="3">
        <v>0</v>
      </c>
      <c r="EA12" s="3">
        <f>PARTICIPACION('Datos Protegidos'!EA12,PARTIDOS!EB$5)</f>
        <v>0</v>
      </c>
      <c r="EB12" s="3">
        <v>0</v>
      </c>
      <c r="EC12" s="3">
        <f>PARTICIPACION('Datos Protegidos'!EC12,PARTIDOS!ED$5)</f>
        <v>0</v>
      </c>
      <c r="ED12" s="3">
        <v>0</v>
      </c>
    </row>
    <row r="13" spans="1:134" x14ac:dyDescent="0.25">
      <c r="A13" s="3">
        <f>PARTICIPACION('Datos Protegidos'!A13,PARTIDOS!B$5)</f>
        <v>195521</v>
      </c>
      <c r="B13" s="3">
        <v>3</v>
      </c>
      <c r="C13" s="3">
        <f>PARTICIPACION('Datos Protegidos'!C13,PARTIDOS!D$5)</f>
        <v>132543</v>
      </c>
      <c r="D13" s="3">
        <v>2</v>
      </c>
      <c r="E13" s="3">
        <f>PARTICIPACION('Datos Protegidos'!E13,PARTIDOS!F$5)</f>
        <v>90563</v>
      </c>
      <c r="F13" s="3">
        <v>1</v>
      </c>
      <c r="G13" s="3">
        <f>PARTICIPACION('Datos Protegidos'!G13,PARTIDOS!H$5)</f>
        <v>93766</v>
      </c>
      <c r="H13" s="3">
        <v>1</v>
      </c>
      <c r="I13" s="3">
        <f>PARTICIPACION('Datos Protegidos'!I13,PARTIDOS!J$5)</f>
        <v>0</v>
      </c>
      <c r="J13" s="3">
        <v>0</v>
      </c>
      <c r="K13" s="3">
        <f>PARTICIPACION('Datos Protegidos'!K13,PARTIDOS!L$5)</f>
        <v>37374</v>
      </c>
      <c r="L13" s="3">
        <v>0</v>
      </c>
      <c r="M13" s="3">
        <f>PARTICIPACION('Datos Protegidos'!M13,PARTIDOS!N$5)</f>
        <v>0</v>
      </c>
      <c r="N13" s="3">
        <v>0</v>
      </c>
      <c r="O13" s="3">
        <f>PARTICIPACION('Datos Protegidos'!O13,PARTIDOS!P$5)</f>
        <v>0</v>
      </c>
      <c r="P13" s="3">
        <v>0</v>
      </c>
      <c r="Q13" s="3">
        <f>PARTICIPACION('Datos Protegidos'!Q13,PARTIDOS!R$5)</f>
        <v>0</v>
      </c>
      <c r="R13" s="3">
        <v>0</v>
      </c>
      <c r="S13" s="3">
        <f>PARTICIPACION('Datos Protegidos'!S13,PARTIDOS!T$5)</f>
        <v>0</v>
      </c>
      <c r="T13" s="3">
        <v>0</v>
      </c>
      <c r="U13" s="3">
        <f>PARTICIPACION('Datos Protegidos'!U13,PARTIDOS!V$5)</f>
        <v>13368</v>
      </c>
      <c r="V13" s="3">
        <v>0</v>
      </c>
      <c r="W13" s="3">
        <f>PARTICIPACION('Datos Protegidos'!W13,PARTIDOS!X$5)</f>
        <v>0</v>
      </c>
      <c r="X13" s="3">
        <v>0</v>
      </c>
      <c r="Y13" s="3">
        <f>PARTICIPACION('Datos Protegidos'!Y13,PARTIDOS!Z$5)</f>
        <v>0</v>
      </c>
      <c r="Z13" s="3">
        <v>0</v>
      </c>
      <c r="AA13" s="3">
        <f>PARTICIPACION('Datos Protegidos'!AA13,PARTIDOS!AB$5)</f>
        <v>0</v>
      </c>
      <c r="AB13" s="3">
        <v>0</v>
      </c>
      <c r="AC13" s="3">
        <f>PARTICIPACION('Datos Protegidos'!AC13,PARTIDOS!AD$5)</f>
        <v>0</v>
      </c>
      <c r="AD13" s="3">
        <v>0</v>
      </c>
      <c r="AE13" s="3">
        <f>PARTICIPACION('Datos Protegidos'!AE13,PARTIDOS!AF$5)</f>
        <v>0</v>
      </c>
      <c r="AF13" s="3">
        <v>0</v>
      </c>
      <c r="AG13" s="3">
        <f>PARTICIPACION('Datos Protegidos'!AG13,PARTIDOS!AH$5)</f>
        <v>0</v>
      </c>
      <c r="AH13" s="3">
        <v>0</v>
      </c>
      <c r="AI13" s="3">
        <f>PARTICIPACION('Datos Protegidos'!AI13,PARTIDOS!AJ$5)</f>
        <v>0</v>
      </c>
      <c r="AJ13" s="3">
        <v>0</v>
      </c>
      <c r="AK13" s="3">
        <f>PARTICIPACION('Datos Protegidos'!AK13,PARTIDOS!AL$5)</f>
        <v>0</v>
      </c>
      <c r="AL13" s="3">
        <v>0</v>
      </c>
      <c r="AM13" s="3">
        <f>PARTICIPACION('Datos Protegidos'!AM13,PARTIDOS!AN$5)</f>
        <v>4389</v>
      </c>
      <c r="AN13" s="3">
        <v>0</v>
      </c>
      <c r="AO13" s="3">
        <f>PARTICIPACION('Datos Protegidos'!AO13,PARTIDOS!AP$5)</f>
        <v>0</v>
      </c>
      <c r="AP13" s="3">
        <v>0</v>
      </c>
      <c r="AQ13" s="3">
        <f>PARTICIPACION('Datos Protegidos'!AQ13,PARTIDOS!AR$5)</f>
        <v>728</v>
      </c>
      <c r="AR13" s="3">
        <v>0</v>
      </c>
      <c r="AS13" s="3">
        <f>PARTICIPACION('Datos Protegidos'!AS13,PARTIDOS!AT$5)</f>
        <v>484</v>
      </c>
      <c r="AT13" s="3">
        <v>0</v>
      </c>
      <c r="AU13" s="3">
        <f>PARTICIPACION('Datos Protegidos'!AU13,PARTIDOS!AV$5)</f>
        <v>0</v>
      </c>
      <c r="AV13" s="3">
        <v>0</v>
      </c>
      <c r="AW13" s="3">
        <f>PARTICIPACION('Datos Protegidos'!AW13,PARTIDOS!AX$5)</f>
        <v>0</v>
      </c>
      <c r="AX13" s="3">
        <v>0</v>
      </c>
      <c r="AY13" s="3">
        <f>PARTICIPACION('Datos Protegidos'!AY13,PARTIDOS!AZ$5)</f>
        <v>0</v>
      </c>
      <c r="AZ13" s="3">
        <v>0</v>
      </c>
      <c r="BA13" s="3">
        <f>PARTICIPACION('Datos Protegidos'!BA13,PARTIDOS!BB$5)</f>
        <v>657</v>
      </c>
      <c r="BB13" s="3">
        <v>0</v>
      </c>
      <c r="BC13" s="3">
        <f>PARTICIPACION('Datos Protegidos'!BC13,PARTIDOS!BD$5)</f>
        <v>885</v>
      </c>
      <c r="BD13" s="3">
        <v>0</v>
      </c>
      <c r="BE13" s="3">
        <f>PARTICIPACION('Datos Protegidos'!BE13,PARTIDOS!BF$5)</f>
        <v>0</v>
      </c>
      <c r="BF13" s="3">
        <v>0</v>
      </c>
      <c r="BG13" s="3">
        <f>PARTICIPACION('Datos Protegidos'!BG13,PARTIDOS!BH$5)</f>
        <v>0</v>
      </c>
      <c r="BH13" s="3">
        <v>0</v>
      </c>
      <c r="BI13" s="3">
        <f>PARTICIPACION('Datos Protegidos'!BI13,PARTIDOS!BJ$5)</f>
        <v>0</v>
      </c>
      <c r="BJ13" s="3">
        <v>0</v>
      </c>
      <c r="BK13" s="3">
        <f>PARTICIPACION('Datos Protegidos'!BK13,PARTIDOS!BL$5)</f>
        <v>0</v>
      </c>
      <c r="BL13" s="3">
        <v>0</v>
      </c>
      <c r="BM13" s="3">
        <f>PARTICIPACION('Datos Protegidos'!BM13,PARTIDOS!BN$5)</f>
        <v>0</v>
      </c>
      <c r="BN13" s="3">
        <v>0</v>
      </c>
      <c r="BO13" s="3">
        <f>PARTICIPACION('Datos Protegidos'!BO13,PARTIDOS!BP$5)</f>
        <v>0</v>
      </c>
      <c r="BP13" s="3">
        <v>0</v>
      </c>
      <c r="BQ13" s="3">
        <f>PARTICIPACION('Datos Protegidos'!BQ13,PARTIDOS!BR$5)</f>
        <v>0</v>
      </c>
      <c r="BR13" s="3">
        <v>0</v>
      </c>
      <c r="BS13" s="3">
        <f>PARTICIPACION('Datos Protegidos'!BS13,PARTIDOS!BT$5)</f>
        <v>0</v>
      </c>
      <c r="BT13" s="3">
        <v>0</v>
      </c>
      <c r="BU13" s="3">
        <f>PARTICIPACION('Datos Protegidos'!BU13,PARTIDOS!BV$5)</f>
        <v>0</v>
      </c>
      <c r="BV13" s="3">
        <v>0</v>
      </c>
      <c r="BW13" s="3">
        <f>PARTICIPACION('Datos Protegidos'!BW13,PARTIDOS!BX$5)</f>
        <v>364</v>
      </c>
      <c r="BX13" s="3">
        <v>0</v>
      </c>
      <c r="BY13" s="3">
        <f>PARTICIPACION('Datos Protegidos'!BY13,PARTIDOS!BZ$5)</f>
        <v>0</v>
      </c>
      <c r="BZ13" s="3">
        <v>0</v>
      </c>
      <c r="CA13" s="3">
        <f>PARTICIPACION('Datos Protegidos'!CA13,PARTIDOS!CB$5)</f>
        <v>0</v>
      </c>
      <c r="CB13" s="3">
        <v>0</v>
      </c>
      <c r="CC13" s="3">
        <f>PARTICIPACION('Datos Protegidos'!CC13,PARTIDOS!CD$5)</f>
        <v>0</v>
      </c>
      <c r="CD13" s="3">
        <v>0</v>
      </c>
      <c r="CE13" s="3">
        <f>PARTICIPACION('Datos Protegidos'!CE13,PARTIDOS!CF$5)</f>
        <v>0</v>
      </c>
      <c r="CF13" s="3">
        <v>0</v>
      </c>
      <c r="CG13" s="3">
        <f>PARTICIPACION('Datos Protegidos'!CG13,PARTIDOS!CH$5)</f>
        <v>0</v>
      </c>
      <c r="CH13" s="3">
        <v>0</v>
      </c>
      <c r="CI13" s="3">
        <f>PARTICIPACION('Datos Protegidos'!CI13,PARTIDOS!CJ$5)</f>
        <v>0</v>
      </c>
      <c r="CJ13" s="3">
        <v>0</v>
      </c>
      <c r="CK13" s="3">
        <f>PARTICIPACION('Datos Protegidos'!CK13,PARTIDOS!CL$5)</f>
        <v>0</v>
      </c>
      <c r="CL13" s="3">
        <v>0</v>
      </c>
      <c r="CM13" s="3">
        <f>PARTICIPACION('Datos Protegidos'!CM13,PARTIDOS!CN$5)</f>
        <v>0</v>
      </c>
      <c r="CN13" s="3">
        <v>0</v>
      </c>
      <c r="CO13" s="3">
        <f>PARTICIPACION('Datos Protegidos'!CO13,PARTIDOS!CP$5)</f>
        <v>0</v>
      </c>
      <c r="CP13" s="3">
        <v>0</v>
      </c>
      <c r="CQ13" s="3">
        <f>PARTICIPACION('Datos Protegidos'!CQ13,PARTIDOS!CR$5)</f>
        <v>0</v>
      </c>
      <c r="CR13" s="3">
        <v>0</v>
      </c>
      <c r="CS13" s="3">
        <f>PARTICIPACION('Datos Protegidos'!CS13,PARTIDOS!CT$5)</f>
        <v>0</v>
      </c>
      <c r="CT13" s="3">
        <v>0</v>
      </c>
      <c r="CU13" s="3">
        <f>PARTICIPACION('Datos Protegidos'!CU13,PARTIDOS!CV$5)</f>
        <v>0</v>
      </c>
      <c r="CV13" s="3">
        <v>0</v>
      </c>
      <c r="CW13" s="3">
        <f>PARTICIPACION('Datos Protegidos'!CW13,PARTIDOS!CX$5)</f>
        <v>0</v>
      </c>
      <c r="CX13" s="3">
        <v>0</v>
      </c>
      <c r="CY13" s="3">
        <f>PARTICIPACION('Datos Protegidos'!CY13,PARTIDOS!CZ$5)</f>
        <v>0</v>
      </c>
      <c r="CZ13" s="3">
        <v>0</v>
      </c>
      <c r="DA13" s="3">
        <f>PARTICIPACION('Datos Protegidos'!DA13,PARTIDOS!DB$5)</f>
        <v>882</v>
      </c>
      <c r="DB13" s="3">
        <v>0</v>
      </c>
      <c r="DC13" s="3">
        <f>PARTICIPACION('Datos Protegidos'!DC13,PARTIDOS!DD$5)</f>
        <v>0</v>
      </c>
      <c r="DD13" s="3">
        <v>0</v>
      </c>
      <c r="DE13" s="3">
        <f>PARTICIPACION('Datos Protegidos'!DE13,PARTIDOS!DF$5)</f>
        <v>0</v>
      </c>
      <c r="DF13" s="3">
        <v>0</v>
      </c>
      <c r="DG13" s="3">
        <f>PARTICIPACION('Datos Protegidos'!DG13,PARTIDOS!DH$5)</f>
        <v>0</v>
      </c>
      <c r="DH13" s="3">
        <v>0</v>
      </c>
      <c r="DI13" s="3">
        <f>PARTICIPACION('Datos Protegidos'!DI13,PARTIDOS!DJ$5)</f>
        <v>0</v>
      </c>
      <c r="DJ13" s="3">
        <v>0</v>
      </c>
      <c r="DK13" s="3">
        <f>PARTICIPACION('Datos Protegidos'!DK13,PARTIDOS!DL$5)</f>
        <v>0</v>
      </c>
      <c r="DL13" s="3">
        <v>0</v>
      </c>
      <c r="DM13" s="3">
        <f>PARTICIPACION('Datos Protegidos'!DM13,PARTIDOS!DN$5)</f>
        <v>0</v>
      </c>
      <c r="DN13" s="3">
        <v>0</v>
      </c>
      <c r="DO13" s="3">
        <f>PARTICIPACION('Datos Protegidos'!DO13,PARTIDOS!DP$5)</f>
        <v>0</v>
      </c>
      <c r="DP13" s="3">
        <v>0</v>
      </c>
      <c r="DQ13" s="3">
        <f>PARTICIPACION('Datos Protegidos'!DQ13,PARTIDOS!DR$5)</f>
        <v>0</v>
      </c>
      <c r="DR13" s="3">
        <v>0</v>
      </c>
      <c r="DS13" s="3">
        <f>PARTICIPACION('Datos Protegidos'!DS13,PARTIDOS!DT$5)</f>
        <v>0</v>
      </c>
      <c r="DT13" s="3">
        <v>0</v>
      </c>
      <c r="DU13" s="3">
        <f>PARTICIPACION('Datos Protegidos'!DU13,PARTIDOS!DV$5)</f>
        <v>0</v>
      </c>
      <c r="DV13" s="3">
        <v>0</v>
      </c>
      <c r="DW13" s="3">
        <f>PARTICIPACION('Datos Protegidos'!DW13,PARTIDOS!DX$5)</f>
        <v>0</v>
      </c>
      <c r="DX13" s="3">
        <v>0</v>
      </c>
      <c r="DY13" s="3">
        <f>PARTICIPACION('Datos Protegidos'!DY13,PARTIDOS!DZ$5)</f>
        <v>0</v>
      </c>
      <c r="DZ13" s="3">
        <v>0</v>
      </c>
      <c r="EA13" s="3">
        <f>PARTICIPACION('Datos Protegidos'!EA13,PARTIDOS!EB$5)</f>
        <v>0</v>
      </c>
      <c r="EB13" s="3">
        <v>0</v>
      </c>
      <c r="EC13" s="3">
        <f>PARTICIPACION('Datos Protegidos'!EC13,PARTIDOS!ED$5)</f>
        <v>0</v>
      </c>
      <c r="ED13" s="3">
        <v>0</v>
      </c>
    </row>
    <row r="14" spans="1:134" x14ac:dyDescent="0.25">
      <c r="A14" s="3">
        <f>PARTICIPACION('Datos Protegidos'!A14,PARTIDOS!B$5)</f>
        <v>121345</v>
      </c>
      <c r="B14" s="3">
        <v>2</v>
      </c>
      <c r="C14" s="3">
        <f>PARTICIPACION('Datos Protegidos'!C14,PARTIDOS!D$5)</f>
        <v>105796</v>
      </c>
      <c r="D14" s="3">
        <v>2</v>
      </c>
      <c r="E14" s="3">
        <f>PARTICIPACION('Datos Protegidos'!E14,PARTIDOS!F$5)</f>
        <v>79070</v>
      </c>
      <c r="F14" s="3">
        <v>2</v>
      </c>
      <c r="G14" s="3">
        <f>PARTICIPACION('Datos Protegidos'!G14,PARTIDOS!H$5)</f>
        <v>86336</v>
      </c>
      <c r="H14" s="3">
        <v>2</v>
      </c>
      <c r="I14" s="3">
        <f>PARTICIPACION('Datos Protegidos'!I14,PARTIDOS!J$5)</f>
        <v>0</v>
      </c>
      <c r="J14" s="3">
        <v>0</v>
      </c>
      <c r="K14" s="3">
        <f>PARTICIPACION('Datos Protegidos'!K14,PARTIDOS!L$5)</f>
        <v>33451</v>
      </c>
      <c r="L14" s="3">
        <v>0</v>
      </c>
      <c r="M14" s="3">
        <f>PARTICIPACION('Datos Protegidos'!M14,PARTIDOS!N$5)</f>
        <v>0</v>
      </c>
      <c r="N14" s="3">
        <v>0</v>
      </c>
      <c r="O14" s="3">
        <f>PARTICIPACION('Datos Protegidos'!O14,PARTIDOS!P$5)</f>
        <v>0</v>
      </c>
      <c r="P14" s="3">
        <v>0</v>
      </c>
      <c r="Q14" s="3">
        <f>PARTICIPACION('Datos Protegidos'!Q14,PARTIDOS!R$5)</f>
        <v>0</v>
      </c>
      <c r="R14" s="3">
        <v>0</v>
      </c>
      <c r="S14" s="3">
        <f>PARTICIPACION('Datos Protegidos'!S14,PARTIDOS!T$5)</f>
        <v>0</v>
      </c>
      <c r="T14" s="3">
        <v>0</v>
      </c>
      <c r="U14" s="3">
        <f>PARTICIPACION('Datos Protegidos'!U14,PARTIDOS!V$5)</f>
        <v>0</v>
      </c>
      <c r="V14" s="3">
        <v>0</v>
      </c>
      <c r="W14" s="3">
        <f>PARTICIPACION('Datos Protegidos'!W14,PARTIDOS!X$5)</f>
        <v>0</v>
      </c>
      <c r="X14" s="3">
        <v>0</v>
      </c>
      <c r="Y14" s="3">
        <f>PARTICIPACION('Datos Protegidos'!Y14,PARTIDOS!Z$5)</f>
        <v>0</v>
      </c>
      <c r="Z14" s="3">
        <v>0</v>
      </c>
      <c r="AA14" s="3">
        <f>PARTICIPACION('Datos Protegidos'!AA14,PARTIDOS!AB$5)</f>
        <v>0</v>
      </c>
      <c r="AB14" s="3">
        <v>0</v>
      </c>
      <c r="AC14" s="3">
        <f>PARTICIPACION('Datos Protegidos'!AC14,PARTIDOS!AD$5)</f>
        <v>0</v>
      </c>
      <c r="AD14" s="3">
        <v>0</v>
      </c>
      <c r="AE14" s="3">
        <f>PARTICIPACION('Datos Protegidos'!AE14,PARTIDOS!AF$5)</f>
        <v>0</v>
      </c>
      <c r="AF14" s="3">
        <v>0</v>
      </c>
      <c r="AG14" s="3">
        <f>PARTICIPACION('Datos Protegidos'!AG14,PARTIDOS!AH$5)</f>
        <v>0</v>
      </c>
      <c r="AH14" s="3">
        <v>0</v>
      </c>
      <c r="AI14" s="3">
        <f>PARTICIPACION('Datos Protegidos'!AI14,PARTIDOS!AJ$5)</f>
        <v>0</v>
      </c>
      <c r="AJ14" s="3">
        <v>0</v>
      </c>
      <c r="AK14" s="3">
        <f>PARTICIPACION('Datos Protegidos'!AK14,PARTIDOS!AL$5)</f>
        <v>0</v>
      </c>
      <c r="AL14" s="3">
        <v>0</v>
      </c>
      <c r="AM14" s="3">
        <f>PARTICIPACION('Datos Protegidos'!AM14,PARTIDOS!AN$5)</f>
        <v>6175</v>
      </c>
      <c r="AN14" s="3">
        <v>0</v>
      </c>
      <c r="AO14" s="3">
        <f>PARTICIPACION('Datos Protegidos'!AO14,PARTIDOS!AP$5)</f>
        <v>11184</v>
      </c>
      <c r="AP14" s="3">
        <v>0</v>
      </c>
      <c r="AQ14" s="3">
        <f>PARTICIPACION('Datos Protegidos'!AQ14,PARTIDOS!AR$5)</f>
        <v>942</v>
      </c>
      <c r="AR14" s="3">
        <v>0</v>
      </c>
      <c r="AS14" s="3">
        <f>PARTICIPACION('Datos Protegidos'!AS14,PARTIDOS!AT$5)</f>
        <v>570</v>
      </c>
      <c r="AT14" s="3">
        <v>0</v>
      </c>
      <c r="AU14" s="3">
        <f>PARTICIPACION('Datos Protegidos'!AU14,PARTIDOS!AV$5)</f>
        <v>0</v>
      </c>
      <c r="AV14" s="3">
        <v>0</v>
      </c>
      <c r="AW14" s="3">
        <f>PARTICIPACION('Datos Protegidos'!AW14,PARTIDOS!AX$5)</f>
        <v>19209</v>
      </c>
      <c r="AX14" s="3">
        <v>0</v>
      </c>
      <c r="AY14" s="3">
        <f>PARTICIPACION('Datos Protegidos'!AY14,PARTIDOS!AZ$5)</f>
        <v>0</v>
      </c>
      <c r="AZ14" s="3">
        <v>0</v>
      </c>
      <c r="BA14" s="3">
        <f>PARTICIPACION('Datos Protegidos'!BA14,PARTIDOS!BB$5)</f>
        <v>0</v>
      </c>
      <c r="BB14" s="3">
        <v>0</v>
      </c>
      <c r="BC14" s="3">
        <f>PARTICIPACION('Datos Protegidos'!BC14,PARTIDOS!BD$5)</f>
        <v>0</v>
      </c>
      <c r="BD14" s="3">
        <v>0</v>
      </c>
      <c r="BE14" s="3">
        <f>PARTICIPACION('Datos Protegidos'!BE14,PARTIDOS!BF$5)</f>
        <v>0</v>
      </c>
      <c r="BF14" s="3">
        <v>0</v>
      </c>
      <c r="BG14" s="3">
        <f>PARTICIPACION('Datos Protegidos'!BG14,PARTIDOS!BH$5)</f>
        <v>0</v>
      </c>
      <c r="BH14" s="3">
        <v>0</v>
      </c>
      <c r="BI14" s="3">
        <f>PARTICIPACION('Datos Protegidos'!BI14,PARTIDOS!BJ$5)</f>
        <v>0</v>
      </c>
      <c r="BJ14" s="3">
        <v>0</v>
      </c>
      <c r="BK14" s="3">
        <f>PARTICIPACION('Datos Protegidos'!BK14,PARTIDOS!BL$5)</f>
        <v>0</v>
      </c>
      <c r="BL14" s="3">
        <v>0</v>
      </c>
      <c r="BM14" s="3">
        <f>PARTICIPACION('Datos Protegidos'!BM14,PARTIDOS!BN$5)</f>
        <v>0</v>
      </c>
      <c r="BN14" s="3">
        <v>0</v>
      </c>
      <c r="BO14" s="3">
        <f>PARTICIPACION('Datos Protegidos'!BO14,PARTIDOS!BP$5)</f>
        <v>0</v>
      </c>
      <c r="BP14" s="3">
        <v>0</v>
      </c>
      <c r="BQ14" s="3">
        <f>PARTICIPACION('Datos Protegidos'!BQ14,PARTIDOS!BR$5)</f>
        <v>0</v>
      </c>
      <c r="BR14" s="3">
        <v>0</v>
      </c>
      <c r="BS14" s="3">
        <f>PARTICIPACION('Datos Protegidos'!BS14,PARTIDOS!BT$5)</f>
        <v>0</v>
      </c>
      <c r="BT14" s="3">
        <v>0</v>
      </c>
      <c r="BU14" s="3">
        <f>PARTICIPACION('Datos Protegidos'!BU14,PARTIDOS!BV$5)</f>
        <v>0</v>
      </c>
      <c r="BV14" s="3">
        <v>0</v>
      </c>
      <c r="BW14" s="3">
        <f>PARTICIPACION('Datos Protegidos'!BW14,PARTIDOS!BX$5)</f>
        <v>0</v>
      </c>
      <c r="BX14" s="3">
        <v>0</v>
      </c>
      <c r="BY14" s="3">
        <f>PARTICIPACION('Datos Protegidos'!BY14,PARTIDOS!BZ$5)</f>
        <v>0</v>
      </c>
      <c r="BZ14" s="3">
        <v>0</v>
      </c>
      <c r="CA14" s="3">
        <f>PARTICIPACION('Datos Protegidos'!CA14,PARTIDOS!CB$5)</f>
        <v>0</v>
      </c>
      <c r="CB14" s="3">
        <v>0</v>
      </c>
      <c r="CC14" s="3">
        <f>PARTICIPACION('Datos Protegidos'!CC14,PARTIDOS!CD$5)</f>
        <v>0</v>
      </c>
      <c r="CD14" s="3">
        <v>0</v>
      </c>
      <c r="CE14" s="3">
        <f>PARTICIPACION('Datos Protegidos'!CE14,PARTIDOS!CF$5)</f>
        <v>0</v>
      </c>
      <c r="CF14" s="3">
        <v>0</v>
      </c>
      <c r="CG14" s="3">
        <f>PARTICIPACION('Datos Protegidos'!CG14,PARTIDOS!CH$5)</f>
        <v>0</v>
      </c>
      <c r="CH14" s="3">
        <v>0</v>
      </c>
      <c r="CI14" s="3">
        <f>PARTICIPACION('Datos Protegidos'!CI14,PARTIDOS!CJ$5)</f>
        <v>0</v>
      </c>
      <c r="CJ14" s="3">
        <v>0</v>
      </c>
      <c r="CK14" s="3">
        <f>PARTICIPACION('Datos Protegidos'!CK14,PARTIDOS!CL$5)</f>
        <v>0</v>
      </c>
      <c r="CL14" s="3">
        <v>0</v>
      </c>
      <c r="CM14" s="3">
        <f>PARTICIPACION('Datos Protegidos'!CM14,PARTIDOS!CN$5)</f>
        <v>0</v>
      </c>
      <c r="CN14" s="3">
        <v>0</v>
      </c>
      <c r="CO14" s="3">
        <f>PARTICIPACION('Datos Protegidos'!CO14,PARTIDOS!CP$5)</f>
        <v>0</v>
      </c>
      <c r="CP14" s="3">
        <v>0</v>
      </c>
      <c r="CQ14" s="3">
        <f>PARTICIPACION('Datos Protegidos'!CQ14,PARTIDOS!CR$5)</f>
        <v>0</v>
      </c>
      <c r="CR14" s="3">
        <v>0</v>
      </c>
      <c r="CS14" s="3">
        <f>PARTICIPACION('Datos Protegidos'!CS14,PARTIDOS!CT$5)</f>
        <v>370</v>
      </c>
      <c r="CT14" s="3">
        <v>0</v>
      </c>
      <c r="CU14" s="3">
        <f>PARTICIPACION('Datos Protegidos'!CU14,PARTIDOS!CV$5)</f>
        <v>0</v>
      </c>
      <c r="CV14" s="3">
        <v>0</v>
      </c>
      <c r="CW14" s="3">
        <f>PARTICIPACION('Datos Protegidos'!CW14,PARTIDOS!CX$5)</f>
        <v>0</v>
      </c>
      <c r="CX14" s="3">
        <v>0</v>
      </c>
      <c r="CY14" s="3">
        <f>PARTICIPACION('Datos Protegidos'!CY14,PARTIDOS!CZ$5)</f>
        <v>0</v>
      </c>
      <c r="CZ14" s="3">
        <v>0</v>
      </c>
      <c r="DA14" s="3">
        <f>PARTICIPACION('Datos Protegidos'!DA14,PARTIDOS!DB$5)</f>
        <v>0</v>
      </c>
      <c r="DB14" s="3">
        <v>0</v>
      </c>
      <c r="DC14" s="3">
        <f>PARTICIPACION('Datos Protegidos'!DC14,PARTIDOS!DD$5)</f>
        <v>0</v>
      </c>
      <c r="DD14" s="3">
        <v>0</v>
      </c>
      <c r="DE14" s="3">
        <f>PARTICIPACION('Datos Protegidos'!DE14,PARTIDOS!DF$5)</f>
        <v>0</v>
      </c>
      <c r="DF14" s="3">
        <v>0</v>
      </c>
      <c r="DG14" s="3">
        <f>PARTICIPACION('Datos Protegidos'!DG14,PARTIDOS!DH$5)</f>
        <v>0</v>
      </c>
      <c r="DH14" s="3">
        <v>0</v>
      </c>
      <c r="DI14" s="3">
        <f>PARTICIPACION('Datos Protegidos'!DI14,PARTIDOS!DJ$5)</f>
        <v>0</v>
      </c>
      <c r="DJ14" s="3">
        <v>0</v>
      </c>
      <c r="DK14" s="3">
        <f>PARTICIPACION('Datos Protegidos'!DK14,PARTIDOS!DL$5)</f>
        <v>0</v>
      </c>
      <c r="DL14" s="3">
        <v>0</v>
      </c>
      <c r="DM14" s="3">
        <f>PARTICIPACION('Datos Protegidos'!DM14,PARTIDOS!DN$5)</f>
        <v>0</v>
      </c>
      <c r="DN14" s="3">
        <v>0</v>
      </c>
      <c r="DO14" s="3">
        <f>PARTICIPACION('Datos Protegidos'!DO14,PARTIDOS!DP$5)</f>
        <v>0</v>
      </c>
      <c r="DP14" s="3">
        <v>0</v>
      </c>
      <c r="DQ14" s="3">
        <f>PARTICIPACION('Datos Protegidos'!DQ14,PARTIDOS!DR$5)</f>
        <v>0</v>
      </c>
      <c r="DR14" s="3">
        <v>0</v>
      </c>
      <c r="DS14" s="3">
        <f>PARTICIPACION('Datos Protegidos'!DS14,PARTIDOS!DT$5)</f>
        <v>0</v>
      </c>
      <c r="DT14" s="3">
        <v>0</v>
      </c>
      <c r="DU14" s="3">
        <f>PARTICIPACION('Datos Protegidos'!DU14,PARTIDOS!DV$5)</f>
        <v>0</v>
      </c>
      <c r="DV14" s="3">
        <v>0</v>
      </c>
      <c r="DW14" s="3">
        <f>PARTICIPACION('Datos Protegidos'!DW14,PARTIDOS!DX$5)</f>
        <v>0</v>
      </c>
      <c r="DX14" s="3">
        <v>0</v>
      </c>
      <c r="DY14" s="3">
        <f>PARTICIPACION('Datos Protegidos'!DY14,PARTIDOS!DZ$5)</f>
        <v>0</v>
      </c>
      <c r="DZ14" s="3">
        <v>0</v>
      </c>
      <c r="EA14" s="3">
        <f>PARTICIPACION('Datos Protegidos'!EA14,PARTIDOS!EB$5)</f>
        <v>0</v>
      </c>
      <c r="EB14" s="3">
        <v>0</v>
      </c>
      <c r="EC14" s="3">
        <f>PARTICIPACION('Datos Protegidos'!EC14,PARTIDOS!ED$5)</f>
        <v>0</v>
      </c>
      <c r="ED14" s="3">
        <v>0</v>
      </c>
    </row>
    <row r="15" spans="1:134" x14ac:dyDescent="0.25">
      <c r="A15" s="3">
        <f>PARTICIPACION('Datos Protegidos'!A15,PARTIDOS!B$5)</f>
        <v>148131</v>
      </c>
      <c r="B15" s="3">
        <v>3</v>
      </c>
      <c r="C15" s="3">
        <f>PARTICIPACION('Datos Protegidos'!C15,PARTIDOS!D$5)</f>
        <v>105442</v>
      </c>
      <c r="D15" s="3">
        <v>2</v>
      </c>
      <c r="E15" s="3">
        <f>PARTICIPACION('Datos Protegidos'!E15,PARTIDOS!F$5)</f>
        <v>65805</v>
      </c>
      <c r="F15" s="3">
        <v>1</v>
      </c>
      <c r="G15" s="3">
        <f>PARTICIPACION('Datos Protegidos'!G15,PARTIDOS!H$5)</f>
        <v>78380</v>
      </c>
      <c r="H15" s="3">
        <v>1</v>
      </c>
      <c r="I15" s="3">
        <f>PARTICIPACION('Datos Protegidos'!I15,PARTIDOS!J$5)</f>
        <v>0</v>
      </c>
      <c r="J15" s="3">
        <v>0</v>
      </c>
      <c r="K15" s="3">
        <f>PARTICIPACION('Datos Protegidos'!K15,PARTIDOS!L$5)</f>
        <v>28018</v>
      </c>
      <c r="L15" s="3">
        <v>0</v>
      </c>
      <c r="M15" s="3">
        <f>PARTICIPACION('Datos Protegidos'!M15,PARTIDOS!N$5)</f>
        <v>0</v>
      </c>
      <c r="N15" s="3">
        <v>0</v>
      </c>
      <c r="O15" s="3">
        <f>PARTICIPACION('Datos Protegidos'!O15,PARTIDOS!P$5)</f>
        <v>0</v>
      </c>
      <c r="P15" s="3">
        <v>0</v>
      </c>
      <c r="Q15" s="3">
        <f>PARTICIPACION('Datos Protegidos'!Q15,PARTIDOS!R$5)</f>
        <v>0</v>
      </c>
      <c r="R15" s="3">
        <v>0</v>
      </c>
      <c r="S15" s="3">
        <f>PARTICIPACION('Datos Protegidos'!S15,PARTIDOS!T$5)</f>
        <v>0</v>
      </c>
      <c r="T15" s="3">
        <v>0</v>
      </c>
      <c r="U15" s="3">
        <f>PARTICIPACION('Datos Protegidos'!U15,PARTIDOS!V$5)</f>
        <v>8808</v>
      </c>
      <c r="V15" s="3">
        <v>0</v>
      </c>
      <c r="W15" s="3">
        <f>PARTICIPACION('Datos Protegidos'!W15,PARTIDOS!X$5)</f>
        <v>0</v>
      </c>
      <c r="X15" s="3">
        <v>0</v>
      </c>
      <c r="Y15" s="3">
        <f>PARTICIPACION('Datos Protegidos'!Y15,PARTIDOS!Z$5)</f>
        <v>0</v>
      </c>
      <c r="Z15" s="3">
        <v>0</v>
      </c>
      <c r="AA15" s="3">
        <f>PARTICIPACION('Datos Protegidos'!AA15,PARTIDOS!AB$5)</f>
        <v>46827</v>
      </c>
      <c r="AB15" s="3">
        <v>1</v>
      </c>
      <c r="AC15" s="3">
        <f>PARTICIPACION('Datos Protegidos'!AC15,PARTIDOS!AD$5)</f>
        <v>0</v>
      </c>
      <c r="AD15" s="3">
        <v>0</v>
      </c>
      <c r="AE15" s="3">
        <f>PARTICIPACION('Datos Protegidos'!AE15,PARTIDOS!AF$5)</f>
        <v>0</v>
      </c>
      <c r="AF15" s="3">
        <v>0</v>
      </c>
      <c r="AG15" s="3">
        <f>PARTICIPACION('Datos Protegidos'!AG15,PARTIDOS!AH$5)</f>
        <v>0</v>
      </c>
      <c r="AH15" s="3">
        <v>0</v>
      </c>
      <c r="AI15" s="3">
        <f>PARTICIPACION('Datos Protegidos'!AI15,PARTIDOS!AJ$5)</f>
        <v>0</v>
      </c>
      <c r="AJ15" s="3">
        <v>0</v>
      </c>
      <c r="AK15" s="3">
        <f>PARTICIPACION('Datos Protegidos'!AK15,PARTIDOS!AL$5)</f>
        <v>0</v>
      </c>
      <c r="AL15" s="3">
        <v>0</v>
      </c>
      <c r="AM15" s="3">
        <f>PARTICIPACION('Datos Protegidos'!AM15,PARTIDOS!AN$5)</f>
        <v>5767</v>
      </c>
      <c r="AN15" s="3">
        <v>0</v>
      </c>
      <c r="AO15" s="3">
        <f>PARTICIPACION('Datos Protegidos'!AO15,PARTIDOS!AP$5)</f>
        <v>0</v>
      </c>
      <c r="AP15" s="3">
        <v>0</v>
      </c>
      <c r="AQ15" s="3">
        <f>PARTICIPACION('Datos Protegidos'!AQ15,PARTIDOS!AR$5)</f>
        <v>502</v>
      </c>
      <c r="AR15" s="3">
        <v>0</v>
      </c>
      <c r="AS15" s="3">
        <f>PARTICIPACION('Datos Protegidos'!AS15,PARTIDOS!AT$5)</f>
        <v>549</v>
      </c>
      <c r="AT15" s="3">
        <v>0</v>
      </c>
      <c r="AU15" s="3">
        <f>PARTICIPACION('Datos Protegidos'!AU15,PARTIDOS!AV$5)</f>
        <v>0</v>
      </c>
      <c r="AV15" s="3">
        <v>0</v>
      </c>
      <c r="AW15" s="3">
        <f>PARTICIPACION('Datos Protegidos'!AW15,PARTIDOS!AX$5)</f>
        <v>0</v>
      </c>
      <c r="AX15" s="3">
        <v>0</v>
      </c>
      <c r="AY15" s="3">
        <f>PARTICIPACION('Datos Protegidos'!AY15,PARTIDOS!AZ$5)</f>
        <v>0</v>
      </c>
      <c r="AZ15" s="3">
        <v>0</v>
      </c>
      <c r="BA15" s="3">
        <f>PARTICIPACION('Datos Protegidos'!BA15,PARTIDOS!BB$5)</f>
        <v>764</v>
      </c>
      <c r="BB15" s="3">
        <v>0</v>
      </c>
      <c r="BC15" s="3">
        <f>PARTICIPACION('Datos Protegidos'!BC15,PARTIDOS!BD$5)</f>
        <v>0</v>
      </c>
      <c r="BD15" s="3">
        <v>0</v>
      </c>
      <c r="BE15" s="3">
        <f>PARTICIPACION('Datos Protegidos'!BE15,PARTIDOS!BF$5)</f>
        <v>0</v>
      </c>
      <c r="BF15" s="3">
        <v>0</v>
      </c>
      <c r="BG15" s="3">
        <f>PARTICIPACION('Datos Protegidos'!BG15,PARTIDOS!BH$5)</f>
        <v>0</v>
      </c>
      <c r="BH15" s="3">
        <v>0</v>
      </c>
      <c r="BI15" s="3">
        <f>PARTICIPACION('Datos Protegidos'!BI15,PARTIDOS!BJ$5)</f>
        <v>0</v>
      </c>
      <c r="BJ15" s="3">
        <v>0</v>
      </c>
      <c r="BK15" s="3">
        <f>PARTICIPACION('Datos Protegidos'!BK15,PARTIDOS!BL$5)</f>
        <v>0</v>
      </c>
      <c r="BL15" s="3">
        <v>0</v>
      </c>
      <c r="BM15" s="3">
        <f>PARTICIPACION('Datos Protegidos'!BM15,PARTIDOS!BN$5)</f>
        <v>0</v>
      </c>
      <c r="BN15" s="3">
        <v>0</v>
      </c>
      <c r="BO15" s="3">
        <f>PARTICIPACION('Datos Protegidos'!BO15,PARTIDOS!BP$5)</f>
        <v>0</v>
      </c>
      <c r="BP15" s="3">
        <v>0</v>
      </c>
      <c r="BQ15" s="3">
        <f>PARTICIPACION('Datos Protegidos'!BQ15,PARTIDOS!BR$5)</f>
        <v>0</v>
      </c>
      <c r="BR15" s="3">
        <v>0</v>
      </c>
      <c r="BS15" s="3">
        <f>PARTICIPACION('Datos Protegidos'!BS15,PARTIDOS!BT$5)</f>
        <v>0</v>
      </c>
      <c r="BT15" s="3">
        <v>0</v>
      </c>
      <c r="BU15" s="3">
        <f>PARTICIPACION('Datos Protegidos'!BU15,PARTIDOS!BV$5)</f>
        <v>1854</v>
      </c>
      <c r="BV15" s="3">
        <v>0</v>
      </c>
      <c r="BW15" s="3">
        <f>PARTICIPACION('Datos Protegidos'!BW15,PARTIDOS!BX$5)</f>
        <v>274</v>
      </c>
      <c r="BX15" s="3">
        <v>0</v>
      </c>
      <c r="BY15" s="3">
        <f>PARTICIPACION('Datos Protegidos'!BY15,PARTIDOS!BZ$5)</f>
        <v>0</v>
      </c>
      <c r="BZ15" s="3">
        <v>0</v>
      </c>
      <c r="CA15" s="3">
        <f>PARTICIPACION('Datos Protegidos'!CA15,PARTIDOS!CB$5)</f>
        <v>0</v>
      </c>
      <c r="CB15" s="3">
        <v>0</v>
      </c>
      <c r="CC15" s="3">
        <f>PARTICIPACION('Datos Protegidos'!CC15,PARTIDOS!CD$5)</f>
        <v>0</v>
      </c>
      <c r="CD15" s="3">
        <v>0</v>
      </c>
      <c r="CE15" s="3">
        <f>PARTICIPACION('Datos Protegidos'!CE15,PARTIDOS!CF$5)</f>
        <v>0</v>
      </c>
      <c r="CF15" s="3">
        <v>0</v>
      </c>
      <c r="CG15" s="3">
        <f>PARTICIPACION('Datos Protegidos'!CG15,PARTIDOS!CH$5)</f>
        <v>1104</v>
      </c>
      <c r="CH15" s="3">
        <v>0</v>
      </c>
      <c r="CI15" s="3">
        <f>PARTICIPACION('Datos Protegidos'!CI15,PARTIDOS!CJ$5)</f>
        <v>358</v>
      </c>
      <c r="CJ15" s="3">
        <v>0</v>
      </c>
      <c r="CK15" s="3">
        <f>PARTICIPACION('Datos Protegidos'!CK15,PARTIDOS!CL$5)</f>
        <v>0</v>
      </c>
      <c r="CL15" s="3">
        <v>0</v>
      </c>
      <c r="CM15" s="3">
        <f>PARTICIPACION('Datos Protegidos'!CM15,PARTIDOS!CN$5)</f>
        <v>0</v>
      </c>
      <c r="CN15" s="3">
        <v>0</v>
      </c>
      <c r="CO15" s="3">
        <f>PARTICIPACION('Datos Protegidos'!CO15,PARTIDOS!CP$5)</f>
        <v>0</v>
      </c>
      <c r="CP15" s="3">
        <v>0</v>
      </c>
      <c r="CQ15" s="3">
        <f>PARTICIPACION('Datos Protegidos'!CQ15,PARTIDOS!CR$5)</f>
        <v>709</v>
      </c>
      <c r="CR15" s="3">
        <v>0</v>
      </c>
      <c r="CS15" s="3">
        <f>PARTICIPACION('Datos Protegidos'!CS15,PARTIDOS!CT$5)</f>
        <v>0</v>
      </c>
      <c r="CT15" s="3">
        <v>0</v>
      </c>
      <c r="CU15" s="3">
        <f>PARTICIPACION('Datos Protegidos'!CU15,PARTIDOS!CV$5)</f>
        <v>0</v>
      </c>
      <c r="CV15" s="3">
        <v>0</v>
      </c>
      <c r="CW15" s="3">
        <f>PARTICIPACION('Datos Protegidos'!CW15,PARTIDOS!CX$5)</f>
        <v>0</v>
      </c>
      <c r="CX15" s="3">
        <v>0</v>
      </c>
      <c r="CY15" s="3">
        <f>PARTICIPACION('Datos Protegidos'!CY15,PARTIDOS!CZ$5)</f>
        <v>0</v>
      </c>
      <c r="CZ15" s="3">
        <v>0</v>
      </c>
      <c r="DA15" s="3">
        <f>PARTICIPACION('Datos Protegidos'!DA15,PARTIDOS!DB$5)</f>
        <v>0</v>
      </c>
      <c r="DB15" s="3">
        <v>0</v>
      </c>
      <c r="DC15" s="3">
        <f>PARTICIPACION('Datos Protegidos'!DC15,PARTIDOS!DD$5)</f>
        <v>0</v>
      </c>
      <c r="DD15" s="3">
        <v>0</v>
      </c>
      <c r="DE15" s="3">
        <f>PARTICIPACION('Datos Protegidos'!DE15,PARTIDOS!DF$5)</f>
        <v>0</v>
      </c>
      <c r="DF15" s="3">
        <v>0</v>
      </c>
      <c r="DG15" s="3">
        <f>PARTICIPACION('Datos Protegidos'!DG15,PARTIDOS!DH$5)</f>
        <v>0</v>
      </c>
      <c r="DH15" s="3">
        <v>0</v>
      </c>
      <c r="DI15" s="3">
        <f>PARTICIPACION('Datos Protegidos'!DI15,PARTIDOS!DJ$5)</f>
        <v>0</v>
      </c>
      <c r="DJ15" s="3">
        <v>0</v>
      </c>
      <c r="DK15" s="3">
        <f>PARTICIPACION('Datos Protegidos'!DK15,PARTIDOS!DL$5)</f>
        <v>0</v>
      </c>
      <c r="DL15" s="3">
        <v>0</v>
      </c>
      <c r="DM15" s="3">
        <f>PARTICIPACION('Datos Protegidos'!DM15,PARTIDOS!DN$5)</f>
        <v>0</v>
      </c>
      <c r="DN15" s="3">
        <v>0</v>
      </c>
      <c r="DO15" s="3">
        <f>PARTICIPACION('Datos Protegidos'!DO15,PARTIDOS!DP$5)</f>
        <v>0</v>
      </c>
      <c r="DP15" s="3">
        <v>0</v>
      </c>
      <c r="DQ15" s="3">
        <f>PARTICIPACION('Datos Protegidos'!DQ15,PARTIDOS!DR$5)</f>
        <v>0</v>
      </c>
      <c r="DR15" s="3">
        <v>0</v>
      </c>
      <c r="DS15" s="3">
        <f>PARTICIPACION('Datos Protegidos'!DS15,PARTIDOS!DT$5)</f>
        <v>0</v>
      </c>
      <c r="DT15" s="3">
        <v>0</v>
      </c>
      <c r="DU15" s="3">
        <f>PARTICIPACION('Datos Protegidos'!DU15,PARTIDOS!DV$5)</f>
        <v>0</v>
      </c>
      <c r="DV15" s="3">
        <v>0</v>
      </c>
      <c r="DW15" s="3">
        <f>PARTICIPACION('Datos Protegidos'!DW15,PARTIDOS!DX$5)</f>
        <v>0</v>
      </c>
      <c r="DX15" s="3">
        <v>0</v>
      </c>
      <c r="DY15" s="3">
        <f>PARTICIPACION('Datos Protegidos'!DY15,PARTIDOS!DZ$5)</f>
        <v>0</v>
      </c>
      <c r="DZ15" s="3">
        <v>0</v>
      </c>
      <c r="EA15" s="3">
        <f>PARTICIPACION('Datos Protegidos'!EA15,PARTIDOS!EB$5)</f>
        <v>0</v>
      </c>
      <c r="EB15" s="3">
        <v>0</v>
      </c>
      <c r="EC15" s="3">
        <f>PARTICIPACION('Datos Protegidos'!EC15,PARTIDOS!ED$5)</f>
        <v>0</v>
      </c>
      <c r="ED15" s="3">
        <v>0</v>
      </c>
    </row>
    <row r="16" spans="1:134" x14ac:dyDescent="0.25">
      <c r="A16" s="3">
        <f>PARTICIPACION('Datos Protegidos'!A16,PARTIDOS!B$5)</f>
        <v>139143</v>
      </c>
      <c r="B16" s="3">
        <v>2</v>
      </c>
      <c r="C16" s="3">
        <f>PARTICIPACION('Datos Protegidos'!C16,PARTIDOS!D$5)</f>
        <v>95302</v>
      </c>
      <c r="D16" s="3">
        <v>2</v>
      </c>
      <c r="E16" s="3">
        <f>PARTICIPACION('Datos Protegidos'!E16,PARTIDOS!F$5)</f>
        <v>54560</v>
      </c>
      <c r="F16" s="3">
        <v>1</v>
      </c>
      <c r="G16" s="3">
        <f>PARTICIPACION('Datos Protegidos'!G16,PARTIDOS!H$5)</f>
        <v>67843</v>
      </c>
      <c r="H16" s="3">
        <v>1</v>
      </c>
      <c r="I16" s="3">
        <f>PARTICIPACION('Datos Protegidos'!I16,PARTIDOS!J$5)</f>
        <v>0</v>
      </c>
      <c r="J16" s="3">
        <v>0</v>
      </c>
      <c r="K16" s="3">
        <f>PARTICIPACION('Datos Protegidos'!K16,PARTIDOS!L$5)</f>
        <v>22979</v>
      </c>
      <c r="L16" s="3">
        <v>0</v>
      </c>
      <c r="M16" s="3">
        <f>PARTICIPACION('Datos Protegidos'!M16,PARTIDOS!N$5)</f>
        <v>0</v>
      </c>
      <c r="N16" s="3">
        <v>0</v>
      </c>
      <c r="O16" s="3">
        <f>PARTICIPACION('Datos Protegidos'!O16,PARTIDOS!P$5)</f>
        <v>0</v>
      </c>
      <c r="P16" s="3">
        <v>0</v>
      </c>
      <c r="Q16" s="3">
        <f>PARTICIPACION('Datos Protegidos'!Q16,PARTIDOS!R$5)</f>
        <v>0</v>
      </c>
      <c r="R16" s="3">
        <v>0</v>
      </c>
      <c r="S16" s="3">
        <f>PARTICIPACION('Datos Protegidos'!S16,PARTIDOS!T$5)</f>
        <v>0</v>
      </c>
      <c r="T16" s="3">
        <v>0</v>
      </c>
      <c r="U16" s="3">
        <f>PARTICIPACION('Datos Protegidos'!U16,PARTIDOS!V$5)</f>
        <v>6912</v>
      </c>
      <c r="V16" s="3">
        <v>0</v>
      </c>
      <c r="W16" s="3">
        <f>PARTICIPACION('Datos Protegidos'!W16,PARTIDOS!X$5)</f>
        <v>0</v>
      </c>
      <c r="X16" s="3">
        <v>0</v>
      </c>
      <c r="Y16" s="3">
        <f>PARTICIPACION('Datos Protegidos'!Y16,PARTIDOS!Z$5)</f>
        <v>0</v>
      </c>
      <c r="Z16" s="3">
        <v>0</v>
      </c>
      <c r="AA16" s="3">
        <f>PARTICIPACION('Datos Protegidos'!AA16,PARTIDOS!AB$5)</f>
        <v>74354</v>
      </c>
      <c r="AB16" s="3">
        <v>1</v>
      </c>
      <c r="AC16" s="3">
        <f>PARTICIPACION('Datos Protegidos'!AC16,PARTIDOS!AD$5)</f>
        <v>0</v>
      </c>
      <c r="AD16" s="3">
        <v>0</v>
      </c>
      <c r="AE16" s="3">
        <f>PARTICIPACION('Datos Protegidos'!AE16,PARTIDOS!AF$5)</f>
        <v>0</v>
      </c>
      <c r="AF16" s="3">
        <v>0</v>
      </c>
      <c r="AG16" s="3">
        <f>PARTICIPACION('Datos Protegidos'!AG16,PARTIDOS!AH$5)</f>
        <v>0</v>
      </c>
      <c r="AH16" s="3">
        <v>0</v>
      </c>
      <c r="AI16" s="3">
        <f>PARTICIPACION('Datos Protegidos'!AI16,PARTIDOS!AJ$5)</f>
        <v>0</v>
      </c>
      <c r="AJ16" s="3">
        <v>0</v>
      </c>
      <c r="AK16" s="3">
        <f>PARTICIPACION('Datos Protegidos'!AK16,PARTIDOS!AL$5)</f>
        <v>0</v>
      </c>
      <c r="AL16" s="3">
        <v>0</v>
      </c>
      <c r="AM16" s="3">
        <f>PARTICIPACION('Datos Protegidos'!AM16,PARTIDOS!AN$5)</f>
        <v>6119</v>
      </c>
      <c r="AN16" s="3">
        <v>0</v>
      </c>
      <c r="AO16" s="3">
        <f>PARTICIPACION('Datos Protegidos'!AO16,PARTIDOS!AP$5)</f>
        <v>0</v>
      </c>
      <c r="AP16" s="3">
        <v>0</v>
      </c>
      <c r="AQ16" s="3">
        <f>PARTICIPACION('Datos Protegidos'!AQ16,PARTIDOS!AR$5)</f>
        <v>486</v>
      </c>
      <c r="AR16" s="3">
        <v>0</v>
      </c>
      <c r="AS16" s="3">
        <f>PARTICIPACION('Datos Protegidos'!AS16,PARTIDOS!AT$5)</f>
        <v>317</v>
      </c>
      <c r="AT16" s="3">
        <v>0</v>
      </c>
      <c r="AU16" s="3">
        <f>PARTICIPACION('Datos Protegidos'!AU16,PARTIDOS!AV$5)</f>
        <v>0</v>
      </c>
      <c r="AV16" s="3">
        <v>0</v>
      </c>
      <c r="AW16" s="3">
        <f>PARTICIPACION('Datos Protegidos'!AW16,PARTIDOS!AX$5)</f>
        <v>0</v>
      </c>
      <c r="AX16" s="3">
        <v>0</v>
      </c>
      <c r="AY16" s="3">
        <f>PARTICIPACION('Datos Protegidos'!AY16,PARTIDOS!AZ$5)</f>
        <v>0</v>
      </c>
      <c r="AZ16" s="3">
        <v>0</v>
      </c>
      <c r="BA16" s="3">
        <f>PARTICIPACION('Datos Protegidos'!BA16,PARTIDOS!BB$5)</f>
        <v>487</v>
      </c>
      <c r="BB16" s="3">
        <v>0</v>
      </c>
      <c r="BC16" s="3">
        <f>PARTICIPACION('Datos Protegidos'!BC16,PARTIDOS!BD$5)</f>
        <v>0</v>
      </c>
      <c r="BD16" s="3">
        <v>0</v>
      </c>
      <c r="BE16" s="3">
        <f>PARTICIPACION('Datos Protegidos'!BE16,PARTIDOS!BF$5)</f>
        <v>0</v>
      </c>
      <c r="BF16" s="3">
        <v>0</v>
      </c>
      <c r="BG16" s="3">
        <f>PARTICIPACION('Datos Protegidos'!BG16,PARTIDOS!BH$5)</f>
        <v>0</v>
      </c>
      <c r="BH16" s="3">
        <v>0</v>
      </c>
      <c r="BI16" s="3">
        <f>PARTICIPACION('Datos Protegidos'!BI16,PARTIDOS!BJ$5)</f>
        <v>0</v>
      </c>
      <c r="BJ16" s="3">
        <v>0</v>
      </c>
      <c r="BK16" s="3">
        <f>PARTICIPACION('Datos Protegidos'!BK16,PARTIDOS!BL$5)</f>
        <v>0</v>
      </c>
      <c r="BL16" s="3">
        <v>0</v>
      </c>
      <c r="BM16" s="3">
        <f>PARTICIPACION('Datos Protegidos'!BM16,PARTIDOS!BN$5)</f>
        <v>415</v>
      </c>
      <c r="BN16" s="3">
        <v>0</v>
      </c>
      <c r="BO16" s="3">
        <f>PARTICIPACION('Datos Protegidos'!BO16,PARTIDOS!BP$5)</f>
        <v>0</v>
      </c>
      <c r="BP16" s="3">
        <v>0</v>
      </c>
      <c r="BQ16" s="3">
        <f>PARTICIPACION('Datos Protegidos'!BQ16,PARTIDOS!BR$5)</f>
        <v>0</v>
      </c>
      <c r="BR16" s="3">
        <v>0</v>
      </c>
      <c r="BS16" s="3">
        <f>PARTICIPACION('Datos Protegidos'!BS16,PARTIDOS!BT$5)</f>
        <v>0</v>
      </c>
      <c r="BT16" s="3">
        <v>0</v>
      </c>
      <c r="BU16" s="3">
        <f>PARTICIPACION('Datos Protegidos'!BU16,PARTIDOS!BV$5)</f>
        <v>1315</v>
      </c>
      <c r="BV16" s="3">
        <v>0</v>
      </c>
      <c r="BW16" s="3">
        <f>PARTICIPACION('Datos Protegidos'!BW16,PARTIDOS!BX$5)</f>
        <v>0</v>
      </c>
      <c r="BX16" s="3">
        <v>0</v>
      </c>
      <c r="BY16" s="3">
        <f>PARTICIPACION('Datos Protegidos'!BY16,PARTIDOS!BZ$5)</f>
        <v>0</v>
      </c>
      <c r="BZ16" s="3">
        <v>0</v>
      </c>
      <c r="CA16" s="3">
        <f>PARTICIPACION('Datos Protegidos'!CA16,PARTIDOS!CB$5)</f>
        <v>0</v>
      </c>
      <c r="CB16" s="3">
        <v>0</v>
      </c>
      <c r="CC16" s="3">
        <f>PARTICIPACION('Datos Protegidos'!CC16,PARTIDOS!CD$5)</f>
        <v>0</v>
      </c>
      <c r="CD16" s="3">
        <v>0</v>
      </c>
      <c r="CE16" s="3">
        <f>PARTICIPACION('Datos Protegidos'!CE16,PARTIDOS!CF$5)</f>
        <v>0</v>
      </c>
      <c r="CF16" s="3">
        <v>0</v>
      </c>
      <c r="CG16" s="3">
        <f>PARTICIPACION('Datos Protegidos'!CG16,PARTIDOS!CH$5)</f>
        <v>917</v>
      </c>
      <c r="CH16" s="3">
        <v>0</v>
      </c>
      <c r="CI16" s="3">
        <f>PARTICIPACION('Datos Protegidos'!CI16,PARTIDOS!CJ$5)</f>
        <v>236</v>
      </c>
      <c r="CJ16" s="3">
        <v>0</v>
      </c>
      <c r="CK16" s="3">
        <f>PARTICIPACION('Datos Protegidos'!CK16,PARTIDOS!CL$5)</f>
        <v>0</v>
      </c>
      <c r="CL16" s="3">
        <v>0</v>
      </c>
      <c r="CM16" s="3">
        <f>PARTICIPACION('Datos Protegidos'!CM16,PARTIDOS!CN$5)</f>
        <v>0</v>
      </c>
      <c r="CN16" s="3">
        <v>0</v>
      </c>
      <c r="CO16" s="3">
        <f>PARTICIPACION('Datos Protegidos'!CO16,PARTIDOS!CP$5)</f>
        <v>0</v>
      </c>
      <c r="CP16" s="3">
        <v>0</v>
      </c>
      <c r="CQ16" s="3">
        <f>PARTICIPACION('Datos Protegidos'!CQ16,PARTIDOS!CR$5)</f>
        <v>0</v>
      </c>
      <c r="CR16" s="3">
        <v>0</v>
      </c>
      <c r="CS16" s="3">
        <f>PARTICIPACION('Datos Protegidos'!CS16,PARTIDOS!CT$5)</f>
        <v>0</v>
      </c>
      <c r="CT16" s="3">
        <v>0</v>
      </c>
      <c r="CU16" s="3">
        <f>PARTICIPACION('Datos Protegidos'!CU16,PARTIDOS!CV$5)</f>
        <v>0</v>
      </c>
      <c r="CV16" s="3">
        <v>0</v>
      </c>
      <c r="CW16" s="3">
        <f>PARTICIPACION('Datos Protegidos'!CW16,PARTIDOS!CX$5)</f>
        <v>0</v>
      </c>
      <c r="CX16" s="3">
        <v>0</v>
      </c>
      <c r="CY16" s="3">
        <f>PARTICIPACION('Datos Protegidos'!CY16,PARTIDOS!CZ$5)</f>
        <v>0</v>
      </c>
      <c r="CZ16" s="3">
        <v>0</v>
      </c>
      <c r="DA16" s="3">
        <f>PARTICIPACION('Datos Protegidos'!DA16,PARTIDOS!DB$5)</f>
        <v>0</v>
      </c>
      <c r="DB16" s="3">
        <v>0</v>
      </c>
      <c r="DC16" s="3">
        <f>PARTICIPACION('Datos Protegidos'!DC16,PARTIDOS!DD$5)</f>
        <v>0</v>
      </c>
      <c r="DD16" s="3">
        <v>0</v>
      </c>
      <c r="DE16" s="3">
        <f>PARTICIPACION('Datos Protegidos'!DE16,PARTIDOS!DF$5)</f>
        <v>0</v>
      </c>
      <c r="DF16" s="3">
        <v>0</v>
      </c>
      <c r="DG16" s="3">
        <f>PARTICIPACION('Datos Protegidos'!DG16,PARTIDOS!DH$5)</f>
        <v>0</v>
      </c>
      <c r="DH16" s="3">
        <v>0</v>
      </c>
      <c r="DI16" s="3">
        <f>PARTICIPACION('Datos Protegidos'!DI16,PARTIDOS!DJ$5)</f>
        <v>0</v>
      </c>
      <c r="DJ16" s="3">
        <v>0</v>
      </c>
      <c r="DK16" s="3">
        <f>PARTICIPACION('Datos Protegidos'!DK16,PARTIDOS!DL$5)</f>
        <v>0</v>
      </c>
      <c r="DL16" s="3">
        <v>0</v>
      </c>
      <c r="DM16" s="3">
        <f>PARTICIPACION('Datos Protegidos'!DM16,PARTIDOS!DN$5)</f>
        <v>0</v>
      </c>
      <c r="DN16" s="3">
        <v>0</v>
      </c>
      <c r="DO16" s="3">
        <f>PARTICIPACION('Datos Protegidos'!DO16,PARTIDOS!DP$5)</f>
        <v>0</v>
      </c>
      <c r="DP16" s="3">
        <v>0</v>
      </c>
      <c r="DQ16" s="3">
        <f>PARTICIPACION('Datos Protegidos'!DQ16,PARTIDOS!DR$5)</f>
        <v>0</v>
      </c>
      <c r="DR16" s="3">
        <v>0</v>
      </c>
      <c r="DS16" s="3">
        <f>PARTICIPACION('Datos Protegidos'!DS16,PARTIDOS!DT$5)</f>
        <v>0</v>
      </c>
      <c r="DT16" s="3">
        <v>0</v>
      </c>
      <c r="DU16" s="3">
        <f>PARTICIPACION('Datos Protegidos'!DU16,PARTIDOS!DV$5)</f>
        <v>0</v>
      </c>
      <c r="DV16" s="3">
        <v>0</v>
      </c>
      <c r="DW16" s="3">
        <f>PARTICIPACION('Datos Protegidos'!DW16,PARTIDOS!DX$5)</f>
        <v>0</v>
      </c>
      <c r="DX16" s="3">
        <v>0</v>
      </c>
      <c r="DY16" s="3">
        <f>PARTICIPACION('Datos Protegidos'!DY16,PARTIDOS!DZ$5)</f>
        <v>0</v>
      </c>
      <c r="DZ16" s="3">
        <v>0</v>
      </c>
      <c r="EA16" s="3">
        <f>PARTICIPACION('Datos Protegidos'!EA16,PARTIDOS!EB$5)</f>
        <v>0</v>
      </c>
      <c r="EB16" s="3">
        <v>0</v>
      </c>
      <c r="EC16" s="3">
        <f>PARTICIPACION('Datos Protegidos'!EC16,PARTIDOS!ED$5)</f>
        <v>0</v>
      </c>
      <c r="ED16" s="3">
        <v>0</v>
      </c>
    </row>
    <row r="17" spans="1:134" x14ac:dyDescent="0.25">
      <c r="A17" s="3">
        <f>PARTICIPACION('Datos Protegidos'!A17,PARTIDOS!B$5)</f>
        <v>79829</v>
      </c>
      <c r="B17" s="3">
        <v>1</v>
      </c>
      <c r="C17" s="3">
        <f>PARTICIPACION('Datos Protegidos'!C17,PARTIDOS!D$5)</f>
        <v>86274</v>
      </c>
      <c r="D17" s="3">
        <v>2</v>
      </c>
      <c r="E17" s="3">
        <f>PARTICIPACION('Datos Protegidos'!E17,PARTIDOS!F$5)</f>
        <v>49803</v>
      </c>
      <c r="F17" s="3">
        <v>1</v>
      </c>
      <c r="G17" s="3">
        <f>PARTICIPACION('Datos Protegidos'!G17,PARTIDOS!H$5)</f>
        <v>29794</v>
      </c>
      <c r="H17" s="3">
        <v>0</v>
      </c>
      <c r="I17" s="3">
        <f>PARTICIPACION('Datos Protegidos'!I17,PARTIDOS!J$5)</f>
        <v>0</v>
      </c>
      <c r="J17" s="3">
        <v>0</v>
      </c>
      <c r="K17" s="3">
        <f>PARTICIPACION('Datos Protegidos'!K17,PARTIDOS!L$5)</f>
        <v>15609</v>
      </c>
      <c r="L17" s="3">
        <v>0</v>
      </c>
      <c r="M17" s="3">
        <f>PARTICIPACION('Datos Protegidos'!M17,PARTIDOS!N$5)</f>
        <v>0</v>
      </c>
      <c r="N17" s="3">
        <v>0</v>
      </c>
      <c r="O17" s="3">
        <f>PARTICIPACION('Datos Protegidos'!O17,PARTIDOS!P$5)</f>
        <v>0</v>
      </c>
      <c r="P17" s="3">
        <v>0</v>
      </c>
      <c r="Q17" s="3">
        <f>PARTICIPACION('Datos Protegidos'!Q17,PARTIDOS!R$5)</f>
        <v>0</v>
      </c>
      <c r="R17" s="3">
        <v>0</v>
      </c>
      <c r="S17" s="3">
        <f>PARTICIPACION('Datos Protegidos'!S17,PARTIDOS!T$5)</f>
        <v>0</v>
      </c>
      <c r="T17" s="3">
        <v>0</v>
      </c>
      <c r="U17" s="3">
        <f>PARTICIPACION('Datos Protegidos'!U17,PARTIDOS!V$5)</f>
        <v>0</v>
      </c>
      <c r="V17" s="3">
        <v>0</v>
      </c>
      <c r="W17" s="3">
        <f>PARTICIPACION('Datos Protegidos'!W17,PARTIDOS!X$5)</f>
        <v>0</v>
      </c>
      <c r="X17" s="3">
        <v>0</v>
      </c>
      <c r="Y17" s="3">
        <f>PARTICIPACION('Datos Protegidos'!Y17,PARTIDOS!Z$5)</f>
        <v>0</v>
      </c>
      <c r="Z17" s="3">
        <v>0</v>
      </c>
      <c r="AA17" s="3">
        <f>PARTICIPACION('Datos Protegidos'!AA17,PARTIDOS!AB$5)</f>
        <v>0</v>
      </c>
      <c r="AB17" s="3">
        <v>0</v>
      </c>
      <c r="AC17" s="3">
        <f>PARTICIPACION('Datos Protegidos'!AC17,PARTIDOS!AD$5)</f>
        <v>0</v>
      </c>
      <c r="AD17" s="3">
        <v>0</v>
      </c>
      <c r="AE17" s="3">
        <f>PARTICIPACION('Datos Protegidos'!AE17,PARTIDOS!AF$5)</f>
        <v>0</v>
      </c>
      <c r="AF17" s="3">
        <v>0</v>
      </c>
      <c r="AG17" s="3">
        <f>PARTICIPACION('Datos Protegidos'!AG17,PARTIDOS!AH$5)</f>
        <v>0</v>
      </c>
      <c r="AH17" s="3">
        <v>0</v>
      </c>
      <c r="AI17" s="3">
        <f>PARTICIPACION('Datos Protegidos'!AI17,PARTIDOS!AJ$5)</f>
        <v>68485</v>
      </c>
      <c r="AJ17" s="3">
        <v>1</v>
      </c>
      <c r="AK17" s="3">
        <f>PARTICIPACION('Datos Protegidos'!AK17,PARTIDOS!AL$5)</f>
        <v>0</v>
      </c>
      <c r="AL17" s="3">
        <v>0</v>
      </c>
      <c r="AM17" s="3">
        <f>PARTICIPACION('Datos Protegidos'!AM17,PARTIDOS!AN$5)</f>
        <v>1846</v>
      </c>
      <c r="AN17" s="3">
        <v>0</v>
      </c>
      <c r="AO17" s="3">
        <f>PARTICIPACION('Datos Protegidos'!AO17,PARTIDOS!AP$5)</f>
        <v>0</v>
      </c>
      <c r="AP17" s="3">
        <v>0</v>
      </c>
      <c r="AQ17" s="3">
        <f>PARTICIPACION('Datos Protegidos'!AQ17,PARTIDOS!AR$5)</f>
        <v>230</v>
      </c>
      <c r="AR17" s="3">
        <v>0</v>
      </c>
      <c r="AS17" s="3">
        <f>PARTICIPACION('Datos Protegidos'!AS17,PARTIDOS!AT$5)</f>
        <v>186</v>
      </c>
      <c r="AT17" s="3">
        <v>0</v>
      </c>
      <c r="AU17" s="3">
        <f>PARTICIPACION('Datos Protegidos'!AU17,PARTIDOS!AV$5)</f>
        <v>0</v>
      </c>
      <c r="AV17" s="3">
        <v>0</v>
      </c>
      <c r="AW17" s="3">
        <f>PARTICIPACION('Datos Protegidos'!AW17,PARTIDOS!AX$5)</f>
        <v>0</v>
      </c>
      <c r="AX17" s="3">
        <v>0</v>
      </c>
      <c r="AY17" s="3">
        <f>PARTICIPACION('Datos Protegidos'!AY17,PARTIDOS!AZ$5)</f>
        <v>0</v>
      </c>
      <c r="AZ17" s="3">
        <v>0</v>
      </c>
      <c r="BA17" s="3">
        <f>PARTICIPACION('Datos Protegidos'!BA17,PARTIDOS!BB$5)</f>
        <v>275</v>
      </c>
      <c r="BB17" s="3">
        <v>0</v>
      </c>
      <c r="BC17" s="3">
        <f>PARTICIPACION('Datos Protegidos'!BC17,PARTIDOS!BD$5)</f>
        <v>259</v>
      </c>
      <c r="BD17" s="3">
        <v>0</v>
      </c>
      <c r="BE17" s="3">
        <f>PARTICIPACION('Datos Protegidos'!BE17,PARTIDOS!BF$5)</f>
        <v>0</v>
      </c>
      <c r="BF17" s="3">
        <v>0</v>
      </c>
      <c r="BG17" s="3">
        <f>PARTICIPACION('Datos Protegidos'!BG17,PARTIDOS!BH$5)</f>
        <v>0</v>
      </c>
      <c r="BH17" s="3">
        <v>0</v>
      </c>
      <c r="BI17" s="3">
        <f>PARTICIPACION('Datos Protegidos'!BI17,PARTIDOS!BJ$5)</f>
        <v>0</v>
      </c>
      <c r="BJ17" s="3">
        <v>0</v>
      </c>
      <c r="BK17" s="3">
        <f>PARTICIPACION('Datos Protegidos'!BK17,PARTIDOS!BL$5)</f>
        <v>0</v>
      </c>
      <c r="BL17" s="3">
        <v>0</v>
      </c>
      <c r="BM17" s="3">
        <f>PARTICIPACION('Datos Protegidos'!BM17,PARTIDOS!BN$5)</f>
        <v>257</v>
      </c>
      <c r="BN17" s="3">
        <v>0</v>
      </c>
      <c r="BO17" s="3">
        <f>PARTICIPACION('Datos Protegidos'!BO17,PARTIDOS!BP$5)</f>
        <v>0</v>
      </c>
      <c r="BP17" s="3">
        <v>0</v>
      </c>
      <c r="BQ17" s="3">
        <f>PARTICIPACION('Datos Protegidos'!BQ17,PARTIDOS!BR$5)</f>
        <v>0</v>
      </c>
      <c r="BR17" s="3">
        <v>0</v>
      </c>
      <c r="BS17" s="3">
        <f>PARTICIPACION('Datos Protegidos'!BS17,PARTIDOS!BT$5)</f>
        <v>0</v>
      </c>
      <c r="BT17" s="3">
        <v>0</v>
      </c>
      <c r="BU17" s="3">
        <f>PARTICIPACION('Datos Protegidos'!BU17,PARTIDOS!BV$5)</f>
        <v>0</v>
      </c>
      <c r="BV17" s="3">
        <v>0</v>
      </c>
      <c r="BW17" s="3">
        <f>PARTICIPACION('Datos Protegidos'!BW17,PARTIDOS!BX$5)</f>
        <v>0</v>
      </c>
      <c r="BX17" s="3">
        <v>0</v>
      </c>
      <c r="BY17" s="3">
        <f>PARTICIPACION('Datos Protegidos'!BY17,PARTIDOS!BZ$5)</f>
        <v>0</v>
      </c>
      <c r="BZ17" s="3">
        <v>0</v>
      </c>
      <c r="CA17" s="3">
        <f>PARTICIPACION('Datos Protegidos'!CA17,PARTIDOS!CB$5)</f>
        <v>0</v>
      </c>
      <c r="CB17" s="3">
        <v>0</v>
      </c>
      <c r="CC17" s="3">
        <f>PARTICIPACION('Datos Protegidos'!CC17,PARTIDOS!CD$5)</f>
        <v>0</v>
      </c>
      <c r="CD17" s="3">
        <v>0</v>
      </c>
      <c r="CE17" s="3">
        <f>PARTICIPACION('Datos Protegidos'!CE17,PARTIDOS!CF$5)</f>
        <v>0</v>
      </c>
      <c r="CF17" s="3">
        <v>0</v>
      </c>
      <c r="CG17" s="3">
        <f>PARTICIPACION('Datos Protegidos'!CG17,PARTIDOS!CH$5)</f>
        <v>0</v>
      </c>
      <c r="CH17" s="3">
        <v>0</v>
      </c>
      <c r="CI17" s="3">
        <f>PARTICIPACION('Datos Protegidos'!CI17,PARTIDOS!CJ$5)</f>
        <v>0</v>
      </c>
      <c r="CJ17" s="3">
        <v>0</v>
      </c>
      <c r="CK17" s="3">
        <f>PARTICIPACION('Datos Protegidos'!CK17,PARTIDOS!CL$5)</f>
        <v>0</v>
      </c>
      <c r="CL17" s="3">
        <v>0</v>
      </c>
      <c r="CM17" s="3">
        <f>PARTICIPACION('Datos Protegidos'!CM17,PARTIDOS!CN$5)</f>
        <v>0</v>
      </c>
      <c r="CN17" s="3">
        <v>0</v>
      </c>
      <c r="CO17" s="3">
        <f>PARTICIPACION('Datos Protegidos'!CO17,PARTIDOS!CP$5)</f>
        <v>0</v>
      </c>
      <c r="CP17" s="3">
        <v>0</v>
      </c>
      <c r="CQ17" s="3">
        <f>PARTICIPACION('Datos Protegidos'!CQ17,PARTIDOS!CR$5)</f>
        <v>0</v>
      </c>
      <c r="CR17" s="3">
        <v>0</v>
      </c>
      <c r="CS17" s="3">
        <f>PARTICIPACION('Datos Protegidos'!CS17,PARTIDOS!CT$5)</f>
        <v>125</v>
      </c>
      <c r="CT17" s="3">
        <v>0</v>
      </c>
      <c r="CU17" s="3">
        <f>PARTICIPACION('Datos Protegidos'!CU17,PARTIDOS!CV$5)</f>
        <v>0</v>
      </c>
      <c r="CV17" s="3">
        <v>0</v>
      </c>
      <c r="CW17" s="3">
        <f>PARTICIPACION('Datos Protegidos'!CW17,PARTIDOS!CX$5)</f>
        <v>0</v>
      </c>
      <c r="CX17" s="3">
        <v>0</v>
      </c>
      <c r="CY17" s="3">
        <f>PARTICIPACION('Datos Protegidos'!CY17,PARTIDOS!CZ$5)</f>
        <v>0</v>
      </c>
      <c r="CZ17" s="3">
        <v>0</v>
      </c>
      <c r="DA17" s="3">
        <f>PARTICIPACION('Datos Protegidos'!DA17,PARTIDOS!DB$5)</f>
        <v>0</v>
      </c>
      <c r="DB17" s="3">
        <v>0</v>
      </c>
      <c r="DC17" s="3">
        <f>PARTICIPACION('Datos Protegidos'!DC17,PARTIDOS!DD$5)</f>
        <v>0</v>
      </c>
      <c r="DD17" s="3">
        <v>0</v>
      </c>
      <c r="DE17" s="3">
        <f>PARTICIPACION('Datos Protegidos'!DE17,PARTIDOS!DF$5)</f>
        <v>0</v>
      </c>
      <c r="DF17" s="3">
        <v>0</v>
      </c>
      <c r="DG17" s="3">
        <f>PARTICIPACION('Datos Protegidos'!DG17,PARTIDOS!DH$5)</f>
        <v>0</v>
      </c>
      <c r="DH17" s="3">
        <v>0</v>
      </c>
      <c r="DI17" s="3">
        <f>PARTICIPACION('Datos Protegidos'!DI17,PARTIDOS!DJ$5)</f>
        <v>0</v>
      </c>
      <c r="DJ17" s="3">
        <v>0</v>
      </c>
      <c r="DK17" s="3">
        <f>PARTICIPACION('Datos Protegidos'!DK17,PARTIDOS!DL$5)</f>
        <v>0</v>
      </c>
      <c r="DL17" s="3">
        <v>0</v>
      </c>
      <c r="DM17" s="3">
        <f>PARTICIPACION('Datos Protegidos'!DM17,PARTIDOS!DN$5)</f>
        <v>0</v>
      </c>
      <c r="DN17" s="3">
        <v>0</v>
      </c>
      <c r="DO17" s="3">
        <f>PARTICIPACION('Datos Protegidos'!DO17,PARTIDOS!DP$5)</f>
        <v>0</v>
      </c>
      <c r="DP17" s="3">
        <v>0</v>
      </c>
      <c r="DQ17" s="3">
        <f>PARTICIPACION('Datos Protegidos'!DQ17,PARTIDOS!DR$5)</f>
        <v>0</v>
      </c>
      <c r="DR17" s="3">
        <v>0</v>
      </c>
      <c r="DS17" s="3">
        <f>PARTICIPACION('Datos Protegidos'!DS17,PARTIDOS!DT$5)</f>
        <v>0</v>
      </c>
      <c r="DT17" s="3">
        <v>0</v>
      </c>
      <c r="DU17" s="3">
        <f>PARTICIPACION('Datos Protegidos'!DU17,PARTIDOS!DV$5)</f>
        <v>0</v>
      </c>
      <c r="DV17" s="3">
        <v>0</v>
      </c>
      <c r="DW17" s="3">
        <f>PARTICIPACION('Datos Protegidos'!DW17,PARTIDOS!DX$5)</f>
        <v>0</v>
      </c>
      <c r="DX17" s="3">
        <v>0</v>
      </c>
      <c r="DY17" s="3">
        <f>PARTICIPACION('Datos Protegidos'!DY17,PARTIDOS!DZ$5)</f>
        <v>0</v>
      </c>
      <c r="DZ17" s="3">
        <v>0</v>
      </c>
      <c r="EA17" s="3">
        <f>PARTICIPACION('Datos Protegidos'!EA17,PARTIDOS!EB$5)</f>
        <v>0</v>
      </c>
      <c r="EB17" s="3">
        <v>0</v>
      </c>
      <c r="EC17" s="3">
        <f>PARTICIPACION('Datos Protegidos'!EC17,PARTIDOS!ED$5)</f>
        <v>0</v>
      </c>
      <c r="ED17" s="3">
        <v>0</v>
      </c>
    </row>
    <row r="18" spans="1:134" x14ac:dyDescent="0.25">
      <c r="A18" s="3">
        <f>PARTICIPACION('Datos Protegidos'!A18,PARTIDOS!B$5)</f>
        <v>73340</v>
      </c>
      <c r="B18" s="3">
        <v>2</v>
      </c>
      <c r="C18" s="3">
        <f>PARTICIPACION('Datos Protegidos'!C18,PARTIDOS!D$5)</f>
        <v>60011</v>
      </c>
      <c r="D18" s="3">
        <v>1</v>
      </c>
      <c r="E18" s="3">
        <f>PARTICIPACION('Datos Protegidos'!E18,PARTIDOS!F$5)</f>
        <v>45192</v>
      </c>
      <c r="F18" s="3">
        <v>1</v>
      </c>
      <c r="G18" s="3">
        <f>PARTICIPACION('Datos Protegidos'!G18,PARTIDOS!H$5)</f>
        <v>21809</v>
      </c>
      <c r="H18" s="3">
        <v>0</v>
      </c>
      <c r="I18" s="3">
        <f>PARTICIPACION('Datos Protegidos'!I18,PARTIDOS!J$5)</f>
        <v>0</v>
      </c>
      <c r="J18" s="3">
        <v>0</v>
      </c>
      <c r="K18" s="3">
        <f>PARTICIPACION('Datos Protegidos'!K18,PARTIDOS!L$5)</f>
        <v>15947</v>
      </c>
      <c r="L18" s="3">
        <v>0</v>
      </c>
      <c r="M18" s="3">
        <f>PARTICIPACION('Datos Protegidos'!M18,PARTIDOS!N$5)</f>
        <v>0</v>
      </c>
      <c r="N18" s="3">
        <v>0</v>
      </c>
      <c r="O18" s="3">
        <f>PARTICIPACION('Datos Protegidos'!O18,PARTIDOS!P$5)</f>
        <v>0</v>
      </c>
      <c r="P18" s="3">
        <v>0</v>
      </c>
      <c r="Q18" s="3">
        <f>PARTICIPACION('Datos Protegidos'!Q18,PARTIDOS!R$5)</f>
        <v>0</v>
      </c>
      <c r="R18" s="3">
        <v>0</v>
      </c>
      <c r="S18" s="3">
        <f>PARTICIPACION('Datos Protegidos'!S18,PARTIDOS!T$5)</f>
        <v>0</v>
      </c>
      <c r="T18" s="3">
        <v>0</v>
      </c>
      <c r="U18" s="3">
        <f>PARTICIPACION('Datos Protegidos'!U18,PARTIDOS!V$5)</f>
        <v>0</v>
      </c>
      <c r="V18" s="3">
        <v>0</v>
      </c>
      <c r="W18" s="3">
        <f>PARTICIPACION('Datos Protegidos'!W18,PARTIDOS!X$5)</f>
        <v>0</v>
      </c>
      <c r="X18" s="3">
        <v>0</v>
      </c>
      <c r="Y18" s="3">
        <f>PARTICIPACION('Datos Protegidos'!Y18,PARTIDOS!Z$5)</f>
        <v>0</v>
      </c>
      <c r="Z18" s="3">
        <v>0</v>
      </c>
      <c r="AA18" s="3">
        <f>PARTICIPACION('Datos Protegidos'!AA18,PARTIDOS!AB$5)</f>
        <v>0</v>
      </c>
      <c r="AB18" s="3">
        <v>0</v>
      </c>
      <c r="AC18" s="3">
        <f>PARTICIPACION('Datos Protegidos'!AC18,PARTIDOS!AD$5)</f>
        <v>0</v>
      </c>
      <c r="AD18" s="3">
        <v>0</v>
      </c>
      <c r="AE18" s="3">
        <f>PARTICIPACION('Datos Protegidos'!AE18,PARTIDOS!AF$5)</f>
        <v>0</v>
      </c>
      <c r="AF18" s="3">
        <v>0</v>
      </c>
      <c r="AG18" s="3">
        <f>PARTICIPACION('Datos Protegidos'!AG18,PARTIDOS!AH$5)</f>
        <v>0</v>
      </c>
      <c r="AH18" s="3">
        <v>0</v>
      </c>
      <c r="AI18" s="3">
        <f>PARTICIPACION('Datos Protegidos'!AI18,PARTIDOS!AJ$5)</f>
        <v>0</v>
      </c>
      <c r="AJ18" s="3">
        <v>0</v>
      </c>
      <c r="AK18" s="3">
        <f>PARTICIPACION('Datos Protegidos'!AK18,PARTIDOS!AL$5)</f>
        <v>0</v>
      </c>
      <c r="AL18" s="3">
        <v>0</v>
      </c>
      <c r="AM18" s="3">
        <f>PARTICIPACION('Datos Protegidos'!AM18,PARTIDOS!AN$5)</f>
        <v>1642</v>
      </c>
      <c r="AN18" s="3">
        <v>0</v>
      </c>
      <c r="AO18" s="3">
        <f>PARTICIPACION('Datos Protegidos'!AO18,PARTIDOS!AP$5)</f>
        <v>0</v>
      </c>
      <c r="AP18" s="3">
        <v>0</v>
      </c>
      <c r="AQ18" s="3">
        <f>PARTICIPACION('Datos Protegidos'!AQ18,PARTIDOS!AR$5)</f>
        <v>220</v>
      </c>
      <c r="AR18" s="3">
        <v>0</v>
      </c>
      <c r="AS18" s="3">
        <f>PARTICIPACION('Datos Protegidos'!AS18,PARTIDOS!AT$5)</f>
        <v>373</v>
      </c>
      <c r="AT18" s="3">
        <v>0</v>
      </c>
      <c r="AU18" s="3">
        <f>PARTICIPACION('Datos Protegidos'!AU18,PARTIDOS!AV$5)</f>
        <v>0</v>
      </c>
      <c r="AV18" s="3">
        <v>0</v>
      </c>
      <c r="AW18" s="3">
        <f>PARTICIPACION('Datos Protegidos'!AW18,PARTIDOS!AX$5)</f>
        <v>0</v>
      </c>
      <c r="AX18" s="3">
        <v>0</v>
      </c>
      <c r="AY18" s="3">
        <f>PARTICIPACION('Datos Protegidos'!AY18,PARTIDOS!AZ$5)</f>
        <v>0</v>
      </c>
      <c r="AZ18" s="3">
        <v>0</v>
      </c>
      <c r="BA18" s="3">
        <f>PARTICIPACION('Datos Protegidos'!BA18,PARTIDOS!BB$5)</f>
        <v>185</v>
      </c>
      <c r="BB18" s="3">
        <v>0</v>
      </c>
      <c r="BC18" s="3">
        <f>PARTICIPACION('Datos Protegidos'!BC18,PARTIDOS!BD$5)</f>
        <v>160</v>
      </c>
      <c r="BD18" s="3">
        <v>0</v>
      </c>
      <c r="BE18" s="3">
        <f>PARTICIPACION('Datos Protegidos'!BE18,PARTIDOS!BF$5)</f>
        <v>0</v>
      </c>
      <c r="BF18" s="3">
        <v>0</v>
      </c>
      <c r="BG18" s="3">
        <f>PARTICIPACION('Datos Protegidos'!BG18,PARTIDOS!BH$5)</f>
        <v>0</v>
      </c>
      <c r="BH18" s="3">
        <v>0</v>
      </c>
      <c r="BI18" s="3">
        <f>PARTICIPACION('Datos Protegidos'!BI18,PARTIDOS!BJ$5)</f>
        <v>0</v>
      </c>
      <c r="BJ18" s="3">
        <v>0</v>
      </c>
      <c r="BK18" s="3">
        <f>PARTICIPACION('Datos Protegidos'!BK18,PARTIDOS!BL$5)</f>
        <v>0</v>
      </c>
      <c r="BL18" s="3">
        <v>0</v>
      </c>
      <c r="BM18" s="3">
        <f>PARTICIPACION('Datos Protegidos'!BM18,PARTIDOS!BN$5)</f>
        <v>0</v>
      </c>
      <c r="BN18" s="3">
        <v>0</v>
      </c>
      <c r="BO18" s="3">
        <f>PARTICIPACION('Datos Protegidos'!BO18,PARTIDOS!BP$5)</f>
        <v>0</v>
      </c>
      <c r="BP18" s="3">
        <v>0</v>
      </c>
      <c r="BQ18" s="3">
        <f>PARTICIPACION('Datos Protegidos'!BQ18,PARTIDOS!BR$5)</f>
        <v>0</v>
      </c>
      <c r="BR18" s="3">
        <v>0</v>
      </c>
      <c r="BS18" s="3">
        <f>PARTICIPACION('Datos Protegidos'!BS18,PARTIDOS!BT$5)</f>
        <v>0</v>
      </c>
      <c r="BT18" s="3">
        <v>0</v>
      </c>
      <c r="BU18" s="3">
        <f>PARTICIPACION('Datos Protegidos'!BU18,PARTIDOS!BV$5)</f>
        <v>0</v>
      </c>
      <c r="BV18" s="3">
        <v>0</v>
      </c>
      <c r="BW18" s="3">
        <f>PARTICIPACION('Datos Protegidos'!BW18,PARTIDOS!BX$5)</f>
        <v>0</v>
      </c>
      <c r="BX18" s="3">
        <v>0</v>
      </c>
      <c r="BY18" s="3">
        <f>PARTICIPACION('Datos Protegidos'!BY18,PARTIDOS!BZ$5)</f>
        <v>0</v>
      </c>
      <c r="BZ18" s="3">
        <v>0</v>
      </c>
      <c r="CA18" s="3">
        <f>PARTICIPACION('Datos Protegidos'!CA18,PARTIDOS!CB$5)</f>
        <v>0</v>
      </c>
      <c r="CB18" s="3">
        <v>0</v>
      </c>
      <c r="CC18" s="3">
        <f>PARTICIPACION('Datos Protegidos'!CC18,PARTIDOS!CD$5)</f>
        <v>0</v>
      </c>
      <c r="CD18" s="3">
        <v>0</v>
      </c>
      <c r="CE18" s="3">
        <f>PARTICIPACION('Datos Protegidos'!CE18,PARTIDOS!CF$5)</f>
        <v>0</v>
      </c>
      <c r="CF18" s="3">
        <v>0</v>
      </c>
      <c r="CG18" s="3">
        <f>PARTICIPACION('Datos Protegidos'!CG18,PARTIDOS!CH$5)</f>
        <v>0</v>
      </c>
      <c r="CH18" s="3">
        <v>0</v>
      </c>
      <c r="CI18" s="3">
        <f>PARTICIPACION('Datos Protegidos'!CI18,PARTIDOS!CJ$5)</f>
        <v>0</v>
      </c>
      <c r="CJ18" s="3">
        <v>0</v>
      </c>
      <c r="CK18" s="3">
        <f>PARTICIPACION('Datos Protegidos'!CK18,PARTIDOS!CL$5)</f>
        <v>0</v>
      </c>
      <c r="CL18" s="3">
        <v>0</v>
      </c>
      <c r="CM18" s="3">
        <f>PARTICIPACION('Datos Protegidos'!CM18,PARTIDOS!CN$5)</f>
        <v>0</v>
      </c>
      <c r="CN18" s="3">
        <v>0</v>
      </c>
      <c r="CO18" s="3">
        <f>PARTICIPACION('Datos Protegidos'!CO18,PARTIDOS!CP$5)</f>
        <v>0</v>
      </c>
      <c r="CP18" s="3">
        <v>0</v>
      </c>
      <c r="CQ18" s="3">
        <f>PARTICIPACION('Datos Protegidos'!CQ18,PARTIDOS!CR$5)</f>
        <v>196</v>
      </c>
      <c r="CR18" s="3">
        <v>0</v>
      </c>
      <c r="CS18" s="3">
        <f>PARTICIPACION('Datos Protegidos'!CS18,PARTIDOS!CT$5)</f>
        <v>0</v>
      </c>
      <c r="CT18" s="3">
        <v>0</v>
      </c>
      <c r="CU18" s="3">
        <f>PARTICIPACION('Datos Protegidos'!CU18,PARTIDOS!CV$5)</f>
        <v>0</v>
      </c>
      <c r="CV18" s="3">
        <v>0</v>
      </c>
      <c r="CW18" s="3">
        <f>PARTICIPACION('Datos Protegidos'!CW18,PARTIDOS!CX$5)</f>
        <v>0</v>
      </c>
      <c r="CX18" s="3">
        <v>0</v>
      </c>
      <c r="CY18" s="3">
        <f>PARTICIPACION('Datos Protegidos'!CY18,PARTIDOS!CZ$5)</f>
        <v>0</v>
      </c>
      <c r="CZ18" s="3">
        <v>0</v>
      </c>
      <c r="DA18" s="3">
        <f>PARTICIPACION('Datos Protegidos'!DA18,PARTIDOS!DB$5)</f>
        <v>0</v>
      </c>
      <c r="DB18" s="3">
        <v>0</v>
      </c>
      <c r="DC18" s="3">
        <f>PARTICIPACION('Datos Protegidos'!DC18,PARTIDOS!DD$5)</f>
        <v>0</v>
      </c>
      <c r="DD18" s="3">
        <v>0</v>
      </c>
      <c r="DE18" s="3">
        <f>PARTICIPACION('Datos Protegidos'!DE18,PARTIDOS!DF$5)</f>
        <v>0</v>
      </c>
      <c r="DF18" s="3">
        <v>0</v>
      </c>
      <c r="DG18" s="3">
        <f>PARTICIPACION('Datos Protegidos'!DG18,PARTIDOS!DH$5)</f>
        <v>0</v>
      </c>
      <c r="DH18" s="3">
        <v>0</v>
      </c>
      <c r="DI18" s="3">
        <f>PARTICIPACION('Datos Protegidos'!DI18,PARTIDOS!DJ$5)</f>
        <v>0</v>
      </c>
      <c r="DJ18" s="3">
        <v>0</v>
      </c>
      <c r="DK18" s="3">
        <f>PARTICIPACION('Datos Protegidos'!DK18,PARTIDOS!DL$5)</f>
        <v>0</v>
      </c>
      <c r="DL18" s="3">
        <v>0</v>
      </c>
      <c r="DM18" s="3">
        <f>PARTICIPACION('Datos Protegidos'!DM18,PARTIDOS!DN$5)</f>
        <v>0</v>
      </c>
      <c r="DN18" s="3">
        <v>0</v>
      </c>
      <c r="DO18" s="3">
        <f>PARTICIPACION('Datos Protegidos'!DO18,PARTIDOS!DP$5)</f>
        <v>0</v>
      </c>
      <c r="DP18" s="3">
        <v>0</v>
      </c>
      <c r="DQ18" s="3">
        <f>PARTICIPACION('Datos Protegidos'!DQ18,PARTIDOS!DR$5)</f>
        <v>0</v>
      </c>
      <c r="DR18" s="3">
        <v>0</v>
      </c>
      <c r="DS18" s="3">
        <f>PARTICIPACION('Datos Protegidos'!DS18,PARTIDOS!DT$5)</f>
        <v>0</v>
      </c>
      <c r="DT18" s="3">
        <v>0</v>
      </c>
      <c r="DU18" s="3">
        <f>PARTICIPACION('Datos Protegidos'!DU18,PARTIDOS!DV$5)</f>
        <v>0</v>
      </c>
      <c r="DV18" s="3">
        <v>0</v>
      </c>
      <c r="DW18" s="3">
        <f>PARTICIPACION('Datos Protegidos'!DW18,PARTIDOS!DX$5)</f>
        <v>0</v>
      </c>
      <c r="DX18" s="3">
        <v>0</v>
      </c>
      <c r="DY18" s="3">
        <f>PARTICIPACION('Datos Protegidos'!DY18,PARTIDOS!DZ$5)</f>
        <v>0</v>
      </c>
      <c r="DZ18" s="3">
        <v>0</v>
      </c>
      <c r="EA18" s="3">
        <f>PARTICIPACION('Datos Protegidos'!EA18,PARTIDOS!EB$5)</f>
        <v>0</v>
      </c>
      <c r="EB18" s="3">
        <v>0</v>
      </c>
      <c r="EC18" s="3">
        <f>PARTICIPACION('Datos Protegidos'!EC18,PARTIDOS!ED$5)</f>
        <v>0</v>
      </c>
      <c r="ED18" s="3">
        <v>0</v>
      </c>
    </row>
    <row r="19" spans="1:134" x14ac:dyDescent="0.25">
      <c r="A19" s="3">
        <f>PARTICIPACION('Datos Protegidos'!A19,PARTIDOS!B$5)</f>
        <v>96648</v>
      </c>
      <c r="B19" s="3">
        <v>2</v>
      </c>
      <c r="C19" s="3">
        <f>PARTICIPACION('Datos Protegidos'!C19,PARTIDOS!D$5)</f>
        <v>76331</v>
      </c>
      <c r="D19" s="3">
        <v>2</v>
      </c>
      <c r="E19" s="3">
        <f>PARTICIPACION('Datos Protegidos'!E19,PARTIDOS!F$5)</f>
        <v>57171</v>
      </c>
      <c r="F19" s="3">
        <v>1</v>
      </c>
      <c r="G19" s="3">
        <f>PARTICIPACION('Datos Protegidos'!G19,PARTIDOS!H$5)</f>
        <v>23362</v>
      </c>
      <c r="H19" s="3">
        <v>0</v>
      </c>
      <c r="I19" s="3">
        <f>PARTICIPACION('Datos Protegidos'!I19,PARTIDOS!J$5)</f>
        <v>0</v>
      </c>
      <c r="J19" s="3">
        <v>0</v>
      </c>
      <c r="K19" s="3">
        <f>PARTICIPACION('Datos Protegidos'!K19,PARTIDOS!L$5)</f>
        <v>18337</v>
      </c>
      <c r="L19" s="3">
        <v>0</v>
      </c>
      <c r="M19" s="3">
        <f>PARTICIPACION('Datos Protegidos'!M19,PARTIDOS!N$5)</f>
        <v>0</v>
      </c>
      <c r="N19" s="3">
        <v>0</v>
      </c>
      <c r="O19" s="3">
        <f>PARTICIPACION('Datos Protegidos'!O19,PARTIDOS!P$5)</f>
        <v>0</v>
      </c>
      <c r="P19" s="3">
        <v>0</v>
      </c>
      <c r="Q19" s="3">
        <f>PARTICIPACION('Datos Protegidos'!Q19,PARTIDOS!R$5)</f>
        <v>0</v>
      </c>
      <c r="R19" s="3">
        <v>0</v>
      </c>
      <c r="S19" s="3">
        <f>PARTICIPACION('Datos Protegidos'!S19,PARTIDOS!T$5)</f>
        <v>0</v>
      </c>
      <c r="T19" s="3">
        <v>0</v>
      </c>
      <c r="U19" s="3">
        <f>PARTICIPACION('Datos Protegidos'!U19,PARTIDOS!V$5)</f>
        <v>0</v>
      </c>
      <c r="V19" s="3">
        <v>0</v>
      </c>
      <c r="W19" s="3">
        <f>PARTICIPACION('Datos Protegidos'!W19,PARTIDOS!X$5)</f>
        <v>0</v>
      </c>
      <c r="X19" s="3">
        <v>0</v>
      </c>
      <c r="Y19" s="3">
        <f>PARTICIPACION('Datos Protegidos'!Y19,PARTIDOS!Z$5)</f>
        <v>0</v>
      </c>
      <c r="Z19" s="3">
        <v>0</v>
      </c>
      <c r="AA19" s="3">
        <f>PARTICIPACION('Datos Protegidos'!AA19,PARTIDOS!AB$5)</f>
        <v>0</v>
      </c>
      <c r="AB19" s="3">
        <v>0</v>
      </c>
      <c r="AC19" s="3">
        <f>PARTICIPACION('Datos Protegidos'!AC19,PARTIDOS!AD$5)</f>
        <v>0</v>
      </c>
      <c r="AD19" s="3">
        <v>0</v>
      </c>
      <c r="AE19" s="3">
        <f>PARTICIPACION('Datos Protegidos'!AE19,PARTIDOS!AF$5)</f>
        <v>0</v>
      </c>
      <c r="AF19" s="3">
        <v>0</v>
      </c>
      <c r="AG19" s="3">
        <f>PARTICIPACION('Datos Protegidos'!AG19,PARTIDOS!AH$5)</f>
        <v>0</v>
      </c>
      <c r="AH19" s="3">
        <v>0</v>
      </c>
      <c r="AI19" s="3">
        <f>PARTICIPACION('Datos Protegidos'!AI19,PARTIDOS!AJ$5)</f>
        <v>0</v>
      </c>
      <c r="AJ19" s="3">
        <v>0</v>
      </c>
      <c r="AK19" s="3">
        <f>PARTICIPACION('Datos Protegidos'!AK19,PARTIDOS!AL$5)</f>
        <v>0</v>
      </c>
      <c r="AL19" s="3">
        <v>0</v>
      </c>
      <c r="AM19" s="3">
        <f>PARTICIPACION('Datos Protegidos'!AM19,PARTIDOS!AN$5)</f>
        <v>1779</v>
      </c>
      <c r="AN19" s="3">
        <v>0</v>
      </c>
      <c r="AO19" s="3">
        <f>PARTICIPACION('Datos Protegidos'!AO19,PARTIDOS!AP$5)</f>
        <v>0</v>
      </c>
      <c r="AP19" s="3">
        <v>0</v>
      </c>
      <c r="AQ19" s="3">
        <f>PARTICIPACION('Datos Protegidos'!AQ19,PARTIDOS!AR$5)</f>
        <v>444</v>
      </c>
      <c r="AR19" s="3">
        <v>0</v>
      </c>
      <c r="AS19" s="3">
        <f>PARTICIPACION('Datos Protegidos'!AS19,PARTIDOS!AT$5)</f>
        <v>481</v>
      </c>
      <c r="AT19" s="3">
        <v>0</v>
      </c>
      <c r="AU19" s="3">
        <f>PARTICIPACION('Datos Protegidos'!AU19,PARTIDOS!AV$5)</f>
        <v>0</v>
      </c>
      <c r="AV19" s="3">
        <v>0</v>
      </c>
      <c r="AW19" s="3">
        <f>PARTICIPACION('Datos Protegidos'!AW19,PARTIDOS!AX$5)</f>
        <v>0</v>
      </c>
      <c r="AX19" s="3">
        <v>0</v>
      </c>
      <c r="AY19" s="3">
        <f>PARTICIPACION('Datos Protegidos'!AY19,PARTIDOS!AZ$5)</f>
        <v>0</v>
      </c>
      <c r="AZ19" s="3">
        <v>0</v>
      </c>
      <c r="BA19" s="3">
        <f>PARTICIPACION('Datos Protegidos'!BA19,PARTIDOS!BB$5)</f>
        <v>0</v>
      </c>
      <c r="BB19" s="3">
        <v>0</v>
      </c>
      <c r="BC19" s="3">
        <f>PARTICIPACION('Datos Protegidos'!BC19,PARTIDOS!BD$5)</f>
        <v>0</v>
      </c>
      <c r="BD19" s="3">
        <v>0</v>
      </c>
      <c r="BE19" s="3">
        <f>PARTICIPACION('Datos Protegidos'!BE19,PARTIDOS!BF$5)</f>
        <v>0</v>
      </c>
      <c r="BF19" s="3">
        <v>0</v>
      </c>
      <c r="BG19" s="3">
        <f>PARTICIPACION('Datos Protegidos'!BG19,PARTIDOS!BH$5)</f>
        <v>0</v>
      </c>
      <c r="BH19" s="3">
        <v>0</v>
      </c>
      <c r="BI19" s="3">
        <f>PARTICIPACION('Datos Protegidos'!BI19,PARTIDOS!BJ$5)</f>
        <v>0</v>
      </c>
      <c r="BJ19" s="3">
        <v>0</v>
      </c>
      <c r="BK19" s="3">
        <f>PARTICIPACION('Datos Protegidos'!BK19,PARTIDOS!BL$5)</f>
        <v>0</v>
      </c>
      <c r="BL19" s="3">
        <v>0</v>
      </c>
      <c r="BM19" s="3">
        <f>PARTICIPACION('Datos Protegidos'!BM19,PARTIDOS!BN$5)</f>
        <v>0</v>
      </c>
      <c r="BN19" s="3">
        <v>0</v>
      </c>
      <c r="BO19" s="3">
        <f>PARTICIPACION('Datos Protegidos'!BO19,PARTIDOS!BP$5)</f>
        <v>0</v>
      </c>
      <c r="BP19" s="3">
        <v>0</v>
      </c>
      <c r="BQ19" s="3">
        <f>PARTICIPACION('Datos Protegidos'!BQ19,PARTIDOS!BR$5)</f>
        <v>0</v>
      </c>
      <c r="BR19" s="3">
        <v>0</v>
      </c>
      <c r="BS19" s="3">
        <f>PARTICIPACION('Datos Protegidos'!BS19,PARTIDOS!BT$5)</f>
        <v>0</v>
      </c>
      <c r="BT19" s="3">
        <v>0</v>
      </c>
      <c r="BU19" s="3">
        <f>PARTICIPACION('Datos Protegidos'!BU19,PARTIDOS!BV$5)</f>
        <v>0</v>
      </c>
      <c r="BV19" s="3">
        <v>0</v>
      </c>
      <c r="BW19" s="3">
        <f>PARTICIPACION('Datos Protegidos'!BW19,PARTIDOS!BX$5)</f>
        <v>0</v>
      </c>
      <c r="BX19" s="3">
        <v>0</v>
      </c>
      <c r="BY19" s="3">
        <f>PARTICIPACION('Datos Protegidos'!BY19,PARTIDOS!BZ$5)</f>
        <v>0</v>
      </c>
      <c r="BZ19" s="3">
        <v>0</v>
      </c>
      <c r="CA19" s="3">
        <f>PARTICIPACION('Datos Protegidos'!CA19,PARTIDOS!CB$5)</f>
        <v>0</v>
      </c>
      <c r="CB19" s="3">
        <v>0</v>
      </c>
      <c r="CC19" s="3">
        <f>PARTICIPACION('Datos Protegidos'!CC19,PARTIDOS!CD$5)</f>
        <v>0</v>
      </c>
      <c r="CD19" s="3">
        <v>0</v>
      </c>
      <c r="CE19" s="3">
        <f>PARTICIPACION('Datos Protegidos'!CE19,PARTIDOS!CF$5)</f>
        <v>0</v>
      </c>
      <c r="CF19" s="3">
        <v>0</v>
      </c>
      <c r="CG19" s="3">
        <f>PARTICIPACION('Datos Protegidos'!CG19,PARTIDOS!CH$5)</f>
        <v>0</v>
      </c>
      <c r="CH19" s="3">
        <v>0</v>
      </c>
      <c r="CI19" s="3">
        <f>PARTICIPACION('Datos Protegidos'!CI19,PARTIDOS!CJ$5)</f>
        <v>0</v>
      </c>
      <c r="CJ19" s="3">
        <v>0</v>
      </c>
      <c r="CK19" s="3">
        <f>PARTICIPACION('Datos Protegidos'!CK19,PARTIDOS!CL$5)</f>
        <v>0</v>
      </c>
      <c r="CL19" s="3">
        <v>0</v>
      </c>
      <c r="CM19" s="3">
        <f>PARTICIPACION('Datos Protegidos'!CM19,PARTIDOS!CN$5)</f>
        <v>0</v>
      </c>
      <c r="CN19" s="3">
        <v>0</v>
      </c>
      <c r="CO19" s="3">
        <f>PARTICIPACION('Datos Protegidos'!CO19,PARTIDOS!CP$5)</f>
        <v>0</v>
      </c>
      <c r="CP19" s="3">
        <v>0</v>
      </c>
      <c r="CQ19" s="3">
        <f>PARTICIPACION('Datos Protegidos'!CQ19,PARTIDOS!CR$5)</f>
        <v>0</v>
      </c>
      <c r="CR19" s="3">
        <v>0</v>
      </c>
      <c r="CS19" s="3">
        <f>PARTICIPACION('Datos Protegidos'!CS19,PARTIDOS!CT$5)</f>
        <v>0</v>
      </c>
      <c r="CT19" s="3">
        <v>0</v>
      </c>
      <c r="CU19" s="3">
        <f>PARTICIPACION('Datos Protegidos'!CU19,PARTIDOS!CV$5)</f>
        <v>0</v>
      </c>
      <c r="CV19" s="3">
        <v>0</v>
      </c>
      <c r="CW19" s="3">
        <f>PARTICIPACION('Datos Protegidos'!CW19,PARTIDOS!CX$5)</f>
        <v>0</v>
      </c>
      <c r="CX19" s="3">
        <v>0</v>
      </c>
      <c r="CY19" s="3">
        <f>PARTICIPACION('Datos Protegidos'!CY19,PARTIDOS!CZ$5)</f>
        <v>0</v>
      </c>
      <c r="CZ19" s="3">
        <v>0</v>
      </c>
      <c r="DA19" s="3">
        <f>PARTICIPACION('Datos Protegidos'!DA19,PARTIDOS!DB$5)</f>
        <v>0</v>
      </c>
      <c r="DB19" s="3">
        <v>0</v>
      </c>
      <c r="DC19" s="3">
        <f>PARTICIPACION('Datos Protegidos'!DC19,PARTIDOS!DD$5)</f>
        <v>0</v>
      </c>
      <c r="DD19" s="3">
        <v>0</v>
      </c>
      <c r="DE19" s="3">
        <f>PARTICIPACION('Datos Protegidos'!DE19,PARTIDOS!DF$5)</f>
        <v>0</v>
      </c>
      <c r="DF19" s="3">
        <v>0</v>
      </c>
      <c r="DG19" s="3">
        <f>PARTICIPACION('Datos Protegidos'!DG19,PARTIDOS!DH$5)</f>
        <v>0</v>
      </c>
      <c r="DH19" s="3">
        <v>0</v>
      </c>
      <c r="DI19" s="3">
        <f>PARTICIPACION('Datos Protegidos'!DI19,PARTIDOS!DJ$5)</f>
        <v>0</v>
      </c>
      <c r="DJ19" s="3">
        <v>0</v>
      </c>
      <c r="DK19" s="3">
        <f>PARTICIPACION('Datos Protegidos'!DK19,PARTIDOS!DL$5)</f>
        <v>0</v>
      </c>
      <c r="DL19" s="3">
        <v>0</v>
      </c>
      <c r="DM19" s="3">
        <f>PARTICIPACION('Datos Protegidos'!DM19,PARTIDOS!DN$5)</f>
        <v>0</v>
      </c>
      <c r="DN19" s="3">
        <v>0</v>
      </c>
      <c r="DO19" s="3">
        <f>PARTICIPACION('Datos Protegidos'!DO19,PARTIDOS!DP$5)</f>
        <v>0</v>
      </c>
      <c r="DP19" s="3">
        <v>0</v>
      </c>
      <c r="DQ19" s="3">
        <f>PARTICIPACION('Datos Protegidos'!DQ19,PARTIDOS!DR$5)</f>
        <v>0</v>
      </c>
      <c r="DR19" s="3">
        <v>0</v>
      </c>
      <c r="DS19" s="3">
        <f>PARTICIPACION('Datos Protegidos'!DS19,PARTIDOS!DT$5)</f>
        <v>0</v>
      </c>
      <c r="DT19" s="3">
        <v>0</v>
      </c>
      <c r="DU19" s="3">
        <f>PARTICIPACION('Datos Protegidos'!DU19,PARTIDOS!DV$5)</f>
        <v>0</v>
      </c>
      <c r="DV19" s="3">
        <v>0</v>
      </c>
      <c r="DW19" s="3">
        <f>PARTICIPACION('Datos Protegidos'!DW19,PARTIDOS!DX$5)</f>
        <v>0</v>
      </c>
      <c r="DX19" s="3">
        <v>0</v>
      </c>
      <c r="DY19" s="3">
        <f>PARTICIPACION('Datos Protegidos'!DY19,PARTIDOS!DZ$5)</f>
        <v>0</v>
      </c>
      <c r="DZ19" s="3">
        <v>0</v>
      </c>
      <c r="EA19" s="3">
        <f>PARTICIPACION('Datos Protegidos'!EA19,PARTIDOS!EB$5)</f>
        <v>0</v>
      </c>
      <c r="EB19" s="3">
        <v>0</v>
      </c>
      <c r="EC19" s="3">
        <f>PARTICIPACION('Datos Protegidos'!EC19,PARTIDOS!ED$5)</f>
        <v>0</v>
      </c>
      <c r="ED19" s="3">
        <v>0</v>
      </c>
    </row>
    <row r="20" spans="1:134" x14ac:dyDescent="0.25">
      <c r="A20" s="3">
        <f>PARTICIPACION('Datos Protegidos'!A20,PARTIDOS!B$5)</f>
        <v>42703</v>
      </c>
      <c r="B20" s="3">
        <v>2</v>
      </c>
      <c r="C20" s="3">
        <f>PARTICIPACION('Datos Protegidos'!C20,PARTIDOS!D$5)</f>
        <v>34395</v>
      </c>
      <c r="D20" s="3">
        <v>1</v>
      </c>
      <c r="E20" s="3">
        <f>PARTICIPACION('Datos Protegidos'!E20,PARTIDOS!F$5)</f>
        <v>20510</v>
      </c>
      <c r="F20" s="3">
        <v>0</v>
      </c>
      <c r="G20" s="3">
        <f>PARTICIPACION('Datos Protegidos'!G20,PARTIDOS!H$5)</f>
        <v>7905</v>
      </c>
      <c r="H20" s="3">
        <v>0</v>
      </c>
      <c r="I20" s="3">
        <f>PARTICIPACION('Datos Protegidos'!I20,PARTIDOS!J$5)</f>
        <v>0</v>
      </c>
      <c r="J20" s="3">
        <v>0</v>
      </c>
      <c r="K20" s="3">
        <f>PARTICIPACION('Datos Protegidos'!K20,PARTIDOS!L$5)</f>
        <v>5094</v>
      </c>
      <c r="L20" s="3">
        <v>0</v>
      </c>
      <c r="M20" s="3">
        <f>PARTICIPACION('Datos Protegidos'!M20,PARTIDOS!N$5)</f>
        <v>0</v>
      </c>
      <c r="N20" s="3">
        <v>0</v>
      </c>
      <c r="O20" s="3">
        <f>PARTICIPACION('Datos Protegidos'!O20,PARTIDOS!P$5)</f>
        <v>0</v>
      </c>
      <c r="P20" s="3">
        <v>0</v>
      </c>
      <c r="Q20" s="3">
        <f>PARTICIPACION('Datos Protegidos'!Q20,PARTIDOS!R$5)</f>
        <v>0</v>
      </c>
      <c r="R20" s="3">
        <v>0</v>
      </c>
      <c r="S20" s="3">
        <f>PARTICIPACION('Datos Protegidos'!S20,PARTIDOS!T$5)</f>
        <v>0</v>
      </c>
      <c r="T20" s="3">
        <v>0</v>
      </c>
      <c r="U20" s="3">
        <f>PARTICIPACION('Datos Protegidos'!U20,PARTIDOS!V$5)</f>
        <v>0</v>
      </c>
      <c r="V20" s="3">
        <v>0</v>
      </c>
      <c r="W20" s="3">
        <f>PARTICIPACION('Datos Protegidos'!W20,PARTIDOS!X$5)</f>
        <v>0</v>
      </c>
      <c r="X20" s="3">
        <v>0</v>
      </c>
      <c r="Y20" s="3">
        <f>PARTICIPACION('Datos Protegidos'!Y20,PARTIDOS!Z$5)</f>
        <v>0</v>
      </c>
      <c r="Z20" s="3">
        <v>0</v>
      </c>
      <c r="AA20" s="3">
        <f>PARTICIPACION('Datos Protegidos'!AA20,PARTIDOS!AB$5)</f>
        <v>0</v>
      </c>
      <c r="AB20" s="3">
        <v>0</v>
      </c>
      <c r="AC20" s="3">
        <f>PARTICIPACION('Datos Protegidos'!AC20,PARTIDOS!AD$5)</f>
        <v>0</v>
      </c>
      <c r="AD20" s="3">
        <v>0</v>
      </c>
      <c r="AE20" s="3">
        <f>PARTICIPACION('Datos Protegidos'!AE20,PARTIDOS!AF$5)</f>
        <v>0</v>
      </c>
      <c r="AF20" s="3">
        <v>0</v>
      </c>
      <c r="AG20" s="3">
        <f>PARTICIPACION('Datos Protegidos'!AG20,PARTIDOS!AH$5)</f>
        <v>0</v>
      </c>
      <c r="AH20" s="3">
        <v>0</v>
      </c>
      <c r="AI20" s="3">
        <f>PARTICIPACION('Datos Protegidos'!AI20,PARTIDOS!AJ$5)</f>
        <v>0</v>
      </c>
      <c r="AJ20" s="3">
        <v>0</v>
      </c>
      <c r="AK20" s="3">
        <f>PARTICIPACION('Datos Protegidos'!AK20,PARTIDOS!AL$5)</f>
        <v>0</v>
      </c>
      <c r="AL20" s="3">
        <v>0</v>
      </c>
      <c r="AM20" s="3">
        <f>PARTICIPACION('Datos Protegidos'!AM20,PARTIDOS!AN$5)</f>
        <v>542</v>
      </c>
      <c r="AN20" s="3">
        <v>0</v>
      </c>
      <c r="AO20" s="3">
        <f>PARTICIPACION('Datos Protegidos'!AO20,PARTIDOS!AP$5)</f>
        <v>0</v>
      </c>
      <c r="AP20" s="3">
        <v>0</v>
      </c>
      <c r="AQ20" s="3">
        <f>PARTICIPACION('Datos Protegidos'!AQ20,PARTIDOS!AR$5)</f>
        <v>124</v>
      </c>
      <c r="AR20" s="3">
        <v>0</v>
      </c>
      <c r="AS20" s="3">
        <f>PARTICIPACION('Datos Protegidos'!AS20,PARTIDOS!AT$5)</f>
        <v>128</v>
      </c>
      <c r="AT20" s="3">
        <v>0</v>
      </c>
      <c r="AU20" s="3">
        <f>PARTICIPACION('Datos Protegidos'!AU20,PARTIDOS!AV$5)</f>
        <v>0</v>
      </c>
      <c r="AV20" s="3">
        <v>0</v>
      </c>
      <c r="AW20" s="3">
        <f>PARTICIPACION('Datos Protegidos'!AW20,PARTIDOS!AX$5)</f>
        <v>0</v>
      </c>
      <c r="AX20" s="3">
        <v>0</v>
      </c>
      <c r="AY20" s="3">
        <f>PARTICIPACION('Datos Protegidos'!AY20,PARTIDOS!AZ$5)</f>
        <v>0</v>
      </c>
      <c r="AZ20" s="3">
        <v>0</v>
      </c>
      <c r="BA20" s="3">
        <f>PARTICIPACION('Datos Protegidos'!BA20,PARTIDOS!BB$5)</f>
        <v>87</v>
      </c>
      <c r="BB20" s="3">
        <v>0</v>
      </c>
      <c r="BC20" s="3">
        <f>PARTICIPACION('Datos Protegidos'!BC20,PARTIDOS!BD$5)</f>
        <v>69</v>
      </c>
      <c r="BD20" s="3">
        <v>0</v>
      </c>
      <c r="BE20" s="3">
        <f>PARTICIPACION('Datos Protegidos'!BE20,PARTIDOS!BF$5)</f>
        <v>0</v>
      </c>
      <c r="BF20" s="3">
        <v>0</v>
      </c>
      <c r="BG20" s="3">
        <f>PARTICIPACION('Datos Protegidos'!BG20,PARTIDOS!BH$5)</f>
        <v>0</v>
      </c>
      <c r="BH20" s="3">
        <v>0</v>
      </c>
      <c r="BI20" s="3">
        <f>PARTICIPACION('Datos Protegidos'!BI20,PARTIDOS!BJ$5)</f>
        <v>0</v>
      </c>
      <c r="BJ20" s="3">
        <v>0</v>
      </c>
      <c r="BK20" s="3">
        <f>PARTICIPACION('Datos Protegidos'!BK20,PARTIDOS!BL$5)</f>
        <v>0</v>
      </c>
      <c r="BL20" s="3">
        <v>0</v>
      </c>
      <c r="BM20" s="3">
        <f>PARTICIPACION('Datos Protegidos'!BM20,PARTIDOS!BN$5)</f>
        <v>0</v>
      </c>
      <c r="BN20" s="3">
        <v>0</v>
      </c>
      <c r="BO20" s="3">
        <f>PARTICIPACION('Datos Protegidos'!BO20,PARTIDOS!BP$5)</f>
        <v>0</v>
      </c>
      <c r="BP20" s="3">
        <v>0</v>
      </c>
      <c r="BQ20" s="3">
        <f>PARTICIPACION('Datos Protegidos'!BQ20,PARTIDOS!BR$5)</f>
        <v>0</v>
      </c>
      <c r="BR20" s="3">
        <v>0</v>
      </c>
      <c r="BS20" s="3">
        <f>PARTICIPACION('Datos Protegidos'!BS20,PARTIDOS!BT$5)</f>
        <v>0</v>
      </c>
      <c r="BT20" s="3">
        <v>0</v>
      </c>
      <c r="BU20" s="3">
        <f>PARTICIPACION('Datos Protegidos'!BU20,PARTIDOS!BV$5)</f>
        <v>0</v>
      </c>
      <c r="BV20" s="3">
        <v>0</v>
      </c>
      <c r="BW20" s="3">
        <f>PARTICIPACION('Datos Protegidos'!BW20,PARTIDOS!BX$5)</f>
        <v>0</v>
      </c>
      <c r="BX20" s="3">
        <v>0</v>
      </c>
      <c r="BY20" s="3">
        <f>PARTICIPACION('Datos Protegidos'!BY20,PARTIDOS!BZ$5)</f>
        <v>0</v>
      </c>
      <c r="BZ20" s="3">
        <v>0</v>
      </c>
      <c r="CA20" s="3">
        <f>PARTICIPACION('Datos Protegidos'!CA20,PARTIDOS!CB$5)</f>
        <v>0</v>
      </c>
      <c r="CB20" s="3">
        <v>0</v>
      </c>
      <c r="CC20" s="3">
        <f>PARTICIPACION('Datos Protegidos'!CC20,PARTIDOS!CD$5)</f>
        <v>0</v>
      </c>
      <c r="CD20" s="3">
        <v>0</v>
      </c>
      <c r="CE20" s="3">
        <f>PARTICIPACION('Datos Protegidos'!CE20,PARTIDOS!CF$5)</f>
        <v>0</v>
      </c>
      <c r="CF20" s="3">
        <v>0</v>
      </c>
      <c r="CG20" s="3">
        <f>PARTICIPACION('Datos Protegidos'!CG20,PARTIDOS!CH$5)</f>
        <v>0</v>
      </c>
      <c r="CH20" s="3">
        <v>0</v>
      </c>
      <c r="CI20" s="3">
        <f>PARTICIPACION('Datos Protegidos'!CI20,PARTIDOS!CJ$5)</f>
        <v>0</v>
      </c>
      <c r="CJ20" s="3">
        <v>0</v>
      </c>
      <c r="CK20" s="3">
        <f>PARTICIPACION('Datos Protegidos'!CK20,PARTIDOS!CL$5)</f>
        <v>0</v>
      </c>
      <c r="CL20" s="3">
        <v>0</v>
      </c>
      <c r="CM20" s="3">
        <f>PARTICIPACION('Datos Protegidos'!CM20,PARTIDOS!CN$5)</f>
        <v>0</v>
      </c>
      <c r="CN20" s="3">
        <v>0</v>
      </c>
      <c r="CO20" s="3">
        <f>PARTICIPACION('Datos Protegidos'!CO20,PARTIDOS!CP$5)</f>
        <v>0</v>
      </c>
      <c r="CP20" s="3">
        <v>0</v>
      </c>
      <c r="CQ20" s="3">
        <f>PARTICIPACION('Datos Protegidos'!CQ20,PARTIDOS!CR$5)</f>
        <v>0</v>
      </c>
      <c r="CR20" s="3">
        <v>0</v>
      </c>
      <c r="CS20" s="3">
        <f>PARTICIPACION('Datos Protegidos'!CS20,PARTIDOS!CT$5)</f>
        <v>46</v>
      </c>
      <c r="CT20" s="3">
        <v>0</v>
      </c>
      <c r="CU20" s="3">
        <f>PARTICIPACION('Datos Protegidos'!CU20,PARTIDOS!CV$5)</f>
        <v>0</v>
      </c>
      <c r="CV20" s="3">
        <v>0</v>
      </c>
      <c r="CW20" s="3">
        <f>PARTICIPACION('Datos Protegidos'!CW20,PARTIDOS!CX$5)</f>
        <v>0</v>
      </c>
      <c r="CX20" s="3">
        <v>0</v>
      </c>
      <c r="CY20" s="3">
        <f>PARTICIPACION('Datos Protegidos'!CY20,PARTIDOS!CZ$5)</f>
        <v>0</v>
      </c>
      <c r="CZ20" s="3">
        <v>0</v>
      </c>
      <c r="DA20" s="3">
        <f>PARTICIPACION('Datos Protegidos'!DA20,PARTIDOS!DB$5)</f>
        <v>0</v>
      </c>
      <c r="DB20" s="3">
        <v>0</v>
      </c>
      <c r="DC20" s="3">
        <f>PARTICIPACION('Datos Protegidos'!DC20,PARTIDOS!DD$5)</f>
        <v>0</v>
      </c>
      <c r="DD20" s="3">
        <v>0</v>
      </c>
      <c r="DE20" s="3">
        <f>PARTICIPACION('Datos Protegidos'!DE20,PARTIDOS!DF$5)</f>
        <v>0</v>
      </c>
      <c r="DF20" s="3">
        <v>0</v>
      </c>
      <c r="DG20" s="3">
        <f>PARTICIPACION('Datos Protegidos'!DG20,PARTIDOS!DH$5)</f>
        <v>0</v>
      </c>
      <c r="DH20" s="3">
        <v>0</v>
      </c>
      <c r="DI20" s="3">
        <f>PARTICIPACION('Datos Protegidos'!DI20,PARTIDOS!DJ$5)</f>
        <v>0</v>
      </c>
      <c r="DJ20" s="3">
        <v>0</v>
      </c>
      <c r="DK20" s="3">
        <f>PARTICIPACION('Datos Protegidos'!DK20,PARTIDOS!DL$5)</f>
        <v>0</v>
      </c>
      <c r="DL20" s="3">
        <v>0</v>
      </c>
      <c r="DM20" s="3">
        <f>PARTICIPACION('Datos Protegidos'!DM20,PARTIDOS!DN$5)</f>
        <v>0</v>
      </c>
      <c r="DN20" s="3">
        <v>0</v>
      </c>
      <c r="DO20" s="3">
        <f>PARTICIPACION('Datos Protegidos'!DO20,PARTIDOS!DP$5)</f>
        <v>0</v>
      </c>
      <c r="DP20" s="3">
        <v>0</v>
      </c>
      <c r="DQ20" s="3">
        <f>PARTICIPACION('Datos Protegidos'!DQ20,PARTIDOS!DR$5)</f>
        <v>0</v>
      </c>
      <c r="DR20" s="3">
        <v>0</v>
      </c>
      <c r="DS20" s="3">
        <f>PARTICIPACION('Datos Protegidos'!DS20,PARTIDOS!DT$5)</f>
        <v>0</v>
      </c>
      <c r="DT20" s="3">
        <v>0</v>
      </c>
      <c r="DU20" s="3">
        <f>PARTICIPACION('Datos Protegidos'!DU20,PARTIDOS!DV$5)</f>
        <v>0</v>
      </c>
      <c r="DV20" s="3">
        <v>0</v>
      </c>
      <c r="DW20" s="3">
        <f>PARTICIPACION('Datos Protegidos'!DW20,PARTIDOS!DX$5)</f>
        <v>0</v>
      </c>
      <c r="DX20" s="3">
        <v>0</v>
      </c>
      <c r="DY20" s="3">
        <f>PARTICIPACION('Datos Protegidos'!DY20,PARTIDOS!DZ$5)</f>
        <v>0</v>
      </c>
      <c r="DZ20" s="3">
        <v>0</v>
      </c>
      <c r="EA20" s="3">
        <f>PARTICIPACION('Datos Protegidos'!EA20,PARTIDOS!EB$5)</f>
        <v>0</v>
      </c>
      <c r="EB20" s="3">
        <v>0</v>
      </c>
      <c r="EC20" s="3">
        <f>PARTICIPACION('Datos Protegidos'!EC20,PARTIDOS!ED$5)</f>
        <v>0</v>
      </c>
      <c r="ED20" s="3">
        <v>0</v>
      </c>
    </row>
    <row r="21" spans="1:134" x14ac:dyDescent="0.25">
      <c r="A21" s="3">
        <f>PARTICIPACION('Datos Protegidos'!A21,PARTIDOS!B$5)</f>
        <v>43225</v>
      </c>
      <c r="B21" s="3">
        <v>1</v>
      </c>
      <c r="C21" s="3">
        <f>PARTICIPACION('Datos Protegidos'!C21,PARTIDOS!D$5)</f>
        <v>31051</v>
      </c>
      <c r="D21" s="3">
        <v>1</v>
      </c>
      <c r="E21" s="3">
        <f>PARTICIPACION('Datos Protegidos'!E21,PARTIDOS!F$5)</f>
        <v>32316</v>
      </c>
      <c r="F21" s="3">
        <v>1</v>
      </c>
      <c r="G21" s="3">
        <f>PARTICIPACION('Datos Protegidos'!G21,PARTIDOS!H$5)</f>
        <v>15641</v>
      </c>
      <c r="H21" s="3">
        <v>0</v>
      </c>
      <c r="I21" s="3">
        <f>PARTICIPACION('Datos Protegidos'!I21,PARTIDOS!J$5)</f>
        <v>0</v>
      </c>
      <c r="J21" s="3">
        <v>0</v>
      </c>
      <c r="K21" s="3">
        <f>PARTICIPACION('Datos Protegidos'!K21,PARTIDOS!L$5)</f>
        <v>10169</v>
      </c>
      <c r="L21" s="3">
        <v>0</v>
      </c>
      <c r="M21" s="3">
        <f>PARTICIPACION('Datos Protegidos'!M21,PARTIDOS!N$5)</f>
        <v>0</v>
      </c>
      <c r="N21" s="3">
        <v>0</v>
      </c>
      <c r="O21" s="3">
        <f>PARTICIPACION('Datos Protegidos'!O21,PARTIDOS!P$5)</f>
        <v>0</v>
      </c>
      <c r="P21" s="3">
        <v>0</v>
      </c>
      <c r="Q21" s="3">
        <f>PARTICIPACION('Datos Protegidos'!Q21,PARTIDOS!R$5)</f>
        <v>0</v>
      </c>
      <c r="R21" s="3">
        <v>0</v>
      </c>
      <c r="S21" s="3">
        <f>PARTICIPACION('Datos Protegidos'!S21,PARTIDOS!T$5)</f>
        <v>0</v>
      </c>
      <c r="T21" s="3">
        <v>0</v>
      </c>
      <c r="U21" s="3">
        <f>PARTICIPACION('Datos Protegidos'!U21,PARTIDOS!V$5)</f>
        <v>0</v>
      </c>
      <c r="V21" s="3">
        <v>0</v>
      </c>
      <c r="W21" s="3">
        <f>PARTICIPACION('Datos Protegidos'!W21,PARTIDOS!X$5)</f>
        <v>0</v>
      </c>
      <c r="X21" s="3">
        <v>0</v>
      </c>
      <c r="Y21" s="3">
        <f>PARTICIPACION('Datos Protegidos'!Y21,PARTIDOS!Z$5)</f>
        <v>0</v>
      </c>
      <c r="Z21" s="3">
        <v>0</v>
      </c>
      <c r="AA21" s="3">
        <f>PARTICIPACION('Datos Protegidos'!AA21,PARTIDOS!AB$5)</f>
        <v>0</v>
      </c>
      <c r="AB21" s="3">
        <v>0</v>
      </c>
      <c r="AC21" s="3">
        <f>PARTICIPACION('Datos Protegidos'!AC21,PARTIDOS!AD$5)</f>
        <v>0</v>
      </c>
      <c r="AD21" s="3">
        <v>0</v>
      </c>
      <c r="AE21" s="3">
        <f>PARTICIPACION('Datos Protegidos'!AE21,PARTIDOS!AF$5)</f>
        <v>0</v>
      </c>
      <c r="AF21" s="3">
        <v>0</v>
      </c>
      <c r="AG21" s="3">
        <f>PARTICIPACION('Datos Protegidos'!AG21,PARTIDOS!AH$5)</f>
        <v>0</v>
      </c>
      <c r="AH21" s="3">
        <v>0</v>
      </c>
      <c r="AI21" s="3">
        <f>PARTICIPACION('Datos Protegidos'!AI21,PARTIDOS!AJ$5)</f>
        <v>0</v>
      </c>
      <c r="AJ21" s="3">
        <v>0</v>
      </c>
      <c r="AK21" s="3">
        <f>PARTICIPACION('Datos Protegidos'!AK21,PARTIDOS!AL$5)</f>
        <v>0</v>
      </c>
      <c r="AL21" s="3">
        <v>0</v>
      </c>
      <c r="AM21" s="3">
        <f>PARTICIPACION('Datos Protegidos'!AM21,PARTIDOS!AN$5)</f>
        <v>1259</v>
      </c>
      <c r="AN21" s="3">
        <v>0</v>
      </c>
      <c r="AO21" s="3">
        <f>PARTICIPACION('Datos Protegidos'!AO21,PARTIDOS!AP$5)</f>
        <v>0</v>
      </c>
      <c r="AP21" s="3">
        <v>0</v>
      </c>
      <c r="AQ21" s="3">
        <f>PARTICIPACION('Datos Protegidos'!AQ21,PARTIDOS!AR$5)</f>
        <v>285</v>
      </c>
      <c r="AR21" s="3">
        <v>0</v>
      </c>
      <c r="AS21" s="3">
        <f>PARTICIPACION('Datos Protegidos'!AS21,PARTIDOS!AT$5)</f>
        <v>282</v>
      </c>
      <c r="AT21" s="3">
        <v>0</v>
      </c>
      <c r="AU21" s="3">
        <f>PARTICIPACION('Datos Protegidos'!AU21,PARTIDOS!AV$5)</f>
        <v>0</v>
      </c>
      <c r="AV21" s="3">
        <v>0</v>
      </c>
      <c r="AW21" s="3">
        <f>PARTICIPACION('Datos Protegidos'!AW21,PARTIDOS!AX$5)</f>
        <v>0</v>
      </c>
      <c r="AX21" s="3">
        <v>0</v>
      </c>
      <c r="AY21" s="3">
        <f>PARTICIPACION('Datos Protegidos'!AY21,PARTIDOS!AZ$5)</f>
        <v>0</v>
      </c>
      <c r="AZ21" s="3">
        <v>0</v>
      </c>
      <c r="BA21" s="3">
        <f>PARTICIPACION('Datos Protegidos'!BA21,PARTIDOS!BB$5)</f>
        <v>91</v>
      </c>
      <c r="BB21" s="3">
        <v>0</v>
      </c>
      <c r="BC21" s="3">
        <f>PARTICIPACION('Datos Protegidos'!BC21,PARTIDOS!BD$5)</f>
        <v>111</v>
      </c>
      <c r="BD21" s="3">
        <v>0</v>
      </c>
      <c r="BE21" s="3">
        <f>PARTICIPACION('Datos Protegidos'!BE21,PARTIDOS!BF$5)</f>
        <v>0</v>
      </c>
      <c r="BF21" s="3">
        <v>0</v>
      </c>
      <c r="BG21" s="3">
        <f>PARTICIPACION('Datos Protegidos'!BG21,PARTIDOS!BH$5)</f>
        <v>0</v>
      </c>
      <c r="BH21" s="3">
        <v>0</v>
      </c>
      <c r="BI21" s="3">
        <f>PARTICIPACION('Datos Protegidos'!BI21,PARTIDOS!BJ$5)</f>
        <v>204</v>
      </c>
      <c r="BJ21" s="3">
        <v>0</v>
      </c>
      <c r="BK21" s="3">
        <f>PARTICIPACION('Datos Protegidos'!BK21,PARTIDOS!BL$5)</f>
        <v>0</v>
      </c>
      <c r="BL21" s="3">
        <v>0</v>
      </c>
      <c r="BM21" s="3">
        <f>PARTICIPACION('Datos Protegidos'!BM21,PARTIDOS!BN$5)</f>
        <v>0</v>
      </c>
      <c r="BN21" s="3">
        <v>0</v>
      </c>
      <c r="BO21" s="3">
        <f>PARTICIPACION('Datos Protegidos'!BO21,PARTIDOS!BP$5)</f>
        <v>0</v>
      </c>
      <c r="BP21" s="3">
        <v>0</v>
      </c>
      <c r="BQ21" s="3">
        <f>PARTICIPACION('Datos Protegidos'!BQ21,PARTIDOS!BR$5)</f>
        <v>0</v>
      </c>
      <c r="BR21" s="3">
        <v>0</v>
      </c>
      <c r="BS21" s="3">
        <f>PARTICIPACION('Datos Protegidos'!BS21,PARTIDOS!BT$5)</f>
        <v>0</v>
      </c>
      <c r="BT21" s="3">
        <v>0</v>
      </c>
      <c r="BU21" s="3">
        <f>PARTICIPACION('Datos Protegidos'!BU21,PARTIDOS!BV$5)</f>
        <v>0</v>
      </c>
      <c r="BV21" s="3">
        <v>0</v>
      </c>
      <c r="BW21" s="3">
        <f>PARTICIPACION('Datos Protegidos'!BW21,PARTIDOS!BX$5)</f>
        <v>0</v>
      </c>
      <c r="BX21" s="3">
        <v>0</v>
      </c>
      <c r="BY21" s="3">
        <f>PARTICIPACION('Datos Protegidos'!BY21,PARTIDOS!BZ$5)</f>
        <v>0</v>
      </c>
      <c r="BZ21" s="3">
        <v>0</v>
      </c>
      <c r="CA21" s="3">
        <f>PARTICIPACION('Datos Protegidos'!CA21,PARTIDOS!CB$5)</f>
        <v>0</v>
      </c>
      <c r="CB21" s="3">
        <v>0</v>
      </c>
      <c r="CC21" s="3">
        <f>PARTICIPACION('Datos Protegidos'!CC21,PARTIDOS!CD$5)</f>
        <v>0</v>
      </c>
      <c r="CD21" s="3">
        <v>0</v>
      </c>
      <c r="CE21" s="3">
        <f>PARTICIPACION('Datos Protegidos'!CE21,PARTIDOS!CF$5)</f>
        <v>0</v>
      </c>
      <c r="CF21" s="3">
        <v>0</v>
      </c>
      <c r="CG21" s="3">
        <f>PARTICIPACION('Datos Protegidos'!CG21,PARTIDOS!CH$5)</f>
        <v>0</v>
      </c>
      <c r="CH21" s="3">
        <v>0</v>
      </c>
      <c r="CI21" s="3">
        <f>PARTICIPACION('Datos Protegidos'!CI21,PARTIDOS!CJ$5)</f>
        <v>0</v>
      </c>
      <c r="CJ21" s="3">
        <v>0</v>
      </c>
      <c r="CK21" s="3">
        <f>PARTICIPACION('Datos Protegidos'!CK21,PARTIDOS!CL$5)</f>
        <v>0</v>
      </c>
      <c r="CL21" s="3">
        <v>0</v>
      </c>
      <c r="CM21" s="3">
        <f>PARTICIPACION('Datos Protegidos'!CM21,PARTIDOS!CN$5)</f>
        <v>0</v>
      </c>
      <c r="CN21" s="3">
        <v>0</v>
      </c>
      <c r="CO21" s="3">
        <f>PARTICIPACION('Datos Protegidos'!CO21,PARTIDOS!CP$5)</f>
        <v>0</v>
      </c>
      <c r="CP21" s="3">
        <v>0</v>
      </c>
      <c r="CQ21" s="3">
        <f>PARTICIPACION('Datos Protegidos'!CQ21,PARTIDOS!CR$5)</f>
        <v>232</v>
      </c>
      <c r="CR21" s="3">
        <v>0</v>
      </c>
      <c r="CS21" s="3">
        <f>PARTICIPACION('Datos Protegidos'!CS21,PARTIDOS!CT$5)</f>
        <v>0</v>
      </c>
      <c r="CT21" s="3">
        <v>0</v>
      </c>
      <c r="CU21" s="3">
        <f>PARTICIPACION('Datos Protegidos'!CU21,PARTIDOS!CV$5)</f>
        <v>0</v>
      </c>
      <c r="CV21" s="3">
        <v>0</v>
      </c>
      <c r="CW21" s="3">
        <f>PARTICIPACION('Datos Protegidos'!CW21,PARTIDOS!CX$5)</f>
        <v>0</v>
      </c>
      <c r="CX21" s="3">
        <v>0</v>
      </c>
      <c r="CY21" s="3">
        <f>PARTICIPACION('Datos Protegidos'!CY21,PARTIDOS!CZ$5)</f>
        <v>0</v>
      </c>
      <c r="CZ21" s="3">
        <v>0</v>
      </c>
      <c r="DA21" s="3">
        <f>PARTICIPACION('Datos Protegidos'!DA21,PARTIDOS!DB$5)</f>
        <v>0</v>
      </c>
      <c r="DB21" s="3">
        <v>0</v>
      </c>
      <c r="DC21" s="3">
        <f>PARTICIPACION('Datos Protegidos'!DC21,PARTIDOS!DD$5)</f>
        <v>0</v>
      </c>
      <c r="DD21" s="3">
        <v>0</v>
      </c>
      <c r="DE21" s="3">
        <f>PARTICIPACION('Datos Protegidos'!DE21,PARTIDOS!DF$5)</f>
        <v>0</v>
      </c>
      <c r="DF21" s="3">
        <v>0</v>
      </c>
      <c r="DG21" s="3">
        <f>PARTICIPACION('Datos Protegidos'!DG21,PARTIDOS!DH$5)</f>
        <v>191</v>
      </c>
      <c r="DH21" s="3">
        <v>0</v>
      </c>
      <c r="DI21" s="3">
        <f>PARTICIPACION('Datos Protegidos'!DI21,PARTIDOS!DJ$5)</f>
        <v>0</v>
      </c>
      <c r="DJ21" s="3">
        <v>0</v>
      </c>
      <c r="DK21" s="3">
        <f>PARTICIPACION('Datos Protegidos'!DK21,PARTIDOS!DL$5)</f>
        <v>0</v>
      </c>
      <c r="DL21" s="3">
        <v>0</v>
      </c>
      <c r="DM21" s="3">
        <f>PARTICIPACION('Datos Protegidos'!DM21,PARTIDOS!DN$5)</f>
        <v>0</v>
      </c>
      <c r="DN21" s="3">
        <v>0</v>
      </c>
      <c r="DO21" s="3">
        <f>PARTICIPACION('Datos Protegidos'!DO21,PARTIDOS!DP$5)</f>
        <v>0</v>
      </c>
      <c r="DP21" s="3">
        <v>0</v>
      </c>
      <c r="DQ21" s="3">
        <f>PARTICIPACION('Datos Protegidos'!DQ21,PARTIDOS!DR$5)</f>
        <v>0</v>
      </c>
      <c r="DR21" s="3">
        <v>0</v>
      </c>
      <c r="DS21" s="3">
        <f>PARTICIPACION('Datos Protegidos'!DS21,PARTIDOS!DT$5)</f>
        <v>0</v>
      </c>
      <c r="DT21" s="3">
        <v>0</v>
      </c>
      <c r="DU21" s="3">
        <f>PARTICIPACION('Datos Protegidos'!DU21,PARTIDOS!DV$5)</f>
        <v>0</v>
      </c>
      <c r="DV21" s="3">
        <v>0</v>
      </c>
      <c r="DW21" s="3">
        <f>PARTICIPACION('Datos Protegidos'!DW21,PARTIDOS!DX$5)</f>
        <v>0</v>
      </c>
      <c r="DX21" s="3">
        <v>0</v>
      </c>
      <c r="DY21" s="3">
        <f>PARTICIPACION('Datos Protegidos'!DY21,PARTIDOS!DZ$5)</f>
        <v>0</v>
      </c>
      <c r="DZ21" s="3">
        <v>0</v>
      </c>
      <c r="EA21" s="3">
        <f>PARTICIPACION('Datos Protegidos'!EA21,PARTIDOS!EB$5)</f>
        <v>0</v>
      </c>
      <c r="EB21" s="3">
        <v>0</v>
      </c>
      <c r="EC21" s="3">
        <f>PARTICIPACION('Datos Protegidos'!EC21,PARTIDOS!ED$5)</f>
        <v>0</v>
      </c>
      <c r="ED21" s="3">
        <v>0</v>
      </c>
    </row>
    <row r="22" spans="1:134" x14ac:dyDescent="0.25">
      <c r="A22" s="3">
        <f>PARTICIPACION('Datos Protegidos'!A22,PARTIDOS!B$5)</f>
        <v>122096</v>
      </c>
      <c r="B22" s="3">
        <v>2</v>
      </c>
      <c r="C22" s="3">
        <f>PARTICIPACION('Datos Protegidos'!C22,PARTIDOS!D$5)</f>
        <v>96265</v>
      </c>
      <c r="D22" s="3">
        <v>2</v>
      </c>
      <c r="E22" s="3">
        <f>PARTICIPACION('Datos Protegidos'!E22,PARTIDOS!F$5)</f>
        <v>87769</v>
      </c>
      <c r="F22" s="3">
        <v>2</v>
      </c>
      <c r="G22" s="3">
        <f>PARTICIPACION('Datos Protegidos'!G22,PARTIDOS!H$5)</f>
        <v>36578</v>
      </c>
      <c r="H22" s="3">
        <v>0</v>
      </c>
      <c r="I22" s="3">
        <f>PARTICIPACION('Datos Protegidos'!I22,PARTIDOS!J$5)</f>
        <v>0</v>
      </c>
      <c r="J22" s="3">
        <v>0</v>
      </c>
      <c r="K22" s="3">
        <f>PARTICIPACION('Datos Protegidos'!K22,PARTIDOS!L$5)</f>
        <v>24871</v>
      </c>
      <c r="L22" s="3">
        <v>0</v>
      </c>
      <c r="M22" s="3">
        <f>PARTICIPACION('Datos Protegidos'!M22,PARTIDOS!N$5)</f>
        <v>0</v>
      </c>
      <c r="N22" s="3">
        <v>0</v>
      </c>
      <c r="O22" s="3">
        <f>PARTICIPACION('Datos Protegidos'!O22,PARTIDOS!P$5)</f>
        <v>0</v>
      </c>
      <c r="P22" s="3">
        <v>0</v>
      </c>
      <c r="Q22" s="3">
        <f>PARTICIPACION('Datos Protegidos'!Q22,PARTIDOS!R$5)</f>
        <v>0</v>
      </c>
      <c r="R22" s="3">
        <v>0</v>
      </c>
      <c r="S22" s="3">
        <f>PARTICIPACION('Datos Protegidos'!S22,PARTIDOS!T$5)</f>
        <v>0</v>
      </c>
      <c r="T22" s="3">
        <v>0</v>
      </c>
      <c r="U22" s="3">
        <f>PARTICIPACION('Datos Protegidos'!U22,PARTIDOS!V$5)</f>
        <v>0</v>
      </c>
      <c r="V22" s="3">
        <v>0</v>
      </c>
      <c r="W22" s="3">
        <f>PARTICIPACION('Datos Protegidos'!W22,PARTIDOS!X$5)</f>
        <v>0</v>
      </c>
      <c r="X22" s="3">
        <v>0</v>
      </c>
      <c r="Y22" s="3">
        <f>PARTICIPACION('Datos Protegidos'!Y22,PARTIDOS!Z$5)</f>
        <v>0</v>
      </c>
      <c r="Z22" s="3">
        <v>0</v>
      </c>
      <c r="AA22" s="3">
        <f>PARTICIPACION('Datos Protegidos'!AA22,PARTIDOS!AB$5)</f>
        <v>0</v>
      </c>
      <c r="AB22" s="3">
        <v>0</v>
      </c>
      <c r="AC22" s="3">
        <f>PARTICIPACION('Datos Protegidos'!AC22,PARTIDOS!AD$5)</f>
        <v>0</v>
      </c>
      <c r="AD22" s="3">
        <v>0</v>
      </c>
      <c r="AE22" s="3">
        <f>PARTICIPACION('Datos Protegidos'!AE22,PARTIDOS!AF$5)</f>
        <v>0</v>
      </c>
      <c r="AF22" s="3">
        <v>0</v>
      </c>
      <c r="AG22" s="3">
        <f>PARTICIPACION('Datos Protegidos'!AG22,PARTIDOS!AH$5)</f>
        <v>0</v>
      </c>
      <c r="AH22" s="3">
        <v>0</v>
      </c>
      <c r="AI22" s="3">
        <f>PARTICIPACION('Datos Protegidos'!AI22,PARTIDOS!AJ$5)</f>
        <v>0</v>
      </c>
      <c r="AJ22" s="3">
        <v>0</v>
      </c>
      <c r="AK22" s="3">
        <f>PARTICIPACION('Datos Protegidos'!AK22,PARTIDOS!AL$5)</f>
        <v>0</v>
      </c>
      <c r="AL22" s="3">
        <v>0</v>
      </c>
      <c r="AM22" s="3">
        <f>PARTICIPACION('Datos Protegidos'!AM22,PARTIDOS!AN$5)</f>
        <v>2666</v>
      </c>
      <c r="AN22" s="3">
        <v>0</v>
      </c>
      <c r="AO22" s="3">
        <f>PARTICIPACION('Datos Protegidos'!AO22,PARTIDOS!AP$5)</f>
        <v>0</v>
      </c>
      <c r="AP22" s="3">
        <v>0</v>
      </c>
      <c r="AQ22" s="3">
        <f>PARTICIPACION('Datos Protegidos'!AQ22,PARTIDOS!AR$5)</f>
        <v>553</v>
      </c>
      <c r="AR22" s="3">
        <v>0</v>
      </c>
      <c r="AS22" s="3">
        <f>PARTICIPACION('Datos Protegidos'!AS22,PARTIDOS!AT$5)</f>
        <v>657</v>
      </c>
      <c r="AT22" s="3">
        <v>0</v>
      </c>
      <c r="AU22" s="3">
        <f>PARTICIPACION('Datos Protegidos'!AU22,PARTIDOS!AV$5)</f>
        <v>0</v>
      </c>
      <c r="AV22" s="3">
        <v>0</v>
      </c>
      <c r="AW22" s="3">
        <f>PARTICIPACION('Datos Protegidos'!AW22,PARTIDOS!AX$5)</f>
        <v>0</v>
      </c>
      <c r="AX22" s="3">
        <v>0</v>
      </c>
      <c r="AY22" s="3">
        <f>PARTICIPACION('Datos Protegidos'!AY22,PARTIDOS!AZ$5)</f>
        <v>0</v>
      </c>
      <c r="AZ22" s="3">
        <v>0</v>
      </c>
      <c r="BA22" s="3">
        <f>PARTICIPACION('Datos Protegidos'!BA22,PARTIDOS!BB$5)</f>
        <v>296</v>
      </c>
      <c r="BB22" s="3">
        <v>0</v>
      </c>
      <c r="BC22" s="3">
        <f>PARTICIPACION('Datos Protegidos'!BC22,PARTIDOS!BD$5)</f>
        <v>227</v>
      </c>
      <c r="BD22" s="3">
        <v>0</v>
      </c>
      <c r="BE22" s="3">
        <f>PARTICIPACION('Datos Protegidos'!BE22,PARTIDOS!BF$5)</f>
        <v>0</v>
      </c>
      <c r="BF22" s="3">
        <v>0</v>
      </c>
      <c r="BG22" s="3">
        <f>PARTICIPACION('Datos Protegidos'!BG22,PARTIDOS!BH$5)</f>
        <v>0</v>
      </c>
      <c r="BH22" s="3">
        <v>0</v>
      </c>
      <c r="BI22" s="3">
        <f>PARTICIPACION('Datos Protegidos'!BI22,PARTIDOS!BJ$5)</f>
        <v>0</v>
      </c>
      <c r="BJ22" s="3">
        <v>0</v>
      </c>
      <c r="BK22" s="3">
        <f>PARTICIPACION('Datos Protegidos'!BK22,PARTIDOS!BL$5)</f>
        <v>0</v>
      </c>
      <c r="BL22" s="3">
        <v>0</v>
      </c>
      <c r="BM22" s="3">
        <f>PARTICIPACION('Datos Protegidos'!BM22,PARTIDOS!BN$5)</f>
        <v>0</v>
      </c>
      <c r="BN22" s="3">
        <v>0</v>
      </c>
      <c r="BO22" s="3">
        <f>PARTICIPACION('Datos Protegidos'!BO22,PARTIDOS!BP$5)</f>
        <v>0</v>
      </c>
      <c r="BP22" s="3">
        <v>0</v>
      </c>
      <c r="BQ22" s="3">
        <f>PARTICIPACION('Datos Protegidos'!BQ22,PARTIDOS!BR$5)</f>
        <v>0</v>
      </c>
      <c r="BR22" s="3">
        <v>0</v>
      </c>
      <c r="BS22" s="3">
        <f>PARTICIPACION('Datos Protegidos'!BS22,PARTIDOS!BT$5)</f>
        <v>0</v>
      </c>
      <c r="BT22" s="3">
        <v>0</v>
      </c>
      <c r="BU22" s="3">
        <f>PARTICIPACION('Datos Protegidos'!BU22,PARTIDOS!BV$5)</f>
        <v>0</v>
      </c>
      <c r="BV22" s="3">
        <v>0</v>
      </c>
      <c r="BW22" s="3">
        <f>PARTICIPACION('Datos Protegidos'!BW22,PARTIDOS!BX$5)</f>
        <v>0</v>
      </c>
      <c r="BX22" s="3">
        <v>0</v>
      </c>
      <c r="BY22" s="3">
        <f>PARTICIPACION('Datos Protegidos'!BY22,PARTIDOS!BZ$5)</f>
        <v>0</v>
      </c>
      <c r="BZ22" s="3">
        <v>0</v>
      </c>
      <c r="CA22" s="3">
        <f>PARTICIPACION('Datos Protegidos'!CA22,PARTIDOS!CB$5)</f>
        <v>0</v>
      </c>
      <c r="CB22" s="3">
        <v>0</v>
      </c>
      <c r="CC22" s="3">
        <f>PARTICIPACION('Datos Protegidos'!CC22,PARTIDOS!CD$5)</f>
        <v>0</v>
      </c>
      <c r="CD22" s="3">
        <v>0</v>
      </c>
      <c r="CE22" s="3">
        <f>PARTICIPACION('Datos Protegidos'!CE22,PARTIDOS!CF$5)</f>
        <v>0</v>
      </c>
      <c r="CF22" s="3">
        <v>0</v>
      </c>
      <c r="CG22" s="3">
        <f>PARTICIPACION('Datos Protegidos'!CG22,PARTIDOS!CH$5)</f>
        <v>0</v>
      </c>
      <c r="CH22" s="3">
        <v>0</v>
      </c>
      <c r="CI22" s="3">
        <f>PARTICIPACION('Datos Protegidos'!CI22,PARTIDOS!CJ$5)</f>
        <v>0</v>
      </c>
      <c r="CJ22" s="3">
        <v>0</v>
      </c>
      <c r="CK22" s="3">
        <f>PARTICIPACION('Datos Protegidos'!CK22,PARTIDOS!CL$5)</f>
        <v>0</v>
      </c>
      <c r="CL22" s="3">
        <v>0</v>
      </c>
      <c r="CM22" s="3">
        <f>PARTICIPACION('Datos Protegidos'!CM22,PARTIDOS!CN$5)</f>
        <v>0</v>
      </c>
      <c r="CN22" s="3">
        <v>0</v>
      </c>
      <c r="CO22" s="3">
        <f>PARTICIPACION('Datos Protegidos'!CO22,PARTIDOS!CP$5)</f>
        <v>0</v>
      </c>
      <c r="CP22" s="3">
        <v>0</v>
      </c>
      <c r="CQ22" s="3">
        <f>PARTICIPACION('Datos Protegidos'!CQ22,PARTIDOS!CR$5)</f>
        <v>0</v>
      </c>
      <c r="CR22" s="3">
        <v>0</v>
      </c>
      <c r="CS22" s="3">
        <f>PARTICIPACION('Datos Protegidos'!CS22,PARTIDOS!CT$5)</f>
        <v>0</v>
      </c>
      <c r="CT22" s="3">
        <v>0</v>
      </c>
      <c r="CU22" s="3">
        <f>PARTICIPACION('Datos Protegidos'!CU22,PARTIDOS!CV$5)</f>
        <v>0</v>
      </c>
      <c r="CV22" s="3">
        <v>0</v>
      </c>
      <c r="CW22" s="3">
        <f>PARTICIPACION('Datos Protegidos'!CW22,PARTIDOS!CX$5)</f>
        <v>0</v>
      </c>
      <c r="CX22" s="3">
        <v>0</v>
      </c>
      <c r="CY22" s="3">
        <f>PARTICIPACION('Datos Protegidos'!CY22,PARTIDOS!CZ$5)</f>
        <v>0</v>
      </c>
      <c r="CZ22" s="3">
        <v>0</v>
      </c>
      <c r="DA22" s="3">
        <f>PARTICIPACION('Datos Protegidos'!DA22,PARTIDOS!DB$5)</f>
        <v>0</v>
      </c>
      <c r="DB22" s="3">
        <v>0</v>
      </c>
      <c r="DC22" s="3">
        <f>PARTICIPACION('Datos Protegidos'!DC22,PARTIDOS!DD$5)</f>
        <v>0</v>
      </c>
      <c r="DD22" s="3">
        <v>0</v>
      </c>
      <c r="DE22" s="3">
        <f>PARTICIPACION('Datos Protegidos'!DE22,PARTIDOS!DF$5)</f>
        <v>0</v>
      </c>
      <c r="DF22" s="3">
        <v>0</v>
      </c>
      <c r="DG22" s="3">
        <f>PARTICIPACION('Datos Protegidos'!DG22,PARTIDOS!DH$5)</f>
        <v>0</v>
      </c>
      <c r="DH22" s="3">
        <v>0</v>
      </c>
      <c r="DI22" s="3">
        <f>PARTICIPACION('Datos Protegidos'!DI22,PARTIDOS!DJ$5)</f>
        <v>0</v>
      </c>
      <c r="DJ22" s="3">
        <v>0</v>
      </c>
      <c r="DK22" s="3">
        <f>PARTICIPACION('Datos Protegidos'!DK22,PARTIDOS!DL$5)</f>
        <v>0</v>
      </c>
      <c r="DL22" s="3">
        <v>0</v>
      </c>
      <c r="DM22" s="3">
        <f>PARTICIPACION('Datos Protegidos'!DM22,PARTIDOS!DN$5)</f>
        <v>0</v>
      </c>
      <c r="DN22" s="3">
        <v>0</v>
      </c>
      <c r="DO22" s="3">
        <f>PARTICIPACION('Datos Protegidos'!DO22,PARTIDOS!DP$5)</f>
        <v>0</v>
      </c>
      <c r="DP22" s="3">
        <v>0</v>
      </c>
      <c r="DQ22" s="3">
        <f>PARTICIPACION('Datos Protegidos'!DQ22,PARTIDOS!DR$5)</f>
        <v>0</v>
      </c>
      <c r="DR22" s="3">
        <v>0</v>
      </c>
      <c r="DS22" s="3">
        <f>PARTICIPACION('Datos Protegidos'!DS22,PARTIDOS!DT$5)</f>
        <v>0</v>
      </c>
      <c r="DT22" s="3">
        <v>0</v>
      </c>
      <c r="DU22" s="3">
        <f>PARTICIPACION('Datos Protegidos'!DU22,PARTIDOS!DV$5)</f>
        <v>0</v>
      </c>
      <c r="DV22" s="3">
        <v>0</v>
      </c>
      <c r="DW22" s="3">
        <f>PARTICIPACION('Datos Protegidos'!DW22,PARTIDOS!DX$5)</f>
        <v>0</v>
      </c>
      <c r="DX22" s="3">
        <v>0</v>
      </c>
      <c r="DY22" s="3">
        <f>PARTICIPACION('Datos Protegidos'!DY22,PARTIDOS!DZ$5)</f>
        <v>0</v>
      </c>
      <c r="DZ22" s="3">
        <v>0</v>
      </c>
      <c r="EA22" s="3">
        <f>PARTICIPACION('Datos Protegidos'!EA22,PARTIDOS!EB$5)</f>
        <v>0</v>
      </c>
      <c r="EB22" s="3">
        <v>0</v>
      </c>
      <c r="EC22" s="3">
        <f>PARTICIPACION('Datos Protegidos'!EC22,PARTIDOS!ED$5)</f>
        <v>0</v>
      </c>
      <c r="ED22" s="3">
        <v>0</v>
      </c>
    </row>
    <row r="23" spans="1:134" x14ac:dyDescent="0.25">
      <c r="A23" s="3">
        <f>PARTICIPACION('Datos Protegidos'!A23,PARTIDOS!B$5)</f>
        <v>25697</v>
      </c>
      <c r="B23" s="3">
        <v>1</v>
      </c>
      <c r="C23" s="3">
        <f>PARTICIPACION('Datos Protegidos'!C23,PARTIDOS!D$5)</f>
        <v>33177</v>
      </c>
      <c r="D23" s="3">
        <v>1</v>
      </c>
      <c r="E23" s="3">
        <f>PARTICIPACION('Datos Protegidos'!E23,PARTIDOS!F$5)</f>
        <v>17659</v>
      </c>
      <c r="F23" s="3">
        <v>1</v>
      </c>
      <c r="G23" s="3">
        <f>PARTICIPACION('Datos Protegidos'!G23,PARTIDOS!H$5)</f>
        <v>6361</v>
      </c>
      <c r="H23" s="3">
        <v>0</v>
      </c>
      <c r="I23" s="3">
        <f>PARTICIPACION('Datos Protegidos'!I23,PARTIDOS!J$5)</f>
        <v>0</v>
      </c>
      <c r="J23" s="3">
        <v>0</v>
      </c>
      <c r="K23" s="3">
        <f>PARTICIPACION('Datos Protegidos'!K23,PARTIDOS!L$5)</f>
        <v>6119</v>
      </c>
      <c r="L23" s="3">
        <v>0</v>
      </c>
      <c r="M23" s="3">
        <f>PARTICIPACION('Datos Protegidos'!M23,PARTIDOS!N$5)</f>
        <v>0</v>
      </c>
      <c r="N23" s="3">
        <v>0</v>
      </c>
      <c r="O23" s="3">
        <f>PARTICIPACION('Datos Protegidos'!O23,PARTIDOS!P$5)</f>
        <v>0</v>
      </c>
      <c r="P23" s="3">
        <v>0</v>
      </c>
      <c r="Q23" s="3">
        <f>PARTICIPACION('Datos Protegidos'!Q23,PARTIDOS!R$5)</f>
        <v>0</v>
      </c>
      <c r="R23" s="3">
        <v>0</v>
      </c>
      <c r="S23" s="3">
        <f>PARTICIPACION('Datos Protegidos'!S23,PARTIDOS!T$5)</f>
        <v>0</v>
      </c>
      <c r="T23" s="3">
        <v>0</v>
      </c>
      <c r="U23" s="3">
        <f>PARTICIPACION('Datos Protegidos'!U23,PARTIDOS!V$5)</f>
        <v>0</v>
      </c>
      <c r="V23" s="3">
        <v>0</v>
      </c>
      <c r="W23" s="3">
        <f>PARTICIPACION('Datos Protegidos'!W23,PARTIDOS!X$5)</f>
        <v>0</v>
      </c>
      <c r="X23" s="3">
        <v>0</v>
      </c>
      <c r="Y23" s="3">
        <f>PARTICIPACION('Datos Protegidos'!Y23,PARTIDOS!Z$5)</f>
        <v>0</v>
      </c>
      <c r="Z23" s="3">
        <v>0</v>
      </c>
      <c r="AA23" s="3">
        <f>PARTICIPACION('Datos Protegidos'!AA23,PARTIDOS!AB$5)</f>
        <v>0</v>
      </c>
      <c r="AB23" s="3">
        <v>0</v>
      </c>
      <c r="AC23" s="3">
        <f>PARTICIPACION('Datos Protegidos'!AC23,PARTIDOS!AD$5)</f>
        <v>0</v>
      </c>
      <c r="AD23" s="3">
        <v>0</v>
      </c>
      <c r="AE23" s="3">
        <f>PARTICIPACION('Datos Protegidos'!AE23,PARTIDOS!AF$5)</f>
        <v>0</v>
      </c>
      <c r="AF23" s="3">
        <v>0</v>
      </c>
      <c r="AG23" s="3">
        <f>PARTICIPACION('Datos Protegidos'!AG23,PARTIDOS!AH$5)</f>
        <v>0</v>
      </c>
      <c r="AH23" s="3">
        <v>0</v>
      </c>
      <c r="AI23" s="3">
        <f>PARTICIPACION('Datos Protegidos'!AI23,PARTIDOS!AJ$5)</f>
        <v>0</v>
      </c>
      <c r="AJ23" s="3">
        <v>0</v>
      </c>
      <c r="AK23" s="3">
        <f>PARTICIPACION('Datos Protegidos'!AK23,PARTIDOS!AL$5)</f>
        <v>0</v>
      </c>
      <c r="AL23" s="3">
        <v>0</v>
      </c>
      <c r="AM23" s="3">
        <f>PARTICIPACION('Datos Protegidos'!AM23,PARTIDOS!AN$5)</f>
        <v>429</v>
      </c>
      <c r="AN23" s="3">
        <v>0</v>
      </c>
      <c r="AO23" s="3">
        <f>PARTICIPACION('Datos Protegidos'!AO23,PARTIDOS!AP$5)</f>
        <v>0</v>
      </c>
      <c r="AP23" s="3">
        <v>0</v>
      </c>
      <c r="AQ23" s="3">
        <f>PARTICIPACION('Datos Protegidos'!AQ23,PARTIDOS!AR$5)</f>
        <v>104</v>
      </c>
      <c r="AR23" s="3">
        <v>0</v>
      </c>
      <c r="AS23" s="3">
        <f>PARTICIPACION('Datos Protegidos'!AS23,PARTIDOS!AT$5)</f>
        <v>101</v>
      </c>
      <c r="AT23" s="3">
        <v>0</v>
      </c>
      <c r="AU23" s="3">
        <f>PARTICIPACION('Datos Protegidos'!AU23,PARTIDOS!AV$5)</f>
        <v>0</v>
      </c>
      <c r="AV23" s="3">
        <v>0</v>
      </c>
      <c r="AW23" s="3">
        <f>PARTICIPACION('Datos Protegidos'!AW23,PARTIDOS!AX$5)</f>
        <v>0</v>
      </c>
      <c r="AX23" s="3">
        <v>0</v>
      </c>
      <c r="AY23" s="3">
        <f>PARTICIPACION('Datos Protegidos'!AY23,PARTIDOS!AZ$5)</f>
        <v>0</v>
      </c>
      <c r="AZ23" s="3">
        <v>0</v>
      </c>
      <c r="BA23" s="3">
        <f>PARTICIPACION('Datos Protegidos'!BA23,PARTIDOS!BB$5)</f>
        <v>0</v>
      </c>
      <c r="BB23" s="3">
        <v>0</v>
      </c>
      <c r="BC23" s="3">
        <f>PARTICIPACION('Datos Protegidos'!BC23,PARTIDOS!BD$5)</f>
        <v>106</v>
      </c>
      <c r="BD23" s="3">
        <v>0</v>
      </c>
      <c r="BE23" s="3">
        <f>PARTICIPACION('Datos Protegidos'!BE23,PARTIDOS!BF$5)</f>
        <v>0</v>
      </c>
      <c r="BF23" s="3">
        <v>0</v>
      </c>
      <c r="BG23" s="3">
        <f>PARTICIPACION('Datos Protegidos'!BG23,PARTIDOS!BH$5)</f>
        <v>0</v>
      </c>
      <c r="BH23" s="3">
        <v>0</v>
      </c>
      <c r="BI23" s="3">
        <f>PARTICIPACION('Datos Protegidos'!BI23,PARTIDOS!BJ$5)</f>
        <v>0</v>
      </c>
      <c r="BJ23" s="3">
        <v>0</v>
      </c>
      <c r="BK23" s="3">
        <f>PARTICIPACION('Datos Protegidos'!BK23,PARTIDOS!BL$5)</f>
        <v>0</v>
      </c>
      <c r="BL23" s="3">
        <v>0</v>
      </c>
      <c r="BM23" s="3">
        <f>PARTICIPACION('Datos Protegidos'!BM23,PARTIDOS!BN$5)</f>
        <v>0</v>
      </c>
      <c r="BN23" s="3">
        <v>0</v>
      </c>
      <c r="BO23" s="3">
        <f>PARTICIPACION('Datos Protegidos'!BO23,PARTIDOS!BP$5)</f>
        <v>0</v>
      </c>
      <c r="BP23" s="3">
        <v>0</v>
      </c>
      <c r="BQ23" s="3">
        <f>PARTICIPACION('Datos Protegidos'!BQ23,PARTIDOS!BR$5)</f>
        <v>5388</v>
      </c>
      <c r="BR23" s="3">
        <v>0</v>
      </c>
      <c r="BS23" s="3">
        <f>PARTICIPACION('Datos Protegidos'!BS23,PARTIDOS!BT$5)</f>
        <v>0</v>
      </c>
      <c r="BT23" s="3">
        <v>0</v>
      </c>
      <c r="BU23" s="3">
        <f>PARTICIPACION('Datos Protegidos'!BU23,PARTIDOS!BV$5)</f>
        <v>0</v>
      </c>
      <c r="BV23" s="3">
        <v>0</v>
      </c>
      <c r="BW23" s="3">
        <f>PARTICIPACION('Datos Protegidos'!BW23,PARTIDOS!BX$5)</f>
        <v>0</v>
      </c>
      <c r="BX23" s="3">
        <v>0</v>
      </c>
      <c r="BY23" s="3">
        <f>PARTICIPACION('Datos Protegidos'!BY23,PARTIDOS!BZ$5)</f>
        <v>0</v>
      </c>
      <c r="BZ23" s="3">
        <v>0</v>
      </c>
      <c r="CA23" s="3">
        <f>PARTICIPACION('Datos Protegidos'!CA23,PARTIDOS!CB$5)</f>
        <v>0</v>
      </c>
      <c r="CB23" s="3">
        <v>0</v>
      </c>
      <c r="CC23" s="3">
        <f>PARTICIPACION('Datos Protegidos'!CC23,PARTIDOS!CD$5)</f>
        <v>0</v>
      </c>
      <c r="CD23" s="3">
        <v>0</v>
      </c>
      <c r="CE23" s="3">
        <f>PARTICIPACION('Datos Protegidos'!CE23,PARTIDOS!CF$5)</f>
        <v>0</v>
      </c>
      <c r="CF23" s="3">
        <v>0</v>
      </c>
      <c r="CG23" s="3">
        <f>PARTICIPACION('Datos Protegidos'!CG23,PARTIDOS!CH$5)</f>
        <v>0</v>
      </c>
      <c r="CH23" s="3">
        <v>0</v>
      </c>
      <c r="CI23" s="3">
        <f>PARTICIPACION('Datos Protegidos'!CI23,PARTIDOS!CJ$5)</f>
        <v>0</v>
      </c>
      <c r="CJ23" s="3">
        <v>0</v>
      </c>
      <c r="CK23" s="3">
        <f>PARTICIPACION('Datos Protegidos'!CK23,PARTIDOS!CL$5)</f>
        <v>0</v>
      </c>
      <c r="CL23" s="3">
        <v>0</v>
      </c>
      <c r="CM23" s="3">
        <f>PARTICIPACION('Datos Protegidos'!CM23,PARTIDOS!CN$5)</f>
        <v>0</v>
      </c>
      <c r="CN23" s="3">
        <v>0</v>
      </c>
      <c r="CO23" s="3">
        <f>PARTICIPACION('Datos Protegidos'!CO23,PARTIDOS!CP$5)</f>
        <v>0</v>
      </c>
      <c r="CP23" s="3">
        <v>0</v>
      </c>
      <c r="CQ23" s="3">
        <f>PARTICIPACION('Datos Protegidos'!CQ23,PARTIDOS!CR$5)</f>
        <v>0</v>
      </c>
      <c r="CR23" s="3">
        <v>0</v>
      </c>
      <c r="CS23" s="3">
        <f>PARTICIPACION('Datos Protegidos'!CS23,PARTIDOS!CT$5)</f>
        <v>31</v>
      </c>
      <c r="CT23" s="3">
        <v>0</v>
      </c>
      <c r="CU23" s="3">
        <f>PARTICIPACION('Datos Protegidos'!CU23,PARTIDOS!CV$5)</f>
        <v>0</v>
      </c>
      <c r="CV23" s="3">
        <v>0</v>
      </c>
      <c r="CW23" s="3">
        <f>PARTICIPACION('Datos Protegidos'!CW23,PARTIDOS!CX$5)</f>
        <v>0</v>
      </c>
      <c r="CX23" s="3">
        <v>0</v>
      </c>
      <c r="CY23" s="3">
        <f>PARTICIPACION('Datos Protegidos'!CY23,PARTIDOS!CZ$5)</f>
        <v>0</v>
      </c>
      <c r="CZ23" s="3">
        <v>0</v>
      </c>
      <c r="DA23" s="3">
        <f>PARTICIPACION('Datos Protegidos'!DA23,PARTIDOS!DB$5)</f>
        <v>0</v>
      </c>
      <c r="DB23" s="3">
        <v>0</v>
      </c>
      <c r="DC23" s="3">
        <f>PARTICIPACION('Datos Protegidos'!DC23,PARTIDOS!DD$5)</f>
        <v>0</v>
      </c>
      <c r="DD23" s="3">
        <v>0</v>
      </c>
      <c r="DE23" s="3">
        <f>PARTICIPACION('Datos Protegidos'!DE23,PARTIDOS!DF$5)</f>
        <v>0</v>
      </c>
      <c r="DF23" s="3">
        <v>0</v>
      </c>
      <c r="DG23" s="3">
        <f>PARTICIPACION('Datos Protegidos'!DG23,PARTIDOS!DH$5)</f>
        <v>62</v>
      </c>
      <c r="DH23" s="3">
        <v>0</v>
      </c>
      <c r="DI23" s="3">
        <f>PARTICIPACION('Datos Protegidos'!DI23,PARTIDOS!DJ$5)</f>
        <v>0</v>
      </c>
      <c r="DJ23" s="3">
        <v>0</v>
      </c>
      <c r="DK23" s="3">
        <f>PARTICIPACION('Datos Protegidos'!DK23,PARTIDOS!DL$5)</f>
        <v>0</v>
      </c>
      <c r="DL23" s="3">
        <v>0</v>
      </c>
      <c r="DM23" s="3">
        <f>PARTICIPACION('Datos Protegidos'!DM23,PARTIDOS!DN$5)</f>
        <v>0</v>
      </c>
      <c r="DN23" s="3">
        <v>0</v>
      </c>
      <c r="DO23" s="3">
        <f>PARTICIPACION('Datos Protegidos'!DO23,PARTIDOS!DP$5)</f>
        <v>0</v>
      </c>
      <c r="DP23" s="3">
        <v>0</v>
      </c>
      <c r="DQ23" s="3">
        <f>PARTICIPACION('Datos Protegidos'!DQ23,PARTIDOS!DR$5)</f>
        <v>0</v>
      </c>
      <c r="DR23" s="3">
        <v>0</v>
      </c>
      <c r="DS23" s="3">
        <f>PARTICIPACION('Datos Protegidos'!DS23,PARTIDOS!DT$5)</f>
        <v>0</v>
      </c>
      <c r="DT23" s="3">
        <v>0</v>
      </c>
      <c r="DU23" s="3">
        <f>PARTICIPACION('Datos Protegidos'!DU23,PARTIDOS!DV$5)</f>
        <v>0</v>
      </c>
      <c r="DV23" s="3">
        <v>0</v>
      </c>
      <c r="DW23" s="3">
        <f>PARTICIPACION('Datos Protegidos'!DW23,PARTIDOS!DX$5)</f>
        <v>0</v>
      </c>
      <c r="DX23" s="3">
        <v>0</v>
      </c>
      <c r="DY23" s="3">
        <f>PARTICIPACION('Datos Protegidos'!DY23,PARTIDOS!DZ$5)</f>
        <v>0</v>
      </c>
      <c r="DZ23" s="3">
        <v>0</v>
      </c>
      <c r="EA23" s="3">
        <f>PARTICIPACION('Datos Protegidos'!EA23,PARTIDOS!EB$5)</f>
        <v>0</v>
      </c>
      <c r="EB23" s="3">
        <v>0</v>
      </c>
      <c r="EC23" s="3">
        <f>PARTICIPACION('Datos Protegidos'!EC23,PARTIDOS!ED$5)</f>
        <v>0</v>
      </c>
      <c r="ED23" s="3">
        <v>0</v>
      </c>
    </row>
    <row r="24" spans="1:134" x14ac:dyDescent="0.25">
      <c r="A24" s="3">
        <f>PARTICIPACION('Datos Protegidos'!A24,PARTIDOS!B$5)</f>
        <v>67391</v>
      </c>
      <c r="B24" s="3">
        <v>2</v>
      </c>
      <c r="C24" s="3">
        <f>PARTICIPACION('Datos Protegidos'!C24,PARTIDOS!D$5)</f>
        <v>62452</v>
      </c>
      <c r="D24" s="3">
        <v>2</v>
      </c>
      <c r="E24" s="3">
        <f>PARTICIPACION('Datos Protegidos'!E24,PARTIDOS!F$5)</f>
        <v>30170</v>
      </c>
      <c r="F24" s="3">
        <v>0</v>
      </c>
      <c r="G24" s="3">
        <f>PARTICIPACION('Datos Protegidos'!G24,PARTIDOS!H$5)</f>
        <v>23160</v>
      </c>
      <c r="H24" s="3">
        <v>0</v>
      </c>
      <c r="I24" s="3">
        <f>PARTICIPACION('Datos Protegidos'!I24,PARTIDOS!J$5)</f>
        <v>0</v>
      </c>
      <c r="J24" s="3">
        <v>0</v>
      </c>
      <c r="K24" s="3">
        <f>PARTICIPACION('Datos Protegidos'!K24,PARTIDOS!L$5)</f>
        <v>16214</v>
      </c>
      <c r="L24" s="3">
        <v>0</v>
      </c>
      <c r="M24" s="3">
        <f>PARTICIPACION('Datos Protegidos'!M24,PARTIDOS!N$5)</f>
        <v>0</v>
      </c>
      <c r="N24" s="3">
        <v>0</v>
      </c>
      <c r="O24" s="3">
        <f>PARTICIPACION('Datos Protegidos'!O24,PARTIDOS!P$5)</f>
        <v>0</v>
      </c>
      <c r="P24" s="3">
        <v>0</v>
      </c>
      <c r="Q24" s="3">
        <f>PARTICIPACION('Datos Protegidos'!Q24,PARTIDOS!R$5)</f>
        <v>0</v>
      </c>
      <c r="R24" s="3">
        <v>0</v>
      </c>
      <c r="S24" s="3">
        <f>PARTICIPACION('Datos Protegidos'!S24,PARTIDOS!T$5)</f>
        <v>0</v>
      </c>
      <c r="T24" s="3">
        <v>0</v>
      </c>
      <c r="U24" s="3">
        <f>PARTICIPACION('Datos Protegidos'!U24,PARTIDOS!V$5)</f>
        <v>0</v>
      </c>
      <c r="V24" s="3">
        <v>0</v>
      </c>
      <c r="W24" s="3">
        <f>PARTICIPACION('Datos Protegidos'!W24,PARTIDOS!X$5)</f>
        <v>0</v>
      </c>
      <c r="X24" s="3">
        <v>0</v>
      </c>
      <c r="Y24" s="3">
        <f>PARTICIPACION('Datos Protegidos'!Y24,PARTIDOS!Z$5)</f>
        <v>0</v>
      </c>
      <c r="Z24" s="3">
        <v>0</v>
      </c>
      <c r="AA24" s="3">
        <f>PARTICIPACION('Datos Protegidos'!AA24,PARTIDOS!AB$5)</f>
        <v>0</v>
      </c>
      <c r="AB24" s="3">
        <v>0</v>
      </c>
      <c r="AC24" s="3">
        <f>PARTICIPACION('Datos Protegidos'!AC24,PARTIDOS!AD$5)</f>
        <v>0</v>
      </c>
      <c r="AD24" s="3">
        <v>0</v>
      </c>
      <c r="AE24" s="3">
        <f>PARTICIPACION('Datos Protegidos'!AE24,PARTIDOS!AF$5)</f>
        <v>0</v>
      </c>
      <c r="AF24" s="3">
        <v>0</v>
      </c>
      <c r="AG24" s="3">
        <f>PARTICIPACION('Datos Protegidos'!AG24,PARTIDOS!AH$5)</f>
        <v>0</v>
      </c>
      <c r="AH24" s="3">
        <v>0</v>
      </c>
      <c r="AI24" s="3">
        <f>PARTICIPACION('Datos Protegidos'!AI24,PARTIDOS!AJ$5)</f>
        <v>0</v>
      </c>
      <c r="AJ24" s="3">
        <v>0</v>
      </c>
      <c r="AK24" s="3">
        <f>PARTICIPACION('Datos Protegidos'!AK24,PARTIDOS!AL$5)</f>
        <v>0</v>
      </c>
      <c r="AL24" s="3">
        <v>0</v>
      </c>
      <c r="AM24" s="3">
        <f>PARTICIPACION('Datos Protegidos'!AM24,PARTIDOS!AN$5)</f>
        <v>1407</v>
      </c>
      <c r="AN24" s="3">
        <v>0</v>
      </c>
      <c r="AO24" s="3">
        <f>PARTICIPACION('Datos Protegidos'!AO24,PARTIDOS!AP$5)</f>
        <v>0</v>
      </c>
      <c r="AP24" s="3">
        <v>0</v>
      </c>
      <c r="AQ24" s="3">
        <f>PARTICIPACION('Datos Protegidos'!AQ24,PARTIDOS!AR$5)</f>
        <v>641</v>
      </c>
      <c r="AR24" s="3">
        <v>0</v>
      </c>
      <c r="AS24" s="3">
        <f>PARTICIPACION('Datos Protegidos'!AS24,PARTIDOS!AT$5)</f>
        <v>616</v>
      </c>
      <c r="AT24" s="3">
        <v>0</v>
      </c>
      <c r="AU24" s="3">
        <f>PARTICIPACION('Datos Protegidos'!AU24,PARTIDOS!AV$5)</f>
        <v>0</v>
      </c>
      <c r="AV24" s="3">
        <v>0</v>
      </c>
      <c r="AW24" s="3">
        <f>PARTICIPACION('Datos Protegidos'!AW24,PARTIDOS!AX$5)</f>
        <v>0</v>
      </c>
      <c r="AX24" s="3">
        <v>0</v>
      </c>
      <c r="AY24" s="3">
        <f>PARTICIPACION('Datos Protegidos'!AY24,PARTIDOS!AZ$5)</f>
        <v>0</v>
      </c>
      <c r="AZ24" s="3">
        <v>0</v>
      </c>
      <c r="BA24" s="3">
        <f>PARTICIPACION('Datos Protegidos'!BA24,PARTIDOS!BB$5)</f>
        <v>0</v>
      </c>
      <c r="BB24" s="3">
        <v>0</v>
      </c>
      <c r="BC24" s="3">
        <f>PARTICIPACION('Datos Protegidos'!BC24,PARTIDOS!BD$5)</f>
        <v>424</v>
      </c>
      <c r="BD24" s="3">
        <v>0</v>
      </c>
      <c r="BE24" s="3">
        <f>PARTICIPACION('Datos Protegidos'!BE24,PARTIDOS!BF$5)</f>
        <v>0</v>
      </c>
      <c r="BF24" s="3">
        <v>0</v>
      </c>
      <c r="BG24" s="3">
        <f>PARTICIPACION('Datos Protegidos'!BG24,PARTIDOS!BH$5)</f>
        <v>0</v>
      </c>
      <c r="BH24" s="3">
        <v>0</v>
      </c>
      <c r="BI24" s="3">
        <f>PARTICIPACION('Datos Protegidos'!BI24,PARTIDOS!BJ$5)</f>
        <v>0</v>
      </c>
      <c r="BJ24" s="3">
        <v>0</v>
      </c>
      <c r="BK24" s="3">
        <f>PARTICIPACION('Datos Protegidos'!BK24,PARTIDOS!BL$5)</f>
        <v>0</v>
      </c>
      <c r="BL24" s="3">
        <v>0</v>
      </c>
      <c r="BM24" s="3">
        <f>PARTICIPACION('Datos Protegidos'!BM24,PARTIDOS!BN$5)</f>
        <v>0</v>
      </c>
      <c r="BN24" s="3">
        <v>0</v>
      </c>
      <c r="BO24" s="3">
        <f>PARTICIPACION('Datos Protegidos'!BO24,PARTIDOS!BP$5)</f>
        <v>0</v>
      </c>
      <c r="BP24" s="3">
        <v>0</v>
      </c>
      <c r="BQ24" s="3">
        <f>PARTICIPACION('Datos Protegidos'!BQ24,PARTIDOS!BR$5)</f>
        <v>0</v>
      </c>
      <c r="BR24" s="3">
        <v>0</v>
      </c>
      <c r="BS24" s="3">
        <f>PARTICIPACION('Datos Protegidos'!BS24,PARTIDOS!BT$5)</f>
        <v>0</v>
      </c>
      <c r="BT24" s="3">
        <v>0</v>
      </c>
      <c r="BU24" s="3">
        <f>PARTICIPACION('Datos Protegidos'!BU24,PARTIDOS!BV$5)</f>
        <v>0</v>
      </c>
      <c r="BV24" s="3">
        <v>0</v>
      </c>
      <c r="BW24" s="3">
        <f>PARTICIPACION('Datos Protegidos'!BW24,PARTIDOS!BX$5)</f>
        <v>0</v>
      </c>
      <c r="BX24" s="3">
        <v>0</v>
      </c>
      <c r="BY24" s="3">
        <f>PARTICIPACION('Datos Protegidos'!BY24,PARTIDOS!BZ$5)</f>
        <v>0</v>
      </c>
      <c r="BZ24" s="3">
        <v>0</v>
      </c>
      <c r="CA24" s="3">
        <f>PARTICIPACION('Datos Protegidos'!CA24,PARTIDOS!CB$5)</f>
        <v>0</v>
      </c>
      <c r="CB24" s="3">
        <v>0</v>
      </c>
      <c r="CC24" s="3">
        <f>PARTICIPACION('Datos Protegidos'!CC24,PARTIDOS!CD$5)</f>
        <v>0</v>
      </c>
      <c r="CD24" s="3">
        <v>0</v>
      </c>
      <c r="CE24" s="3">
        <f>PARTICIPACION('Datos Protegidos'!CE24,PARTIDOS!CF$5)</f>
        <v>0</v>
      </c>
      <c r="CF24" s="3">
        <v>0</v>
      </c>
      <c r="CG24" s="3">
        <f>PARTICIPACION('Datos Protegidos'!CG24,PARTIDOS!CH$5)</f>
        <v>0</v>
      </c>
      <c r="CH24" s="3">
        <v>0</v>
      </c>
      <c r="CI24" s="3">
        <f>PARTICIPACION('Datos Protegidos'!CI24,PARTIDOS!CJ$5)</f>
        <v>0</v>
      </c>
      <c r="CJ24" s="3">
        <v>0</v>
      </c>
      <c r="CK24" s="3">
        <f>PARTICIPACION('Datos Protegidos'!CK24,PARTIDOS!CL$5)</f>
        <v>0</v>
      </c>
      <c r="CL24" s="3">
        <v>0</v>
      </c>
      <c r="CM24" s="3">
        <f>PARTICIPACION('Datos Protegidos'!CM24,PARTIDOS!CN$5)</f>
        <v>0</v>
      </c>
      <c r="CN24" s="3">
        <v>0</v>
      </c>
      <c r="CO24" s="3">
        <f>PARTICIPACION('Datos Protegidos'!CO24,PARTIDOS!CP$5)</f>
        <v>0</v>
      </c>
      <c r="CP24" s="3">
        <v>0</v>
      </c>
      <c r="CQ24" s="3">
        <f>PARTICIPACION('Datos Protegidos'!CQ24,PARTIDOS!CR$5)</f>
        <v>0</v>
      </c>
      <c r="CR24" s="3">
        <v>0</v>
      </c>
      <c r="CS24" s="3">
        <f>PARTICIPACION('Datos Protegidos'!CS24,PARTIDOS!CT$5)</f>
        <v>0</v>
      </c>
      <c r="CT24" s="3">
        <v>0</v>
      </c>
      <c r="CU24" s="3">
        <f>PARTICIPACION('Datos Protegidos'!CU24,PARTIDOS!CV$5)</f>
        <v>0</v>
      </c>
      <c r="CV24" s="3">
        <v>0</v>
      </c>
      <c r="CW24" s="3">
        <f>PARTICIPACION('Datos Protegidos'!CW24,PARTIDOS!CX$5)</f>
        <v>0</v>
      </c>
      <c r="CX24" s="3">
        <v>0</v>
      </c>
      <c r="CY24" s="3">
        <f>PARTICIPACION('Datos Protegidos'!CY24,PARTIDOS!CZ$5)</f>
        <v>0</v>
      </c>
      <c r="CZ24" s="3">
        <v>0</v>
      </c>
      <c r="DA24" s="3">
        <f>PARTICIPACION('Datos Protegidos'!DA24,PARTIDOS!DB$5)</f>
        <v>0</v>
      </c>
      <c r="DB24" s="3">
        <v>0</v>
      </c>
      <c r="DC24" s="3">
        <f>PARTICIPACION('Datos Protegidos'!DC24,PARTIDOS!DD$5)</f>
        <v>0</v>
      </c>
      <c r="DD24" s="3">
        <v>0</v>
      </c>
      <c r="DE24" s="3">
        <f>PARTICIPACION('Datos Protegidos'!DE24,PARTIDOS!DF$5)</f>
        <v>0</v>
      </c>
      <c r="DF24" s="3">
        <v>0</v>
      </c>
      <c r="DG24" s="3">
        <f>PARTICIPACION('Datos Protegidos'!DG24,PARTIDOS!DH$5)</f>
        <v>0</v>
      </c>
      <c r="DH24" s="3">
        <v>0</v>
      </c>
      <c r="DI24" s="3">
        <f>PARTICIPACION('Datos Protegidos'!DI24,PARTIDOS!DJ$5)</f>
        <v>0</v>
      </c>
      <c r="DJ24" s="3">
        <v>0</v>
      </c>
      <c r="DK24" s="3">
        <f>PARTICIPACION('Datos Protegidos'!DK24,PARTIDOS!DL$5)</f>
        <v>0</v>
      </c>
      <c r="DL24" s="3">
        <v>0</v>
      </c>
      <c r="DM24" s="3">
        <f>PARTICIPACION('Datos Protegidos'!DM24,PARTIDOS!DN$5)</f>
        <v>0</v>
      </c>
      <c r="DN24" s="3">
        <v>0</v>
      </c>
      <c r="DO24" s="3">
        <f>PARTICIPACION('Datos Protegidos'!DO24,PARTIDOS!DP$5)</f>
        <v>0</v>
      </c>
      <c r="DP24" s="3">
        <v>0</v>
      </c>
      <c r="DQ24" s="3">
        <f>PARTICIPACION('Datos Protegidos'!DQ24,PARTIDOS!DR$5)</f>
        <v>0</v>
      </c>
      <c r="DR24" s="3">
        <v>0</v>
      </c>
      <c r="DS24" s="3">
        <f>PARTICIPACION('Datos Protegidos'!DS24,PARTIDOS!DT$5)</f>
        <v>0</v>
      </c>
      <c r="DT24" s="3">
        <v>0</v>
      </c>
      <c r="DU24" s="3">
        <f>PARTICIPACION('Datos Protegidos'!DU24,PARTIDOS!DV$5)</f>
        <v>0</v>
      </c>
      <c r="DV24" s="3">
        <v>0</v>
      </c>
      <c r="DW24" s="3">
        <f>PARTICIPACION('Datos Protegidos'!DW24,PARTIDOS!DX$5)</f>
        <v>0</v>
      </c>
      <c r="DX24" s="3">
        <v>0</v>
      </c>
      <c r="DY24" s="3">
        <f>PARTICIPACION('Datos Protegidos'!DY24,PARTIDOS!DZ$5)</f>
        <v>0</v>
      </c>
      <c r="DZ24" s="3">
        <v>0</v>
      </c>
      <c r="EA24" s="3">
        <f>PARTICIPACION('Datos Protegidos'!EA24,PARTIDOS!EB$5)</f>
        <v>0</v>
      </c>
      <c r="EB24" s="3">
        <v>0</v>
      </c>
      <c r="EC24" s="3">
        <f>PARTICIPACION('Datos Protegidos'!EC24,PARTIDOS!ED$5)</f>
        <v>0</v>
      </c>
      <c r="ED24" s="3">
        <v>0</v>
      </c>
    </row>
    <row r="25" spans="1:134" x14ac:dyDescent="0.25">
      <c r="A25" s="3">
        <f>PARTICIPACION('Datos Protegidos'!A25,PARTIDOS!B$5)</f>
        <v>92290</v>
      </c>
      <c r="B25" s="3">
        <v>2</v>
      </c>
      <c r="C25" s="3">
        <f>PARTICIPACION('Datos Protegidos'!C25,PARTIDOS!D$5)</f>
        <v>76165</v>
      </c>
      <c r="D25" s="3">
        <v>1</v>
      </c>
      <c r="E25" s="3">
        <f>PARTICIPACION('Datos Protegidos'!E25,PARTIDOS!F$5)</f>
        <v>41701</v>
      </c>
      <c r="F25" s="3">
        <v>1</v>
      </c>
      <c r="G25" s="3">
        <f>PARTICIPACION('Datos Protegidos'!G25,PARTIDOS!H$5)</f>
        <v>28851</v>
      </c>
      <c r="H25" s="3">
        <v>0</v>
      </c>
      <c r="I25" s="3">
        <f>PARTICIPACION('Datos Protegidos'!I25,PARTIDOS!J$5)</f>
        <v>0</v>
      </c>
      <c r="J25" s="3">
        <v>0</v>
      </c>
      <c r="K25" s="3">
        <f>PARTICIPACION('Datos Protegidos'!K25,PARTIDOS!L$5)</f>
        <v>16731</v>
      </c>
      <c r="L25" s="3">
        <v>0</v>
      </c>
      <c r="M25" s="3">
        <f>PARTICIPACION('Datos Protegidos'!M25,PARTIDOS!N$5)</f>
        <v>0</v>
      </c>
      <c r="N25" s="3">
        <v>0</v>
      </c>
      <c r="O25" s="3">
        <f>PARTICIPACION('Datos Protegidos'!O25,PARTIDOS!P$5)</f>
        <v>0</v>
      </c>
      <c r="P25" s="3">
        <v>0</v>
      </c>
      <c r="Q25" s="3">
        <f>PARTICIPACION('Datos Protegidos'!Q25,PARTIDOS!R$5)</f>
        <v>0</v>
      </c>
      <c r="R25" s="3">
        <v>0</v>
      </c>
      <c r="S25" s="3">
        <f>PARTICIPACION('Datos Protegidos'!S25,PARTIDOS!T$5)</f>
        <v>0</v>
      </c>
      <c r="T25" s="3">
        <v>0</v>
      </c>
      <c r="U25" s="3">
        <f>PARTICIPACION('Datos Protegidos'!U25,PARTIDOS!V$5)</f>
        <v>0</v>
      </c>
      <c r="V25" s="3">
        <v>0</v>
      </c>
      <c r="W25" s="3">
        <f>PARTICIPACION('Datos Protegidos'!W25,PARTIDOS!X$5)</f>
        <v>0</v>
      </c>
      <c r="X25" s="3">
        <v>0</v>
      </c>
      <c r="Y25" s="3">
        <f>PARTICIPACION('Datos Protegidos'!Y25,PARTIDOS!Z$5)</f>
        <v>0</v>
      </c>
      <c r="Z25" s="3">
        <v>0</v>
      </c>
      <c r="AA25" s="3">
        <f>PARTICIPACION('Datos Protegidos'!AA25,PARTIDOS!AB$5)</f>
        <v>0</v>
      </c>
      <c r="AB25" s="3">
        <v>0</v>
      </c>
      <c r="AC25" s="3">
        <f>PARTICIPACION('Datos Protegidos'!AC25,PARTIDOS!AD$5)</f>
        <v>0</v>
      </c>
      <c r="AD25" s="3">
        <v>0</v>
      </c>
      <c r="AE25" s="3">
        <f>PARTICIPACION('Datos Protegidos'!AE25,PARTIDOS!AF$5)</f>
        <v>0</v>
      </c>
      <c r="AF25" s="3">
        <v>0</v>
      </c>
      <c r="AG25" s="3">
        <f>PARTICIPACION('Datos Protegidos'!AG25,PARTIDOS!AH$5)</f>
        <v>0</v>
      </c>
      <c r="AH25" s="3">
        <v>0</v>
      </c>
      <c r="AI25" s="3">
        <f>PARTICIPACION('Datos Protegidos'!AI25,PARTIDOS!AJ$5)</f>
        <v>0</v>
      </c>
      <c r="AJ25" s="3">
        <v>0</v>
      </c>
      <c r="AK25" s="3">
        <f>PARTICIPACION('Datos Protegidos'!AK25,PARTIDOS!AL$5)</f>
        <v>0</v>
      </c>
      <c r="AL25" s="3">
        <v>0</v>
      </c>
      <c r="AM25" s="3">
        <f>PARTICIPACION('Datos Protegidos'!AM25,PARTIDOS!AN$5)</f>
        <v>1497</v>
      </c>
      <c r="AN25" s="3">
        <v>0</v>
      </c>
      <c r="AO25" s="3">
        <f>PARTICIPACION('Datos Protegidos'!AO25,PARTIDOS!AP$5)</f>
        <v>0</v>
      </c>
      <c r="AP25" s="3">
        <v>0</v>
      </c>
      <c r="AQ25" s="3">
        <f>PARTICIPACION('Datos Protegidos'!AQ25,PARTIDOS!AR$5)</f>
        <v>177</v>
      </c>
      <c r="AR25" s="3">
        <v>0</v>
      </c>
      <c r="AS25" s="3">
        <f>PARTICIPACION('Datos Protegidos'!AS25,PARTIDOS!AT$5)</f>
        <v>315</v>
      </c>
      <c r="AT25" s="3">
        <v>0</v>
      </c>
      <c r="AU25" s="3">
        <f>PARTICIPACION('Datos Protegidos'!AU25,PARTIDOS!AV$5)</f>
        <v>0</v>
      </c>
      <c r="AV25" s="3">
        <v>0</v>
      </c>
      <c r="AW25" s="3">
        <f>PARTICIPACION('Datos Protegidos'!AW25,PARTIDOS!AX$5)</f>
        <v>0</v>
      </c>
      <c r="AX25" s="3">
        <v>0</v>
      </c>
      <c r="AY25" s="3">
        <f>PARTICIPACION('Datos Protegidos'!AY25,PARTIDOS!AZ$5)</f>
        <v>0</v>
      </c>
      <c r="AZ25" s="3">
        <v>0</v>
      </c>
      <c r="BA25" s="3">
        <f>PARTICIPACION('Datos Protegidos'!BA25,PARTIDOS!BB$5)</f>
        <v>0</v>
      </c>
      <c r="BB25" s="3">
        <v>0</v>
      </c>
      <c r="BC25" s="3">
        <f>PARTICIPACION('Datos Protegidos'!BC25,PARTIDOS!BD$5)</f>
        <v>397</v>
      </c>
      <c r="BD25" s="3">
        <v>0</v>
      </c>
      <c r="BE25" s="3">
        <f>PARTICIPACION('Datos Protegidos'!BE25,PARTIDOS!BF$5)</f>
        <v>0</v>
      </c>
      <c r="BF25" s="3">
        <v>0</v>
      </c>
      <c r="BG25" s="3">
        <f>PARTICIPACION('Datos Protegidos'!BG25,PARTIDOS!BH$5)</f>
        <v>9540</v>
      </c>
      <c r="BH25" s="3">
        <v>0</v>
      </c>
      <c r="BI25" s="3">
        <f>PARTICIPACION('Datos Protegidos'!BI25,PARTIDOS!BJ$5)</f>
        <v>0</v>
      </c>
      <c r="BJ25" s="3">
        <v>0</v>
      </c>
      <c r="BK25" s="3">
        <f>PARTICIPACION('Datos Protegidos'!BK25,PARTIDOS!BL$5)</f>
        <v>0</v>
      </c>
      <c r="BL25" s="3">
        <v>0</v>
      </c>
      <c r="BM25" s="3">
        <f>PARTICIPACION('Datos Protegidos'!BM25,PARTIDOS!BN$5)</f>
        <v>0</v>
      </c>
      <c r="BN25" s="3">
        <v>0</v>
      </c>
      <c r="BO25" s="3">
        <f>PARTICIPACION('Datos Protegidos'!BO25,PARTIDOS!BP$5)</f>
        <v>0</v>
      </c>
      <c r="BP25" s="3">
        <v>0</v>
      </c>
      <c r="BQ25" s="3">
        <f>PARTICIPACION('Datos Protegidos'!BQ25,PARTIDOS!BR$5)</f>
        <v>0</v>
      </c>
      <c r="BR25" s="3">
        <v>0</v>
      </c>
      <c r="BS25" s="3">
        <f>PARTICIPACION('Datos Protegidos'!BS25,PARTIDOS!BT$5)</f>
        <v>0</v>
      </c>
      <c r="BT25" s="3">
        <v>0</v>
      </c>
      <c r="BU25" s="3">
        <f>PARTICIPACION('Datos Protegidos'!BU25,PARTIDOS!BV$5)</f>
        <v>0</v>
      </c>
      <c r="BV25" s="3">
        <v>0</v>
      </c>
      <c r="BW25" s="3">
        <f>PARTICIPACION('Datos Protegidos'!BW25,PARTIDOS!BX$5)</f>
        <v>0</v>
      </c>
      <c r="BX25" s="3">
        <v>0</v>
      </c>
      <c r="BY25" s="3">
        <f>PARTICIPACION('Datos Protegidos'!BY25,PARTIDOS!BZ$5)</f>
        <v>0</v>
      </c>
      <c r="BZ25" s="3">
        <v>0</v>
      </c>
      <c r="CA25" s="3">
        <f>PARTICIPACION('Datos Protegidos'!CA25,PARTIDOS!CB$5)</f>
        <v>0</v>
      </c>
      <c r="CB25" s="3">
        <v>0</v>
      </c>
      <c r="CC25" s="3">
        <f>PARTICIPACION('Datos Protegidos'!CC25,PARTIDOS!CD$5)</f>
        <v>0</v>
      </c>
      <c r="CD25" s="3">
        <v>0</v>
      </c>
      <c r="CE25" s="3">
        <f>PARTICIPACION('Datos Protegidos'!CE25,PARTIDOS!CF$5)</f>
        <v>0</v>
      </c>
      <c r="CF25" s="3">
        <v>0</v>
      </c>
      <c r="CG25" s="3">
        <f>PARTICIPACION('Datos Protegidos'!CG25,PARTIDOS!CH$5)</f>
        <v>0</v>
      </c>
      <c r="CH25" s="3">
        <v>0</v>
      </c>
      <c r="CI25" s="3">
        <f>PARTICIPACION('Datos Protegidos'!CI25,PARTIDOS!CJ$5)</f>
        <v>0</v>
      </c>
      <c r="CJ25" s="3">
        <v>0</v>
      </c>
      <c r="CK25" s="3">
        <f>PARTICIPACION('Datos Protegidos'!CK25,PARTIDOS!CL$5)</f>
        <v>0</v>
      </c>
      <c r="CL25" s="3">
        <v>0</v>
      </c>
      <c r="CM25" s="3">
        <f>PARTICIPACION('Datos Protegidos'!CM25,PARTIDOS!CN$5)</f>
        <v>0</v>
      </c>
      <c r="CN25" s="3">
        <v>0</v>
      </c>
      <c r="CO25" s="3">
        <f>PARTICIPACION('Datos Protegidos'!CO25,PARTIDOS!CP$5)</f>
        <v>0</v>
      </c>
      <c r="CP25" s="3">
        <v>0</v>
      </c>
      <c r="CQ25" s="3">
        <f>PARTICIPACION('Datos Protegidos'!CQ25,PARTIDOS!CR$5)</f>
        <v>0</v>
      </c>
      <c r="CR25" s="3">
        <v>0</v>
      </c>
      <c r="CS25" s="3">
        <f>PARTICIPACION('Datos Protegidos'!CS25,PARTIDOS!CT$5)</f>
        <v>0</v>
      </c>
      <c r="CT25" s="3">
        <v>0</v>
      </c>
      <c r="CU25" s="3">
        <f>PARTICIPACION('Datos Protegidos'!CU25,PARTIDOS!CV$5)</f>
        <v>0</v>
      </c>
      <c r="CV25" s="3">
        <v>0</v>
      </c>
      <c r="CW25" s="3">
        <f>PARTICIPACION('Datos Protegidos'!CW25,PARTIDOS!CX$5)</f>
        <v>0</v>
      </c>
      <c r="CX25" s="3">
        <v>0</v>
      </c>
      <c r="CY25" s="3">
        <f>PARTICIPACION('Datos Protegidos'!CY25,PARTIDOS!CZ$5)</f>
        <v>339</v>
      </c>
      <c r="CZ25" s="3">
        <v>0</v>
      </c>
      <c r="DA25" s="3">
        <f>PARTICIPACION('Datos Protegidos'!DA25,PARTIDOS!DB$5)</f>
        <v>0</v>
      </c>
      <c r="DB25" s="3">
        <v>0</v>
      </c>
      <c r="DC25" s="3">
        <f>PARTICIPACION('Datos Protegidos'!DC25,PARTIDOS!DD$5)</f>
        <v>0</v>
      </c>
      <c r="DD25" s="3">
        <v>0</v>
      </c>
      <c r="DE25" s="3">
        <f>PARTICIPACION('Datos Protegidos'!DE25,PARTIDOS!DF$5)</f>
        <v>0</v>
      </c>
      <c r="DF25" s="3">
        <v>0</v>
      </c>
      <c r="DG25" s="3">
        <f>PARTICIPACION('Datos Protegidos'!DG25,PARTIDOS!DH$5)</f>
        <v>0</v>
      </c>
      <c r="DH25" s="3">
        <v>0</v>
      </c>
      <c r="DI25" s="3">
        <f>PARTICIPACION('Datos Protegidos'!DI25,PARTIDOS!DJ$5)</f>
        <v>0</v>
      </c>
      <c r="DJ25" s="3">
        <v>0</v>
      </c>
      <c r="DK25" s="3">
        <f>PARTICIPACION('Datos Protegidos'!DK25,PARTIDOS!DL$5)</f>
        <v>0</v>
      </c>
      <c r="DL25" s="3">
        <v>0</v>
      </c>
      <c r="DM25" s="3">
        <f>PARTICIPACION('Datos Protegidos'!DM25,PARTIDOS!DN$5)</f>
        <v>0</v>
      </c>
      <c r="DN25" s="3">
        <v>0</v>
      </c>
      <c r="DO25" s="3">
        <f>PARTICIPACION('Datos Protegidos'!DO25,PARTIDOS!DP$5)</f>
        <v>0</v>
      </c>
      <c r="DP25" s="3">
        <v>0</v>
      </c>
      <c r="DQ25" s="3">
        <f>PARTICIPACION('Datos Protegidos'!DQ25,PARTIDOS!DR$5)</f>
        <v>0</v>
      </c>
      <c r="DR25" s="3">
        <v>0</v>
      </c>
      <c r="DS25" s="3">
        <f>PARTICIPACION('Datos Protegidos'!DS25,PARTIDOS!DT$5)</f>
        <v>0</v>
      </c>
      <c r="DT25" s="3">
        <v>0</v>
      </c>
      <c r="DU25" s="3">
        <f>PARTICIPACION('Datos Protegidos'!DU25,PARTIDOS!DV$5)</f>
        <v>0</v>
      </c>
      <c r="DV25" s="3">
        <v>0</v>
      </c>
      <c r="DW25" s="3">
        <f>PARTICIPACION('Datos Protegidos'!DW25,PARTIDOS!DX$5)</f>
        <v>0</v>
      </c>
      <c r="DX25" s="3">
        <v>0</v>
      </c>
      <c r="DY25" s="3">
        <f>PARTICIPACION('Datos Protegidos'!DY25,PARTIDOS!DZ$5)</f>
        <v>0</v>
      </c>
      <c r="DZ25" s="3">
        <v>0</v>
      </c>
      <c r="EA25" s="3">
        <f>PARTICIPACION('Datos Protegidos'!EA25,PARTIDOS!EB$5)</f>
        <v>0</v>
      </c>
      <c r="EB25" s="3">
        <v>0</v>
      </c>
      <c r="EC25" s="3">
        <f>PARTICIPACION('Datos Protegidos'!EC25,PARTIDOS!ED$5)</f>
        <v>0</v>
      </c>
      <c r="ED25" s="3">
        <v>0</v>
      </c>
    </row>
    <row r="26" spans="1:134" x14ac:dyDescent="0.25">
      <c r="A26" s="3">
        <f>PARTICIPACION('Datos Protegidos'!A26,PARTIDOS!B$5)</f>
        <v>33439</v>
      </c>
      <c r="B26" s="3">
        <v>1</v>
      </c>
      <c r="C26" s="3">
        <f>PARTICIPACION('Datos Protegidos'!C26,PARTIDOS!D$5)</f>
        <v>34878</v>
      </c>
      <c r="D26" s="3">
        <v>2</v>
      </c>
      <c r="E26" s="3">
        <f>PARTICIPACION('Datos Protegidos'!E26,PARTIDOS!F$5)</f>
        <v>14092</v>
      </c>
      <c r="F26" s="3">
        <v>0</v>
      </c>
      <c r="G26" s="3">
        <f>PARTICIPACION('Datos Protegidos'!G26,PARTIDOS!H$5)</f>
        <v>8133</v>
      </c>
      <c r="H26" s="3">
        <v>0</v>
      </c>
      <c r="I26" s="3">
        <f>PARTICIPACION('Datos Protegidos'!I26,PARTIDOS!J$5)</f>
        <v>0</v>
      </c>
      <c r="J26" s="3">
        <v>0</v>
      </c>
      <c r="K26" s="3">
        <f>PARTICIPACION('Datos Protegidos'!K26,PARTIDOS!L$5)</f>
        <v>5937</v>
      </c>
      <c r="L26" s="3">
        <v>0</v>
      </c>
      <c r="M26" s="3">
        <f>PARTICIPACION('Datos Protegidos'!M26,PARTIDOS!N$5)</f>
        <v>0</v>
      </c>
      <c r="N26" s="3">
        <v>0</v>
      </c>
      <c r="O26" s="3">
        <f>PARTICIPACION('Datos Protegidos'!O26,PARTIDOS!P$5)</f>
        <v>0</v>
      </c>
      <c r="P26" s="3">
        <v>0</v>
      </c>
      <c r="Q26" s="3">
        <f>PARTICIPACION('Datos Protegidos'!Q26,PARTIDOS!R$5)</f>
        <v>0</v>
      </c>
      <c r="R26" s="3">
        <v>0</v>
      </c>
      <c r="S26" s="3">
        <f>PARTICIPACION('Datos Protegidos'!S26,PARTIDOS!T$5)</f>
        <v>0</v>
      </c>
      <c r="T26" s="3">
        <v>0</v>
      </c>
      <c r="U26" s="3">
        <f>PARTICIPACION('Datos Protegidos'!U26,PARTIDOS!V$5)</f>
        <v>0</v>
      </c>
      <c r="V26" s="3">
        <v>0</v>
      </c>
      <c r="W26" s="3">
        <f>PARTICIPACION('Datos Protegidos'!W26,PARTIDOS!X$5)</f>
        <v>0</v>
      </c>
      <c r="X26" s="3">
        <v>0</v>
      </c>
      <c r="Y26" s="3">
        <f>PARTICIPACION('Datos Protegidos'!Y26,PARTIDOS!Z$5)</f>
        <v>0</v>
      </c>
      <c r="Z26" s="3">
        <v>0</v>
      </c>
      <c r="AA26" s="3">
        <f>PARTICIPACION('Datos Protegidos'!AA26,PARTIDOS!AB$5)</f>
        <v>0</v>
      </c>
      <c r="AB26" s="3">
        <v>0</v>
      </c>
      <c r="AC26" s="3">
        <f>PARTICIPACION('Datos Protegidos'!AC26,PARTIDOS!AD$5)</f>
        <v>0</v>
      </c>
      <c r="AD26" s="3">
        <v>0</v>
      </c>
      <c r="AE26" s="3">
        <f>PARTICIPACION('Datos Protegidos'!AE26,PARTIDOS!AF$5)</f>
        <v>0</v>
      </c>
      <c r="AF26" s="3">
        <v>0</v>
      </c>
      <c r="AG26" s="3">
        <f>PARTICIPACION('Datos Protegidos'!AG26,PARTIDOS!AH$5)</f>
        <v>0</v>
      </c>
      <c r="AH26" s="3">
        <v>0</v>
      </c>
      <c r="AI26" s="3">
        <f>PARTICIPACION('Datos Protegidos'!AI26,PARTIDOS!AJ$5)</f>
        <v>0</v>
      </c>
      <c r="AJ26" s="3">
        <v>0</v>
      </c>
      <c r="AK26" s="3">
        <f>PARTICIPACION('Datos Protegidos'!AK26,PARTIDOS!AL$5)</f>
        <v>0</v>
      </c>
      <c r="AL26" s="3">
        <v>0</v>
      </c>
      <c r="AM26" s="3">
        <f>PARTICIPACION('Datos Protegidos'!AM26,PARTIDOS!AN$5)</f>
        <v>579</v>
      </c>
      <c r="AN26" s="3">
        <v>0</v>
      </c>
      <c r="AO26" s="3">
        <f>PARTICIPACION('Datos Protegidos'!AO26,PARTIDOS!AP$5)</f>
        <v>0</v>
      </c>
      <c r="AP26" s="3">
        <v>0</v>
      </c>
      <c r="AQ26" s="3">
        <f>PARTICIPACION('Datos Protegidos'!AQ26,PARTIDOS!AR$5)</f>
        <v>254</v>
      </c>
      <c r="AR26" s="3">
        <v>0</v>
      </c>
      <c r="AS26" s="3">
        <f>PARTICIPACION('Datos Protegidos'!AS26,PARTIDOS!AT$5)</f>
        <v>207</v>
      </c>
      <c r="AT26" s="3">
        <v>0</v>
      </c>
      <c r="AU26" s="3">
        <f>PARTICIPACION('Datos Protegidos'!AU26,PARTIDOS!AV$5)</f>
        <v>0</v>
      </c>
      <c r="AV26" s="3">
        <v>0</v>
      </c>
      <c r="AW26" s="3">
        <f>PARTICIPACION('Datos Protegidos'!AW26,PARTIDOS!AX$5)</f>
        <v>0</v>
      </c>
      <c r="AX26" s="3">
        <v>0</v>
      </c>
      <c r="AY26" s="3">
        <f>PARTICIPACION('Datos Protegidos'!AY26,PARTIDOS!AZ$5)</f>
        <v>0</v>
      </c>
      <c r="AZ26" s="3">
        <v>0</v>
      </c>
      <c r="BA26" s="3">
        <f>PARTICIPACION('Datos Protegidos'!BA26,PARTIDOS!BB$5)</f>
        <v>0</v>
      </c>
      <c r="BB26" s="3">
        <v>0</v>
      </c>
      <c r="BC26" s="3">
        <f>PARTICIPACION('Datos Protegidos'!BC26,PARTIDOS!BD$5)</f>
        <v>111</v>
      </c>
      <c r="BD26" s="3">
        <v>0</v>
      </c>
      <c r="BE26" s="3">
        <f>PARTICIPACION('Datos Protegidos'!BE26,PARTIDOS!BF$5)</f>
        <v>0</v>
      </c>
      <c r="BF26" s="3">
        <v>0</v>
      </c>
      <c r="BG26" s="3">
        <f>PARTICIPACION('Datos Protegidos'!BG26,PARTIDOS!BH$5)</f>
        <v>0</v>
      </c>
      <c r="BH26" s="3">
        <v>0</v>
      </c>
      <c r="BI26" s="3">
        <f>PARTICIPACION('Datos Protegidos'!BI26,PARTIDOS!BJ$5)</f>
        <v>0</v>
      </c>
      <c r="BJ26" s="3">
        <v>0</v>
      </c>
      <c r="BK26" s="3">
        <f>PARTICIPACION('Datos Protegidos'!BK26,PARTIDOS!BL$5)</f>
        <v>0</v>
      </c>
      <c r="BL26" s="3">
        <v>0</v>
      </c>
      <c r="BM26" s="3">
        <f>PARTICIPACION('Datos Protegidos'!BM26,PARTIDOS!BN$5)</f>
        <v>0</v>
      </c>
      <c r="BN26" s="3">
        <v>0</v>
      </c>
      <c r="BO26" s="3">
        <f>PARTICIPACION('Datos Protegidos'!BO26,PARTIDOS!BP$5)</f>
        <v>0</v>
      </c>
      <c r="BP26" s="3">
        <v>0</v>
      </c>
      <c r="BQ26" s="3">
        <f>PARTICIPACION('Datos Protegidos'!BQ26,PARTIDOS!BR$5)</f>
        <v>0</v>
      </c>
      <c r="BR26" s="3">
        <v>0</v>
      </c>
      <c r="BS26" s="3">
        <f>PARTICIPACION('Datos Protegidos'!BS26,PARTIDOS!BT$5)</f>
        <v>0</v>
      </c>
      <c r="BT26" s="3">
        <v>0</v>
      </c>
      <c r="BU26" s="3">
        <f>PARTICIPACION('Datos Protegidos'!BU26,PARTIDOS!BV$5)</f>
        <v>0</v>
      </c>
      <c r="BV26" s="3">
        <v>0</v>
      </c>
      <c r="BW26" s="3">
        <f>PARTICIPACION('Datos Protegidos'!BW26,PARTIDOS!BX$5)</f>
        <v>0</v>
      </c>
      <c r="BX26" s="3">
        <v>0</v>
      </c>
      <c r="BY26" s="3">
        <f>PARTICIPACION('Datos Protegidos'!BY26,PARTIDOS!BZ$5)</f>
        <v>0</v>
      </c>
      <c r="BZ26" s="3">
        <v>0</v>
      </c>
      <c r="CA26" s="3">
        <f>PARTICIPACION('Datos Protegidos'!CA26,PARTIDOS!CB$5)</f>
        <v>0</v>
      </c>
      <c r="CB26" s="3">
        <v>0</v>
      </c>
      <c r="CC26" s="3">
        <f>PARTICIPACION('Datos Protegidos'!CC26,PARTIDOS!CD$5)</f>
        <v>0</v>
      </c>
      <c r="CD26" s="3">
        <v>0</v>
      </c>
      <c r="CE26" s="3">
        <f>PARTICIPACION('Datos Protegidos'!CE26,PARTIDOS!CF$5)</f>
        <v>0</v>
      </c>
      <c r="CF26" s="3">
        <v>0</v>
      </c>
      <c r="CG26" s="3">
        <f>PARTICIPACION('Datos Protegidos'!CG26,PARTIDOS!CH$5)</f>
        <v>0</v>
      </c>
      <c r="CH26" s="3">
        <v>0</v>
      </c>
      <c r="CI26" s="3">
        <f>PARTICIPACION('Datos Protegidos'!CI26,PARTIDOS!CJ$5)</f>
        <v>0</v>
      </c>
      <c r="CJ26" s="3">
        <v>0</v>
      </c>
      <c r="CK26" s="3">
        <f>PARTICIPACION('Datos Protegidos'!CK26,PARTIDOS!CL$5)</f>
        <v>0</v>
      </c>
      <c r="CL26" s="3">
        <v>0</v>
      </c>
      <c r="CM26" s="3">
        <f>PARTICIPACION('Datos Protegidos'!CM26,PARTIDOS!CN$5)</f>
        <v>0</v>
      </c>
      <c r="CN26" s="3">
        <v>0</v>
      </c>
      <c r="CO26" s="3">
        <f>PARTICIPACION('Datos Protegidos'!CO26,PARTIDOS!CP$5)</f>
        <v>0</v>
      </c>
      <c r="CP26" s="3">
        <v>0</v>
      </c>
      <c r="CQ26" s="3">
        <f>PARTICIPACION('Datos Protegidos'!CQ26,PARTIDOS!CR$5)</f>
        <v>0</v>
      </c>
      <c r="CR26" s="3">
        <v>0</v>
      </c>
      <c r="CS26" s="3">
        <f>PARTICIPACION('Datos Protegidos'!CS26,PARTIDOS!CT$5)</f>
        <v>0</v>
      </c>
      <c r="CT26" s="3">
        <v>0</v>
      </c>
      <c r="CU26" s="3">
        <f>PARTICIPACION('Datos Protegidos'!CU26,PARTIDOS!CV$5)</f>
        <v>0</v>
      </c>
      <c r="CV26" s="3">
        <v>0</v>
      </c>
      <c r="CW26" s="3">
        <f>PARTICIPACION('Datos Protegidos'!CW26,PARTIDOS!CX$5)</f>
        <v>0</v>
      </c>
      <c r="CX26" s="3">
        <v>0</v>
      </c>
      <c r="CY26" s="3">
        <f>PARTICIPACION('Datos Protegidos'!CY26,PARTIDOS!CZ$5)</f>
        <v>0</v>
      </c>
      <c r="CZ26" s="3">
        <v>0</v>
      </c>
      <c r="DA26" s="3">
        <f>PARTICIPACION('Datos Protegidos'!DA26,PARTIDOS!DB$5)</f>
        <v>0</v>
      </c>
      <c r="DB26" s="3">
        <v>0</v>
      </c>
      <c r="DC26" s="3">
        <f>PARTICIPACION('Datos Protegidos'!DC26,PARTIDOS!DD$5)</f>
        <v>0</v>
      </c>
      <c r="DD26" s="3">
        <v>0</v>
      </c>
      <c r="DE26" s="3">
        <f>PARTICIPACION('Datos Protegidos'!DE26,PARTIDOS!DF$5)</f>
        <v>0</v>
      </c>
      <c r="DF26" s="3">
        <v>0</v>
      </c>
      <c r="DG26" s="3">
        <f>PARTICIPACION('Datos Protegidos'!DG26,PARTIDOS!DH$5)</f>
        <v>80</v>
      </c>
      <c r="DH26" s="3">
        <v>0</v>
      </c>
      <c r="DI26" s="3">
        <f>PARTICIPACION('Datos Protegidos'!DI26,PARTIDOS!DJ$5)</f>
        <v>0</v>
      </c>
      <c r="DJ26" s="3">
        <v>0</v>
      </c>
      <c r="DK26" s="3">
        <f>PARTICIPACION('Datos Protegidos'!DK26,PARTIDOS!DL$5)</f>
        <v>0</v>
      </c>
      <c r="DL26" s="3">
        <v>0</v>
      </c>
      <c r="DM26" s="3">
        <f>PARTICIPACION('Datos Protegidos'!DM26,PARTIDOS!DN$5)</f>
        <v>0</v>
      </c>
      <c r="DN26" s="3">
        <v>0</v>
      </c>
      <c r="DO26" s="3">
        <f>PARTICIPACION('Datos Protegidos'!DO26,PARTIDOS!DP$5)</f>
        <v>0</v>
      </c>
      <c r="DP26" s="3">
        <v>0</v>
      </c>
      <c r="DQ26" s="3">
        <f>PARTICIPACION('Datos Protegidos'!DQ26,PARTIDOS!DR$5)</f>
        <v>0</v>
      </c>
      <c r="DR26" s="3">
        <v>0</v>
      </c>
      <c r="DS26" s="3">
        <f>PARTICIPACION('Datos Protegidos'!DS26,PARTIDOS!DT$5)</f>
        <v>0</v>
      </c>
      <c r="DT26" s="3">
        <v>0</v>
      </c>
      <c r="DU26" s="3">
        <f>PARTICIPACION('Datos Protegidos'!DU26,PARTIDOS!DV$5)</f>
        <v>0</v>
      </c>
      <c r="DV26" s="3">
        <v>0</v>
      </c>
      <c r="DW26" s="3">
        <f>PARTICIPACION('Datos Protegidos'!DW26,PARTIDOS!DX$5)</f>
        <v>0</v>
      </c>
      <c r="DX26" s="3">
        <v>0</v>
      </c>
      <c r="DY26" s="3">
        <f>PARTICIPACION('Datos Protegidos'!DY26,PARTIDOS!DZ$5)</f>
        <v>0</v>
      </c>
      <c r="DZ26" s="3">
        <v>0</v>
      </c>
      <c r="EA26" s="3">
        <f>PARTICIPACION('Datos Protegidos'!EA26,PARTIDOS!EB$5)</f>
        <v>0</v>
      </c>
      <c r="EB26" s="3">
        <v>0</v>
      </c>
      <c r="EC26" s="3">
        <f>PARTICIPACION('Datos Protegidos'!EC26,PARTIDOS!ED$5)</f>
        <v>0</v>
      </c>
      <c r="ED26" s="3">
        <v>0</v>
      </c>
    </row>
    <row r="27" spans="1:134" x14ac:dyDescent="0.25">
      <c r="A27" s="3">
        <f>PARTICIPACION('Datos Protegidos'!A27,PARTIDOS!B$5)</f>
        <v>60355</v>
      </c>
      <c r="B27" s="3">
        <v>1</v>
      </c>
      <c r="C27" s="3">
        <f>PARTICIPACION('Datos Protegidos'!C27,PARTIDOS!D$5)</f>
        <v>69069</v>
      </c>
      <c r="D27" s="3">
        <v>2</v>
      </c>
      <c r="E27" s="3">
        <f>PARTICIPACION('Datos Protegidos'!E27,PARTIDOS!F$5)</f>
        <v>35627</v>
      </c>
      <c r="F27" s="3">
        <v>1</v>
      </c>
      <c r="G27" s="3">
        <f>PARTICIPACION('Datos Protegidos'!G27,PARTIDOS!H$5)</f>
        <v>14288</v>
      </c>
      <c r="H27" s="3">
        <v>0</v>
      </c>
      <c r="I27" s="3">
        <f>PARTICIPACION('Datos Protegidos'!I27,PARTIDOS!J$5)</f>
        <v>0</v>
      </c>
      <c r="J27" s="3">
        <v>0</v>
      </c>
      <c r="K27" s="3">
        <f>PARTICIPACION('Datos Protegidos'!K27,PARTIDOS!L$5)</f>
        <v>16886</v>
      </c>
      <c r="L27" s="3">
        <v>0</v>
      </c>
      <c r="M27" s="3">
        <f>PARTICIPACION('Datos Protegidos'!M27,PARTIDOS!N$5)</f>
        <v>0</v>
      </c>
      <c r="N27" s="3">
        <v>0</v>
      </c>
      <c r="O27" s="3">
        <f>PARTICIPACION('Datos Protegidos'!O27,PARTIDOS!P$5)</f>
        <v>0</v>
      </c>
      <c r="P27" s="3">
        <v>0</v>
      </c>
      <c r="Q27" s="3">
        <f>PARTICIPACION('Datos Protegidos'!Q27,PARTIDOS!R$5)</f>
        <v>0</v>
      </c>
      <c r="R27" s="3">
        <v>0</v>
      </c>
      <c r="S27" s="3">
        <f>PARTICIPACION('Datos Protegidos'!S27,PARTIDOS!T$5)</f>
        <v>0</v>
      </c>
      <c r="T27" s="3">
        <v>0</v>
      </c>
      <c r="U27" s="3">
        <f>PARTICIPACION('Datos Protegidos'!U27,PARTIDOS!V$5)</f>
        <v>0</v>
      </c>
      <c r="V27" s="3">
        <v>0</v>
      </c>
      <c r="W27" s="3">
        <f>PARTICIPACION('Datos Protegidos'!W27,PARTIDOS!X$5)</f>
        <v>0</v>
      </c>
      <c r="X27" s="3">
        <v>0</v>
      </c>
      <c r="Y27" s="3">
        <f>PARTICIPACION('Datos Protegidos'!Y27,PARTIDOS!Z$5)</f>
        <v>0</v>
      </c>
      <c r="Z27" s="3">
        <v>0</v>
      </c>
      <c r="AA27" s="3">
        <f>PARTICIPACION('Datos Protegidos'!AA27,PARTIDOS!AB$5)</f>
        <v>0</v>
      </c>
      <c r="AB27" s="3">
        <v>0</v>
      </c>
      <c r="AC27" s="3">
        <f>PARTICIPACION('Datos Protegidos'!AC27,PARTIDOS!AD$5)</f>
        <v>0</v>
      </c>
      <c r="AD27" s="3">
        <v>0</v>
      </c>
      <c r="AE27" s="3">
        <f>PARTICIPACION('Datos Protegidos'!AE27,PARTIDOS!AF$5)</f>
        <v>0</v>
      </c>
      <c r="AF27" s="3">
        <v>0</v>
      </c>
      <c r="AG27" s="3">
        <f>PARTICIPACION('Datos Protegidos'!AG27,PARTIDOS!AH$5)</f>
        <v>0</v>
      </c>
      <c r="AH27" s="3">
        <v>0</v>
      </c>
      <c r="AI27" s="3">
        <f>PARTICIPACION('Datos Protegidos'!AI27,PARTIDOS!AJ$5)</f>
        <v>0</v>
      </c>
      <c r="AJ27" s="3">
        <v>0</v>
      </c>
      <c r="AK27" s="3">
        <f>PARTICIPACION('Datos Protegidos'!AK27,PARTIDOS!AL$5)</f>
        <v>0</v>
      </c>
      <c r="AL27" s="3">
        <v>0</v>
      </c>
      <c r="AM27" s="3">
        <f>PARTICIPACION('Datos Protegidos'!AM27,PARTIDOS!AN$5)</f>
        <v>959</v>
      </c>
      <c r="AN27" s="3">
        <v>0</v>
      </c>
      <c r="AO27" s="3">
        <f>PARTICIPACION('Datos Protegidos'!AO27,PARTIDOS!AP$5)</f>
        <v>0</v>
      </c>
      <c r="AP27" s="3">
        <v>0</v>
      </c>
      <c r="AQ27" s="3">
        <f>PARTICIPACION('Datos Protegidos'!AQ27,PARTIDOS!AR$5)</f>
        <v>304</v>
      </c>
      <c r="AR27" s="3">
        <v>0</v>
      </c>
      <c r="AS27" s="3">
        <f>PARTICIPACION('Datos Protegidos'!AS27,PARTIDOS!AT$5)</f>
        <v>264</v>
      </c>
      <c r="AT27" s="3">
        <v>0</v>
      </c>
      <c r="AU27" s="3">
        <f>PARTICIPACION('Datos Protegidos'!AU27,PARTIDOS!AV$5)</f>
        <v>0</v>
      </c>
      <c r="AV27" s="3">
        <v>0</v>
      </c>
      <c r="AW27" s="3">
        <f>PARTICIPACION('Datos Protegidos'!AW27,PARTIDOS!AX$5)</f>
        <v>0</v>
      </c>
      <c r="AX27" s="3">
        <v>0</v>
      </c>
      <c r="AY27" s="3">
        <f>PARTICIPACION('Datos Protegidos'!AY27,PARTIDOS!AZ$5)</f>
        <v>0</v>
      </c>
      <c r="AZ27" s="3">
        <v>0</v>
      </c>
      <c r="BA27" s="3">
        <f>PARTICIPACION('Datos Protegidos'!BA27,PARTIDOS!BB$5)</f>
        <v>0</v>
      </c>
      <c r="BB27" s="3">
        <v>0</v>
      </c>
      <c r="BC27" s="3">
        <f>PARTICIPACION('Datos Protegidos'!BC27,PARTIDOS!BD$5)</f>
        <v>205</v>
      </c>
      <c r="BD27" s="3">
        <v>0</v>
      </c>
      <c r="BE27" s="3">
        <f>PARTICIPACION('Datos Protegidos'!BE27,PARTIDOS!BF$5)</f>
        <v>0</v>
      </c>
      <c r="BF27" s="3">
        <v>0</v>
      </c>
      <c r="BG27" s="3">
        <f>PARTICIPACION('Datos Protegidos'!BG27,PARTIDOS!BH$5)</f>
        <v>284</v>
      </c>
      <c r="BH27" s="3">
        <v>0</v>
      </c>
      <c r="BI27" s="3">
        <f>PARTICIPACION('Datos Protegidos'!BI27,PARTIDOS!BJ$5)</f>
        <v>0</v>
      </c>
      <c r="BJ27" s="3">
        <v>0</v>
      </c>
      <c r="BK27" s="3">
        <f>PARTICIPACION('Datos Protegidos'!BK27,PARTIDOS!BL$5)</f>
        <v>0</v>
      </c>
      <c r="BL27" s="3">
        <v>0</v>
      </c>
      <c r="BM27" s="3">
        <f>PARTICIPACION('Datos Protegidos'!BM27,PARTIDOS!BN$5)</f>
        <v>0</v>
      </c>
      <c r="BN27" s="3">
        <v>0</v>
      </c>
      <c r="BO27" s="3">
        <f>PARTICIPACION('Datos Protegidos'!BO27,PARTIDOS!BP$5)</f>
        <v>0</v>
      </c>
      <c r="BP27" s="3">
        <v>0</v>
      </c>
      <c r="BQ27" s="3">
        <f>PARTICIPACION('Datos Protegidos'!BQ27,PARTIDOS!BR$5)</f>
        <v>0</v>
      </c>
      <c r="BR27" s="3">
        <v>0</v>
      </c>
      <c r="BS27" s="3">
        <f>PARTICIPACION('Datos Protegidos'!BS27,PARTIDOS!BT$5)</f>
        <v>0</v>
      </c>
      <c r="BT27" s="3">
        <v>0</v>
      </c>
      <c r="BU27" s="3">
        <f>PARTICIPACION('Datos Protegidos'!BU27,PARTIDOS!BV$5)</f>
        <v>0</v>
      </c>
      <c r="BV27" s="3">
        <v>0</v>
      </c>
      <c r="BW27" s="3">
        <f>PARTICIPACION('Datos Protegidos'!BW27,PARTIDOS!BX$5)</f>
        <v>0</v>
      </c>
      <c r="BX27" s="3">
        <v>0</v>
      </c>
      <c r="BY27" s="3">
        <f>PARTICIPACION('Datos Protegidos'!BY27,PARTIDOS!BZ$5)</f>
        <v>0</v>
      </c>
      <c r="BZ27" s="3">
        <v>0</v>
      </c>
      <c r="CA27" s="3">
        <f>PARTICIPACION('Datos Protegidos'!CA27,PARTIDOS!CB$5)</f>
        <v>0</v>
      </c>
      <c r="CB27" s="3">
        <v>0</v>
      </c>
      <c r="CC27" s="3">
        <f>PARTICIPACION('Datos Protegidos'!CC27,PARTIDOS!CD$5)</f>
        <v>0</v>
      </c>
      <c r="CD27" s="3">
        <v>0</v>
      </c>
      <c r="CE27" s="3">
        <f>PARTICIPACION('Datos Protegidos'!CE27,PARTIDOS!CF$5)</f>
        <v>0</v>
      </c>
      <c r="CF27" s="3">
        <v>0</v>
      </c>
      <c r="CG27" s="3">
        <f>PARTICIPACION('Datos Protegidos'!CG27,PARTIDOS!CH$5)</f>
        <v>0</v>
      </c>
      <c r="CH27" s="3">
        <v>0</v>
      </c>
      <c r="CI27" s="3">
        <f>PARTICIPACION('Datos Protegidos'!CI27,PARTIDOS!CJ$5)</f>
        <v>229</v>
      </c>
      <c r="CJ27" s="3">
        <v>0</v>
      </c>
      <c r="CK27" s="3">
        <f>PARTICIPACION('Datos Protegidos'!CK27,PARTIDOS!CL$5)</f>
        <v>0</v>
      </c>
      <c r="CL27" s="3">
        <v>0</v>
      </c>
      <c r="CM27" s="3">
        <f>PARTICIPACION('Datos Protegidos'!CM27,PARTIDOS!CN$5)</f>
        <v>0</v>
      </c>
      <c r="CN27" s="3">
        <v>0</v>
      </c>
      <c r="CO27" s="3">
        <f>PARTICIPACION('Datos Protegidos'!CO27,PARTIDOS!CP$5)</f>
        <v>0</v>
      </c>
      <c r="CP27" s="3">
        <v>0</v>
      </c>
      <c r="CQ27" s="3">
        <f>PARTICIPACION('Datos Protegidos'!CQ27,PARTIDOS!CR$5)</f>
        <v>0</v>
      </c>
      <c r="CR27" s="3">
        <v>0</v>
      </c>
      <c r="CS27" s="3">
        <f>PARTICIPACION('Datos Protegidos'!CS27,PARTIDOS!CT$5)</f>
        <v>0</v>
      </c>
      <c r="CT27" s="3">
        <v>0</v>
      </c>
      <c r="CU27" s="3">
        <f>PARTICIPACION('Datos Protegidos'!CU27,PARTIDOS!CV$5)</f>
        <v>0</v>
      </c>
      <c r="CV27" s="3">
        <v>0</v>
      </c>
      <c r="CW27" s="3">
        <f>PARTICIPACION('Datos Protegidos'!CW27,PARTIDOS!CX$5)</f>
        <v>0</v>
      </c>
      <c r="CX27" s="3">
        <v>0</v>
      </c>
      <c r="CY27" s="3">
        <f>PARTICIPACION('Datos Protegidos'!CY27,PARTIDOS!CZ$5)</f>
        <v>320</v>
      </c>
      <c r="CZ27" s="3">
        <v>0</v>
      </c>
      <c r="DA27" s="3">
        <f>PARTICIPACION('Datos Protegidos'!DA27,PARTIDOS!DB$5)</f>
        <v>0</v>
      </c>
      <c r="DB27" s="3">
        <v>0</v>
      </c>
      <c r="DC27" s="3">
        <f>PARTICIPACION('Datos Protegidos'!DC27,PARTIDOS!DD$5)</f>
        <v>0</v>
      </c>
      <c r="DD27" s="3">
        <v>0</v>
      </c>
      <c r="DE27" s="3">
        <f>PARTICIPACION('Datos Protegidos'!DE27,PARTIDOS!DF$5)</f>
        <v>0</v>
      </c>
      <c r="DF27" s="3">
        <v>0</v>
      </c>
      <c r="DG27" s="3">
        <f>PARTICIPACION('Datos Protegidos'!DG27,PARTIDOS!DH$5)</f>
        <v>0</v>
      </c>
      <c r="DH27" s="3">
        <v>0</v>
      </c>
      <c r="DI27" s="3">
        <f>PARTICIPACION('Datos Protegidos'!DI27,PARTIDOS!DJ$5)</f>
        <v>0</v>
      </c>
      <c r="DJ27" s="3">
        <v>0</v>
      </c>
      <c r="DK27" s="3">
        <f>PARTICIPACION('Datos Protegidos'!DK27,PARTIDOS!DL$5)</f>
        <v>0</v>
      </c>
      <c r="DL27" s="3">
        <v>0</v>
      </c>
      <c r="DM27" s="3">
        <f>PARTICIPACION('Datos Protegidos'!DM27,PARTIDOS!DN$5)</f>
        <v>0</v>
      </c>
      <c r="DN27" s="3">
        <v>0</v>
      </c>
      <c r="DO27" s="3">
        <f>PARTICIPACION('Datos Protegidos'!DO27,PARTIDOS!DP$5)</f>
        <v>0</v>
      </c>
      <c r="DP27" s="3">
        <v>0</v>
      </c>
      <c r="DQ27" s="3">
        <f>PARTICIPACION('Datos Protegidos'!DQ27,PARTIDOS!DR$5)</f>
        <v>0</v>
      </c>
      <c r="DR27" s="3">
        <v>0</v>
      </c>
      <c r="DS27" s="3">
        <f>PARTICIPACION('Datos Protegidos'!DS27,PARTIDOS!DT$5)</f>
        <v>0</v>
      </c>
      <c r="DT27" s="3">
        <v>0</v>
      </c>
      <c r="DU27" s="3">
        <f>PARTICIPACION('Datos Protegidos'!DU27,PARTIDOS!DV$5)</f>
        <v>0</v>
      </c>
      <c r="DV27" s="3">
        <v>0</v>
      </c>
      <c r="DW27" s="3">
        <f>PARTICIPACION('Datos Protegidos'!DW27,PARTIDOS!DX$5)</f>
        <v>0</v>
      </c>
      <c r="DX27" s="3">
        <v>0</v>
      </c>
      <c r="DY27" s="3">
        <f>PARTICIPACION('Datos Protegidos'!DY27,PARTIDOS!DZ$5)</f>
        <v>0</v>
      </c>
      <c r="DZ27" s="3">
        <v>0</v>
      </c>
      <c r="EA27" s="3">
        <f>PARTICIPACION('Datos Protegidos'!EA27,PARTIDOS!EB$5)</f>
        <v>0</v>
      </c>
      <c r="EB27" s="3">
        <v>0</v>
      </c>
      <c r="EC27" s="3">
        <f>PARTICIPACION('Datos Protegidos'!EC27,PARTIDOS!ED$5)</f>
        <v>0</v>
      </c>
      <c r="ED27" s="3">
        <v>0</v>
      </c>
    </row>
    <row r="28" spans="1:134" x14ac:dyDescent="0.25">
      <c r="A28" s="3">
        <f>PARTICIPACION('Datos Protegidos'!A28,PARTIDOS!B$5)</f>
        <v>26494</v>
      </c>
      <c r="B28" s="3">
        <v>1</v>
      </c>
      <c r="C28" s="3">
        <f>PARTICIPACION('Datos Protegidos'!C28,PARTIDOS!D$5)</f>
        <v>28618</v>
      </c>
      <c r="D28" s="3">
        <v>1</v>
      </c>
      <c r="E28" s="3">
        <f>PARTICIPACION('Datos Protegidos'!E28,PARTIDOS!F$5)</f>
        <v>14860</v>
      </c>
      <c r="F28" s="3">
        <v>1</v>
      </c>
      <c r="G28" s="3">
        <f>PARTICIPACION('Datos Protegidos'!G28,PARTIDOS!H$5)</f>
        <v>8296</v>
      </c>
      <c r="H28" s="3">
        <v>0</v>
      </c>
      <c r="I28" s="3">
        <f>PARTICIPACION('Datos Protegidos'!I28,PARTIDOS!J$5)</f>
        <v>0</v>
      </c>
      <c r="J28" s="3">
        <v>0</v>
      </c>
      <c r="K28" s="3">
        <f>PARTICIPACION('Datos Protegidos'!K28,PARTIDOS!L$5)</f>
        <v>6861</v>
      </c>
      <c r="L28" s="3">
        <v>0</v>
      </c>
      <c r="M28" s="3">
        <f>PARTICIPACION('Datos Protegidos'!M28,PARTIDOS!N$5)</f>
        <v>0</v>
      </c>
      <c r="N28" s="3">
        <v>0</v>
      </c>
      <c r="O28" s="3">
        <f>PARTICIPACION('Datos Protegidos'!O28,PARTIDOS!P$5)</f>
        <v>0</v>
      </c>
      <c r="P28" s="3">
        <v>0</v>
      </c>
      <c r="Q28" s="3">
        <f>PARTICIPACION('Datos Protegidos'!Q28,PARTIDOS!R$5)</f>
        <v>0</v>
      </c>
      <c r="R28" s="3">
        <v>0</v>
      </c>
      <c r="S28" s="3">
        <f>PARTICIPACION('Datos Protegidos'!S28,PARTIDOS!T$5)</f>
        <v>0</v>
      </c>
      <c r="T28" s="3">
        <v>0</v>
      </c>
      <c r="U28" s="3">
        <f>PARTICIPACION('Datos Protegidos'!U28,PARTIDOS!V$5)</f>
        <v>0</v>
      </c>
      <c r="V28" s="3">
        <v>0</v>
      </c>
      <c r="W28" s="3">
        <f>PARTICIPACION('Datos Protegidos'!W28,PARTIDOS!X$5)</f>
        <v>0</v>
      </c>
      <c r="X28" s="3">
        <v>0</v>
      </c>
      <c r="Y28" s="3">
        <f>PARTICIPACION('Datos Protegidos'!Y28,PARTIDOS!Z$5)</f>
        <v>0</v>
      </c>
      <c r="Z28" s="3">
        <v>0</v>
      </c>
      <c r="AA28" s="3">
        <f>PARTICIPACION('Datos Protegidos'!AA28,PARTIDOS!AB$5)</f>
        <v>0</v>
      </c>
      <c r="AB28" s="3">
        <v>0</v>
      </c>
      <c r="AC28" s="3">
        <f>PARTICIPACION('Datos Protegidos'!AC28,PARTIDOS!AD$5)</f>
        <v>0</v>
      </c>
      <c r="AD28" s="3">
        <v>0</v>
      </c>
      <c r="AE28" s="3">
        <f>PARTICIPACION('Datos Protegidos'!AE28,PARTIDOS!AF$5)</f>
        <v>0</v>
      </c>
      <c r="AF28" s="3">
        <v>0</v>
      </c>
      <c r="AG28" s="3">
        <f>PARTICIPACION('Datos Protegidos'!AG28,PARTIDOS!AH$5)</f>
        <v>0</v>
      </c>
      <c r="AH28" s="3">
        <v>0</v>
      </c>
      <c r="AI28" s="3">
        <f>PARTICIPACION('Datos Protegidos'!AI28,PARTIDOS!AJ$5)</f>
        <v>0</v>
      </c>
      <c r="AJ28" s="3">
        <v>0</v>
      </c>
      <c r="AK28" s="3">
        <f>PARTICIPACION('Datos Protegidos'!AK28,PARTIDOS!AL$5)</f>
        <v>0</v>
      </c>
      <c r="AL28" s="3">
        <v>0</v>
      </c>
      <c r="AM28" s="3">
        <f>PARTICIPACION('Datos Protegidos'!AM28,PARTIDOS!AN$5)</f>
        <v>459</v>
      </c>
      <c r="AN28" s="3">
        <v>0</v>
      </c>
      <c r="AO28" s="3">
        <f>PARTICIPACION('Datos Protegidos'!AO28,PARTIDOS!AP$5)</f>
        <v>0</v>
      </c>
      <c r="AP28" s="3">
        <v>0</v>
      </c>
      <c r="AQ28" s="3">
        <f>PARTICIPACION('Datos Protegidos'!AQ28,PARTIDOS!AR$5)</f>
        <v>190</v>
      </c>
      <c r="AR28" s="3">
        <v>0</v>
      </c>
      <c r="AS28" s="3">
        <f>PARTICIPACION('Datos Protegidos'!AS28,PARTIDOS!AT$5)</f>
        <v>132</v>
      </c>
      <c r="AT28" s="3">
        <v>0</v>
      </c>
      <c r="AU28" s="3">
        <f>PARTICIPACION('Datos Protegidos'!AU28,PARTIDOS!AV$5)</f>
        <v>0</v>
      </c>
      <c r="AV28" s="3">
        <v>0</v>
      </c>
      <c r="AW28" s="3">
        <f>PARTICIPACION('Datos Protegidos'!AW28,PARTIDOS!AX$5)</f>
        <v>0</v>
      </c>
      <c r="AX28" s="3">
        <v>0</v>
      </c>
      <c r="AY28" s="3">
        <f>PARTICIPACION('Datos Protegidos'!AY28,PARTIDOS!AZ$5)</f>
        <v>0</v>
      </c>
      <c r="AZ28" s="3">
        <v>0</v>
      </c>
      <c r="BA28" s="3">
        <f>PARTICIPACION('Datos Protegidos'!BA28,PARTIDOS!BB$5)</f>
        <v>0</v>
      </c>
      <c r="BB28" s="3">
        <v>0</v>
      </c>
      <c r="BC28" s="3">
        <f>PARTICIPACION('Datos Protegidos'!BC28,PARTIDOS!BD$5)</f>
        <v>70</v>
      </c>
      <c r="BD28" s="3">
        <v>0</v>
      </c>
      <c r="BE28" s="3">
        <f>PARTICIPACION('Datos Protegidos'!BE28,PARTIDOS!BF$5)</f>
        <v>0</v>
      </c>
      <c r="BF28" s="3">
        <v>0</v>
      </c>
      <c r="BG28" s="3">
        <f>PARTICIPACION('Datos Protegidos'!BG28,PARTIDOS!BH$5)</f>
        <v>0</v>
      </c>
      <c r="BH28" s="3">
        <v>0</v>
      </c>
      <c r="BI28" s="3">
        <f>PARTICIPACION('Datos Protegidos'!BI28,PARTIDOS!BJ$5)</f>
        <v>181</v>
      </c>
      <c r="BJ28" s="3">
        <v>0</v>
      </c>
      <c r="BK28" s="3">
        <f>PARTICIPACION('Datos Protegidos'!BK28,PARTIDOS!BL$5)</f>
        <v>0</v>
      </c>
      <c r="BL28" s="3">
        <v>0</v>
      </c>
      <c r="BM28" s="3">
        <f>PARTICIPACION('Datos Protegidos'!BM28,PARTIDOS!BN$5)</f>
        <v>0</v>
      </c>
      <c r="BN28" s="3">
        <v>0</v>
      </c>
      <c r="BO28" s="3">
        <f>PARTICIPACION('Datos Protegidos'!BO28,PARTIDOS!BP$5)</f>
        <v>0</v>
      </c>
      <c r="BP28" s="3">
        <v>0</v>
      </c>
      <c r="BQ28" s="3">
        <f>PARTICIPACION('Datos Protegidos'!BQ28,PARTIDOS!BR$5)</f>
        <v>0</v>
      </c>
      <c r="BR28" s="3">
        <v>0</v>
      </c>
      <c r="BS28" s="3">
        <f>PARTICIPACION('Datos Protegidos'!BS28,PARTIDOS!BT$5)</f>
        <v>0</v>
      </c>
      <c r="BT28" s="3">
        <v>0</v>
      </c>
      <c r="BU28" s="3">
        <f>PARTICIPACION('Datos Protegidos'!BU28,PARTIDOS!BV$5)</f>
        <v>0</v>
      </c>
      <c r="BV28" s="3">
        <v>0</v>
      </c>
      <c r="BW28" s="3">
        <f>PARTICIPACION('Datos Protegidos'!BW28,PARTIDOS!BX$5)</f>
        <v>0</v>
      </c>
      <c r="BX28" s="3">
        <v>0</v>
      </c>
      <c r="BY28" s="3">
        <f>PARTICIPACION('Datos Protegidos'!BY28,PARTIDOS!BZ$5)</f>
        <v>0</v>
      </c>
      <c r="BZ28" s="3">
        <v>0</v>
      </c>
      <c r="CA28" s="3">
        <f>PARTICIPACION('Datos Protegidos'!CA28,PARTIDOS!CB$5)</f>
        <v>0</v>
      </c>
      <c r="CB28" s="3">
        <v>0</v>
      </c>
      <c r="CC28" s="3">
        <f>PARTICIPACION('Datos Protegidos'!CC28,PARTIDOS!CD$5)</f>
        <v>0</v>
      </c>
      <c r="CD28" s="3">
        <v>0</v>
      </c>
      <c r="CE28" s="3">
        <f>PARTICIPACION('Datos Protegidos'!CE28,PARTIDOS!CF$5)</f>
        <v>0</v>
      </c>
      <c r="CF28" s="3">
        <v>0</v>
      </c>
      <c r="CG28" s="3">
        <f>PARTICIPACION('Datos Protegidos'!CG28,PARTIDOS!CH$5)</f>
        <v>0</v>
      </c>
      <c r="CH28" s="3">
        <v>0</v>
      </c>
      <c r="CI28" s="3">
        <f>PARTICIPACION('Datos Protegidos'!CI28,PARTIDOS!CJ$5)</f>
        <v>0</v>
      </c>
      <c r="CJ28" s="3">
        <v>0</v>
      </c>
      <c r="CK28" s="3">
        <f>PARTICIPACION('Datos Protegidos'!CK28,PARTIDOS!CL$5)</f>
        <v>0</v>
      </c>
      <c r="CL28" s="3">
        <v>0</v>
      </c>
      <c r="CM28" s="3">
        <f>PARTICIPACION('Datos Protegidos'!CM28,PARTIDOS!CN$5)</f>
        <v>0</v>
      </c>
      <c r="CN28" s="3">
        <v>0</v>
      </c>
      <c r="CO28" s="3">
        <f>PARTICIPACION('Datos Protegidos'!CO28,PARTIDOS!CP$5)</f>
        <v>0</v>
      </c>
      <c r="CP28" s="3">
        <v>0</v>
      </c>
      <c r="CQ28" s="3">
        <f>PARTICIPACION('Datos Protegidos'!CQ28,PARTIDOS!CR$5)</f>
        <v>114</v>
      </c>
      <c r="CR28" s="3">
        <v>0</v>
      </c>
      <c r="CS28" s="3">
        <f>PARTICIPACION('Datos Protegidos'!CS28,PARTIDOS!CT$5)</f>
        <v>37</v>
      </c>
      <c r="CT28" s="3">
        <v>0</v>
      </c>
      <c r="CU28" s="3">
        <f>PARTICIPACION('Datos Protegidos'!CU28,PARTIDOS!CV$5)</f>
        <v>0</v>
      </c>
      <c r="CV28" s="3">
        <v>0</v>
      </c>
      <c r="CW28" s="3">
        <f>PARTICIPACION('Datos Protegidos'!CW28,PARTIDOS!CX$5)</f>
        <v>0</v>
      </c>
      <c r="CX28" s="3">
        <v>0</v>
      </c>
      <c r="CY28" s="3">
        <f>PARTICIPACION('Datos Protegidos'!CY28,PARTIDOS!CZ$5)</f>
        <v>0</v>
      </c>
      <c r="CZ28" s="3">
        <v>0</v>
      </c>
      <c r="DA28" s="3">
        <f>PARTICIPACION('Datos Protegidos'!DA28,PARTIDOS!DB$5)</f>
        <v>0</v>
      </c>
      <c r="DB28" s="3">
        <v>0</v>
      </c>
      <c r="DC28" s="3">
        <f>PARTICIPACION('Datos Protegidos'!DC28,PARTIDOS!DD$5)</f>
        <v>0</v>
      </c>
      <c r="DD28" s="3">
        <v>0</v>
      </c>
      <c r="DE28" s="3">
        <f>PARTICIPACION('Datos Protegidos'!DE28,PARTIDOS!DF$5)</f>
        <v>0</v>
      </c>
      <c r="DF28" s="3">
        <v>0</v>
      </c>
      <c r="DG28" s="3">
        <f>PARTICIPACION('Datos Protegidos'!DG28,PARTIDOS!DH$5)</f>
        <v>0</v>
      </c>
      <c r="DH28" s="3">
        <v>0</v>
      </c>
      <c r="DI28" s="3">
        <f>PARTICIPACION('Datos Protegidos'!DI28,PARTIDOS!DJ$5)</f>
        <v>0</v>
      </c>
      <c r="DJ28" s="3">
        <v>0</v>
      </c>
      <c r="DK28" s="3">
        <f>PARTICIPACION('Datos Protegidos'!DK28,PARTIDOS!DL$5)</f>
        <v>0</v>
      </c>
      <c r="DL28" s="3">
        <v>0</v>
      </c>
      <c r="DM28" s="3">
        <f>PARTICIPACION('Datos Protegidos'!DM28,PARTIDOS!DN$5)</f>
        <v>0</v>
      </c>
      <c r="DN28" s="3">
        <v>0</v>
      </c>
      <c r="DO28" s="3">
        <f>PARTICIPACION('Datos Protegidos'!DO28,PARTIDOS!DP$5)</f>
        <v>0</v>
      </c>
      <c r="DP28" s="3">
        <v>0</v>
      </c>
      <c r="DQ28" s="3">
        <f>PARTICIPACION('Datos Protegidos'!DQ28,PARTIDOS!DR$5)</f>
        <v>0</v>
      </c>
      <c r="DR28" s="3">
        <v>0</v>
      </c>
      <c r="DS28" s="3">
        <f>PARTICIPACION('Datos Protegidos'!DS28,PARTIDOS!DT$5)</f>
        <v>0</v>
      </c>
      <c r="DT28" s="3">
        <v>0</v>
      </c>
      <c r="DU28" s="3">
        <f>PARTICIPACION('Datos Protegidos'!DU28,PARTIDOS!DV$5)</f>
        <v>234</v>
      </c>
      <c r="DV28" s="3">
        <v>0</v>
      </c>
      <c r="DW28" s="3">
        <f>PARTICIPACION('Datos Protegidos'!DW28,PARTIDOS!DX$5)</f>
        <v>0</v>
      </c>
      <c r="DX28" s="3">
        <v>0</v>
      </c>
      <c r="DY28" s="3">
        <f>PARTICIPACION('Datos Protegidos'!DY28,PARTIDOS!DZ$5)</f>
        <v>0</v>
      </c>
      <c r="DZ28" s="3">
        <v>0</v>
      </c>
      <c r="EA28" s="3">
        <f>PARTICIPACION('Datos Protegidos'!EA28,PARTIDOS!EB$5)</f>
        <v>0</v>
      </c>
      <c r="EB28" s="3">
        <v>0</v>
      </c>
      <c r="EC28" s="3">
        <f>PARTICIPACION('Datos Protegidos'!EC28,PARTIDOS!ED$5)</f>
        <v>0</v>
      </c>
      <c r="ED28" s="3">
        <v>0</v>
      </c>
    </row>
    <row r="29" spans="1:134" x14ac:dyDescent="0.25">
      <c r="A29" s="3">
        <f>PARTICIPACION('Datos Protegidos'!A29,PARTIDOS!B$5)</f>
        <v>16845</v>
      </c>
      <c r="B29" s="3">
        <v>1</v>
      </c>
      <c r="C29" s="3">
        <f>PARTICIPACION('Datos Protegidos'!C29,PARTIDOS!D$5)</f>
        <v>15551</v>
      </c>
      <c r="D29" s="3">
        <v>1</v>
      </c>
      <c r="E29" s="3">
        <f>PARTICIPACION('Datos Protegidos'!E29,PARTIDOS!F$5)</f>
        <v>6389</v>
      </c>
      <c r="F29" s="3">
        <v>0</v>
      </c>
      <c r="G29" s="3">
        <f>PARTICIPACION('Datos Protegidos'!G29,PARTIDOS!H$5)</f>
        <v>3692</v>
      </c>
      <c r="H29" s="3">
        <v>0</v>
      </c>
      <c r="I29" s="3">
        <f>PARTICIPACION('Datos Protegidos'!I29,PARTIDOS!J$5)</f>
        <v>0</v>
      </c>
      <c r="J29" s="3">
        <v>0</v>
      </c>
      <c r="K29" s="3">
        <f>PARTICIPACION('Datos Protegidos'!K29,PARTIDOS!L$5)</f>
        <v>2670</v>
      </c>
      <c r="L29" s="3">
        <v>0</v>
      </c>
      <c r="M29" s="3">
        <f>PARTICIPACION('Datos Protegidos'!M29,PARTIDOS!N$5)</f>
        <v>0</v>
      </c>
      <c r="N29" s="3">
        <v>0</v>
      </c>
      <c r="O29" s="3">
        <f>PARTICIPACION('Datos Protegidos'!O29,PARTIDOS!P$5)</f>
        <v>0</v>
      </c>
      <c r="P29" s="3">
        <v>0</v>
      </c>
      <c r="Q29" s="3">
        <f>PARTICIPACION('Datos Protegidos'!Q29,PARTIDOS!R$5)</f>
        <v>0</v>
      </c>
      <c r="R29" s="3">
        <v>0</v>
      </c>
      <c r="S29" s="3">
        <f>PARTICIPACION('Datos Protegidos'!S29,PARTIDOS!T$5)</f>
        <v>0</v>
      </c>
      <c r="T29" s="3">
        <v>0</v>
      </c>
      <c r="U29" s="3">
        <f>PARTICIPACION('Datos Protegidos'!U29,PARTIDOS!V$5)</f>
        <v>0</v>
      </c>
      <c r="V29" s="3">
        <v>0</v>
      </c>
      <c r="W29" s="3">
        <f>PARTICIPACION('Datos Protegidos'!W29,PARTIDOS!X$5)</f>
        <v>0</v>
      </c>
      <c r="X29" s="3">
        <v>0</v>
      </c>
      <c r="Y29" s="3">
        <f>PARTICIPACION('Datos Protegidos'!Y29,PARTIDOS!Z$5)</f>
        <v>0</v>
      </c>
      <c r="Z29" s="3">
        <v>0</v>
      </c>
      <c r="AA29" s="3">
        <f>PARTICIPACION('Datos Protegidos'!AA29,PARTIDOS!AB$5)</f>
        <v>0</v>
      </c>
      <c r="AB29" s="3">
        <v>0</v>
      </c>
      <c r="AC29" s="3">
        <f>PARTICIPACION('Datos Protegidos'!AC29,PARTIDOS!AD$5)</f>
        <v>0</v>
      </c>
      <c r="AD29" s="3">
        <v>0</v>
      </c>
      <c r="AE29" s="3">
        <f>PARTICIPACION('Datos Protegidos'!AE29,PARTIDOS!AF$5)</f>
        <v>0</v>
      </c>
      <c r="AF29" s="3">
        <v>0</v>
      </c>
      <c r="AG29" s="3">
        <f>PARTICIPACION('Datos Protegidos'!AG29,PARTIDOS!AH$5)</f>
        <v>0</v>
      </c>
      <c r="AH29" s="3">
        <v>0</v>
      </c>
      <c r="AI29" s="3">
        <f>PARTICIPACION('Datos Protegidos'!AI29,PARTIDOS!AJ$5)</f>
        <v>0</v>
      </c>
      <c r="AJ29" s="3">
        <v>0</v>
      </c>
      <c r="AK29" s="3">
        <f>PARTICIPACION('Datos Protegidos'!AK29,PARTIDOS!AL$5)</f>
        <v>0</v>
      </c>
      <c r="AL29" s="3">
        <v>0</v>
      </c>
      <c r="AM29" s="3">
        <f>PARTICIPACION('Datos Protegidos'!AM29,PARTIDOS!AN$5)</f>
        <v>203</v>
      </c>
      <c r="AN29" s="3">
        <v>0</v>
      </c>
      <c r="AO29" s="3">
        <f>PARTICIPACION('Datos Protegidos'!AO29,PARTIDOS!AP$5)</f>
        <v>0</v>
      </c>
      <c r="AP29" s="3">
        <v>0</v>
      </c>
      <c r="AQ29" s="3">
        <f>PARTICIPACION('Datos Protegidos'!AQ29,PARTIDOS!AR$5)</f>
        <v>94</v>
      </c>
      <c r="AR29" s="3">
        <v>0</v>
      </c>
      <c r="AS29" s="3">
        <f>PARTICIPACION('Datos Protegidos'!AS29,PARTIDOS!AT$5)</f>
        <v>94</v>
      </c>
      <c r="AT29" s="3">
        <v>0</v>
      </c>
      <c r="AU29" s="3">
        <f>PARTICIPACION('Datos Protegidos'!AU29,PARTIDOS!AV$5)</f>
        <v>0</v>
      </c>
      <c r="AV29" s="3">
        <v>0</v>
      </c>
      <c r="AW29" s="3">
        <f>PARTICIPACION('Datos Protegidos'!AW29,PARTIDOS!AX$5)</f>
        <v>0</v>
      </c>
      <c r="AX29" s="3">
        <v>0</v>
      </c>
      <c r="AY29" s="3">
        <f>PARTICIPACION('Datos Protegidos'!AY29,PARTIDOS!AZ$5)</f>
        <v>0</v>
      </c>
      <c r="AZ29" s="3">
        <v>0</v>
      </c>
      <c r="BA29" s="3">
        <f>PARTICIPACION('Datos Protegidos'!BA29,PARTIDOS!BB$5)</f>
        <v>0</v>
      </c>
      <c r="BB29" s="3">
        <v>0</v>
      </c>
      <c r="BC29" s="3">
        <f>PARTICIPACION('Datos Protegidos'!BC29,PARTIDOS!BD$5)</f>
        <v>91</v>
      </c>
      <c r="BD29" s="3">
        <v>0</v>
      </c>
      <c r="BE29" s="3">
        <f>PARTICIPACION('Datos Protegidos'!BE29,PARTIDOS!BF$5)</f>
        <v>0</v>
      </c>
      <c r="BF29" s="3">
        <v>0</v>
      </c>
      <c r="BG29" s="3">
        <f>PARTICIPACION('Datos Protegidos'!BG29,PARTIDOS!BH$5)</f>
        <v>0</v>
      </c>
      <c r="BH29" s="3">
        <v>0</v>
      </c>
      <c r="BI29" s="3">
        <f>PARTICIPACION('Datos Protegidos'!BI29,PARTIDOS!BJ$5)</f>
        <v>0</v>
      </c>
      <c r="BJ29" s="3">
        <v>0</v>
      </c>
      <c r="BK29" s="3">
        <f>PARTICIPACION('Datos Protegidos'!BK29,PARTIDOS!BL$5)</f>
        <v>0</v>
      </c>
      <c r="BL29" s="3">
        <v>0</v>
      </c>
      <c r="BM29" s="3">
        <f>PARTICIPACION('Datos Protegidos'!BM29,PARTIDOS!BN$5)</f>
        <v>0</v>
      </c>
      <c r="BN29" s="3">
        <v>0</v>
      </c>
      <c r="BO29" s="3">
        <f>PARTICIPACION('Datos Protegidos'!BO29,PARTIDOS!BP$5)</f>
        <v>0</v>
      </c>
      <c r="BP29" s="3">
        <v>0</v>
      </c>
      <c r="BQ29" s="3">
        <f>PARTICIPACION('Datos Protegidos'!BQ29,PARTIDOS!BR$5)</f>
        <v>0</v>
      </c>
      <c r="BR29" s="3">
        <v>0</v>
      </c>
      <c r="BS29" s="3">
        <f>PARTICIPACION('Datos Protegidos'!BS29,PARTIDOS!BT$5)</f>
        <v>0</v>
      </c>
      <c r="BT29" s="3">
        <v>0</v>
      </c>
      <c r="BU29" s="3">
        <f>PARTICIPACION('Datos Protegidos'!BU29,PARTIDOS!BV$5)</f>
        <v>0</v>
      </c>
      <c r="BV29" s="3">
        <v>0</v>
      </c>
      <c r="BW29" s="3">
        <f>PARTICIPACION('Datos Protegidos'!BW29,PARTIDOS!BX$5)</f>
        <v>0</v>
      </c>
      <c r="BX29" s="3">
        <v>0</v>
      </c>
      <c r="BY29" s="3">
        <f>PARTICIPACION('Datos Protegidos'!BY29,PARTIDOS!BZ$5)</f>
        <v>0</v>
      </c>
      <c r="BZ29" s="3">
        <v>0</v>
      </c>
      <c r="CA29" s="3">
        <f>PARTICIPACION('Datos Protegidos'!CA29,PARTIDOS!CB$5)</f>
        <v>0</v>
      </c>
      <c r="CB29" s="3">
        <v>0</v>
      </c>
      <c r="CC29" s="3">
        <f>PARTICIPACION('Datos Protegidos'!CC29,PARTIDOS!CD$5)</f>
        <v>0</v>
      </c>
      <c r="CD29" s="3">
        <v>0</v>
      </c>
      <c r="CE29" s="3">
        <f>PARTICIPACION('Datos Protegidos'!CE29,PARTIDOS!CF$5)</f>
        <v>0</v>
      </c>
      <c r="CF29" s="3">
        <v>0</v>
      </c>
      <c r="CG29" s="3">
        <f>PARTICIPACION('Datos Protegidos'!CG29,PARTIDOS!CH$5)</f>
        <v>0</v>
      </c>
      <c r="CH29" s="3">
        <v>0</v>
      </c>
      <c r="CI29" s="3">
        <f>PARTICIPACION('Datos Protegidos'!CI29,PARTIDOS!CJ$5)</f>
        <v>0</v>
      </c>
      <c r="CJ29" s="3">
        <v>0</v>
      </c>
      <c r="CK29" s="3">
        <f>PARTICIPACION('Datos Protegidos'!CK29,PARTIDOS!CL$5)</f>
        <v>0</v>
      </c>
      <c r="CL29" s="3">
        <v>0</v>
      </c>
      <c r="CM29" s="3">
        <f>PARTICIPACION('Datos Protegidos'!CM29,PARTIDOS!CN$5)</f>
        <v>1458</v>
      </c>
      <c r="CN29" s="3">
        <v>0</v>
      </c>
      <c r="CO29" s="3">
        <f>PARTICIPACION('Datos Protegidos'!CO29,PARTIDOS!CP$5)</f>
        <v>0</v>
      </c>
      <c r="CP29" s="3">
        <v>0</v>
      </c>
      <c r="CQ29" s="3">
        <f>PARTICIPACION('Datos Protegidos'!CQ29,PARTIDOS!CR$5)</f>
        <v>0</v>
      </c>
      <c r="CR29" s="3">
        <v>0</v>
      </c>
      <c r="CS29" s="3">
        <f>PARTICIPACION('Datos Protegidos'!CS29,PARTIDOS!CT$5)</f>
        <v>0</v>
      </c>
      <c r="CT29" s="3">
        <v>0</v>
      </c>
      <c r="CU29" s="3">
        <f>PARTICIPACION('Datos Protegidos'!CU29,PARTIDOS!CV$5)</f>
        <v>0</v>
      </c>
      <c r="CV29" s="3">
        <v>0</v>
      </c>
      <c r="CW29" s="3">
        <f>PARTICIPACION('Datos Protegidos'!CW29,PARTIDOS!CX$5)</f>
        <v>0</v>
      </c>
      <c r="CX29" s="3">
        <v>0</v>
      </c>
      <c r="CY29" s="3">
        <f>PARTICIPACION('Datos Protegidos'!CY29,PARTIDOS!CZ$5)</f>
        <v>0</v>
      </c>
      <c r="CZ29" s="3">
        <v>0</v>
      </c>
      <c r="DA29" s="3">
        <f>PARTICIPACION('Datos Protegidos'!DA29,PARTIDOS!DB$5)</f>
        <v>0</v>
      </c>
      <c r="DB29" s="3">
        <v>0</v>
      </c>
      <c r="DC29" s="3">
        <f>PARTICIPACION('Datos Protegidos'!DC29,PARTIDOS!DD$5)</f>
        <v>0</v>
      </c>
      <c r="DD29" s="3">
        <v>0</v>
      </c>
      <c r="DE29" s="3">
        <f>PARTICIPACION('Datos Protegidos'!DE29,PARTIDOS!DF$5)</f>
        <v>0</v>
      </c>
      <c r="DF29" s="3">
        <v>0</v>
      </c>
      <c r="DG29" s="3">
        <f>PARTICIPACION('Datos Protegidos'!DG29,PARTIDOS!DH$5)</f>
        <v>0</v>
      </c>
      <c r="DH29" s="3">
        <v>0</v>
      </c>
      <c r="DI29" s="3">
        <f>PARTICIPACION('Datos Protegidos'!DI29,PARTIDOS!DJ$5)</f>
        <v>0</v>
      </c>
      <c r="DJ29" s="3">
        <v>0</v>
      </c>
      <c r="DK29" s="3">
        <f>PARTICIPACION('Datos Protegidos'!DK29,PARTIDOS!DL$5)</f>
        <v>0</v>
      </c>
      <c r="DL29" s="3">
        <v>0</v>
      </c>
      <c r="DM29" s="3">
        <f>PARTICIPACION('Datos Protegidos'!DM29,PARTIDOS!DN$5)</f>
        <v>0</v>
      </c>
      <c r="DN29" s="3">
        <v>0</v>
      </c>
      <c r="DO29" s="3">
        <f>PARTICIPACION('Datos Protegidos'!DO29,PARTIDOS!DP$5)</f>
        <v>0</v>
      </c>
      <c r="DP29" s="3">
        <v>0</v>
      </c>
      <c r="DQ29" s="3">
        <f>PARTICIPACION('Datos Protegidos'!DQ29,PARTIDOS!DR$5)</f>
        <v>0</v>
      </c>
      <c r="DR29" s="3">
        <v>0</v>
      </c>
      <c r="DS29" s="3">
        <f>PARTICIPACION('Datos Protegidos'!DS29,PARTIDOS!DT$5)</f>
        <v>0</v>
      </c>
      <c r="DT29" s="3">
        <v>0</v>
      </c>
      <c r="DU29" s="3">
        <f>PARTICIPACION('Datos Protegidos'!DU29,PARTIDOS!DV$5)</f>
        <v>0</v>
      </c>
      <c r="DV29" s="3">
        <v>0</v>
      </c>
      <c r="DW29" s="3">
        <f>PARTICIPACION('Datos Protegidos'!DW29,PARTIDOS!DX$5)</f>
        <v>0</v>
      </c>
      <c r="DX29" s="3">
        <v>0</v>
      </c>
      <c r="DY29" s="3">
        <f>PARTICIPACION('Datos Protegidos'!DY29,PARTIDOS!DZ$5)</f>
        <v>0</v>
      </c>
      <c r="DZ29" s="3">
        <v>0</v>
      </c>
      <c r="EA29" s="3">
        <f>PARTICIPACION('Datos Protegidos'!EA29,PARTIDOS!EB$5)</f>
        <v>0</v>
      </c>
      <c r="EB29" s="3">
        <v>0</v>
      </c>
      <c r="EC29" s="3">
        <f>PARTICIPACION('Datos Protegidos'!EC29,PARTIDOS!ED$5)</f>
        <v>0</v>
      </c>
      <c r="ED29" s="3">
        <v>0</v>
      </c>
    </row>
    <row r="30" spans="1:134" x14ac:dyDescent="0.25">
      <c r="A30" s="3">
        <f>PARTICIPACION('Datos Protegidos'!A30,PARTIDOS!B$5)</f>
        <v>99103</v>
      </c>
      <c r="B30" s="3">
        <v>2</v>
      </c>
      <c r="C30" s="3">
        <f>PARTICIPACION('Datos Protegidos'!C30,PARTIDOS!D$5)</f>
        <v>93694</v>
      </c>
      <c r="D30" s="3">
        <v>2</v>
      </c>
      <c r="E30" s="3">
        <f>PARTICIPACION('Datos Protegidos'!E30,PARTIDOS!F$5)</f>
        <v>57480</v>
      </c>
      <c r="F30" s="3">
        <v>1</v>
      </c>
      <c r="G30" s="3">
        <f>PARTICIPACION('Datos Protegidos'!G30,PARTIDOS!H$5)</f>
        <v>36028</v>
      </c>
      <c r="H30" s="3">
        <v>0</v>
      </c>
      <c r="I30" s="3">
        <f>PARTICIPACION('Datos Protegidos'!I30,PARTIDOS!J$5)</f>
        <v>0</v>
      </c>
      <c r="J30" s="3">
        <v>0</v>
      </c>
      <c r="K30" s="3">
        <f>PARTICIPACION('Datos Protegidos'!K30,PARTIDOS!L$5)</f>
        <v>26947</v>
      </c>
      <c r="L30" s="3">
        <v>0</v>
      </c>
      <c r="M30" s="3">
        <f>PARTICIPACION('Datos Protegidos'!M30,PARTIDOS!N$5)</f>
        <v>0</v>
      </c>
      <c r="N30" s="3">
        <v>0</v>
      </c>
      <c r="O30" s="3">
        <f>PARTICIPACION('Datos Protegidos'!O30,PARTIDOS!P$5)</f>
        <v>0</v>
      </c>
      <c r="P30" s="3">
        <v>0</v>
      </c>
      <c r="Q30" s="3">
        <f>PARTICIPACION('Datos Protegidos'!Q30,PARTIDOS!R$5)</f>
        <v>0</v>
      </c>
      <c r="R30" s="3">
        <v>0</v>
      </c>
      <c r="S30" s="3">
        <f>PARTICIPACION('Datos Protegidos'!S30,PARTIDOS!T$5)</f>
        <v>0</v>
      </c>
      <c r="T30" s="3">
        <v>0</v>
      </c>
      <c r="U30" s="3">
        <f>PARTICIPACION('Datos Protegidos'!U30,PARTIDOS!V$5)</f>
        <v>0</v>
      </c>
      <c r="V30" s="3">
        <v>0</v>
      </c>
      <c r="W30" s="3">
        <f>PARTICIPACION('Datos Protegidos'!W30,PARTIDOS!X$5)</f>
        <v>0</v>
      </c>
      <c r="X30" s="3">
        <v>0</v>
      </c>
      <c r="Y30" s="3">
        <f>PARTICIPACION('Datos Protegidos'!Y30,PARTIDOS!Z$5)</f>
        <v>0</v>
      </c>
      <c r="Z30" s="3">
        <v>0</v>
      </c>
      <c r="AA30" s="3">
        <f>PARTICIPACION('Datos Protegidos'!AA30,PARTIDOS!AB$5)</f>
        <v>0</v>
      </c>
      <c r="AB30" s="3">
        <v>0</v>
      </c>
      <c r="AC30" s="3">
        <f>PARTICIPACION('Datos Protegidos'!AC30,PARTIDOS!AD$5)</f>
        <v>0</v>
      </c>
      <c r="AD30" s="3">
        <v>0</v>
      </c>
      <c r="AE30" s="3">
        <f>PARTICIPACION('Datos Protegidos'!AE30,PARTIDOS!AF$5)</f>
        <v>0</v>
      </c>
      <c r="AF30" s="3">
        <v>0</v>
      </c>
      <c r="AG30" s="3">
        <f>PARTICIPACION('Datos Protegidos'!AG30,PARTIDOS!AH$5)</f>
        <v>0</v>
      </c>
      <c r="AH30" s="3">
        <v>0</v>
      </c>
      <c r="AI30" s="3">
        <f>PARTICIPACION('Datos Protegidos'!AI30,PARTIDOS!AJ$5)</f>
        <v>0</v>
      </c>
      <c r="AJ30" s="3">
        <v>0</v>
      </c>
      <c r="AK30" s="3">
        <f>PARTICIPACION('Datos Protegidos'!AK30,PARTIDOS!AL$5)</f>
        <v>0</v>
      </c>
      <c r="AL30" s="3">
        <v>0</v>
      </c>
      <c r="AM30" s="3">
        <f>PARTICIPACION('Datos Protegidos'!AM30,PARTIDOS!AN$5)</f>
        <v>2077</v>
      </c>
      <c r="AN30" s="3">
        <v>0</v>
      </c>
      <c r="AO30" s="3">
        <f>PARTICIPACION('Datos Protegidos'!AO30,PARTIDOS!AP$5)</f>
        <v>0</v>
      </c>
      <c r="AP30" s="3">
        <v>0</v>
      </c>
      <c r="AQ30" s="3">
        <f>PARTICIPACION('Datos Protegidos'!AQ30,PARTIDOS!AR$5)</f>
        <v>591</v>
      </c>
      <c r="AR30" s="3">
        <v>0</v>
      </c>
      <c r="AS30" s="3">
        <f>PARTICIPACION('Datos Protegidos'!AS30,PARTIDOS!AT$5)</f>
        <v>583</v>
      </c>
      <c r="AT30" s="3">
        <v>0</v>
      </c>
      <c r="AU30" s="3">
        <f>PARTICIPACION('Datos Protegidos'!AU30,PARTIDOS!AV$5)</f>
        <v>0</v>
      </c>
      <c r="AV30" s="3">
        <v>0</v>
      </c>
      <c r="AW30" s="3">
        <f>PARTICIPACION('Datos Protegidos'!AW30,PARTIDOS!AX$5)</f>
        <v>0</v>
      </c>
      <c r="AX30" s="3">
        <v>0</v>
      </c>
      <c r="AY30" s="3">
        <f>PARTICIPACION('Datos Protegidos'!AY30,PARTIDOS!AZ$5)</f>
        <v>0</v>
      </c>
      <c r="AZ30" s="3">
        <v>0</v>
      </c>
      <c r="BA30" s="3">
        <f>PARTICIPACION('Datos Protegidos'!BA30,PARTIDOS!BB$5)</f>
        <v>234</v>
      </c>
      <c r="BB30" s="3">
        <v>0</v>
      </c>
      <c r="BC30" s="3">
        <f>PARTICIPACION('Datos Protegidos'!BC30,PARTIDOS!BD$5)</f>
        <v>295</v>
      </c>
      <c r="BD30" s="3">
        <v>0</v>
      </c>
      <c r="BE30" s="3">
        <f>PARTICIPACION('Datos Protegidos'!BE30,PARTIDOS!BF$5)</f>
        <v>0</v>
      </c>
      <c r="BF30" s="3">
        <v>0</v>
      </c>
      <c r="BG30" s="3">
        <f>PARTICIPACION('Datos Protegidos'!BG30,PARTIDOS!BH$5)</f>
        <v>0</v>
      </c>
      <c r="BH30" s="3">
        <v>0</v>
      </c>
      <c r="BI30" s="3">
        <f>PARTICIPACION('Datos Protegidos'!BI30,PARTIDOS!BJ$5)</f>
        <v>0</v>
      </c>
      <c r="BJ30" s="3">
        <v>0</v>
      </c>
      <c r="BK30" s="3">
        <f>PARTICIPACION('Datos Protegidos'!BK30,PARTIDOS!BL$5)</f>
        <v>0</v>
      </c>
      <c r="BL30" s="3">
        <v>0</v>
      </c>
      <c r="BM30" s="3">
        <f>PARTICIPACION('Datos Protegidos'!BM30,PARTIDOS!BN$5)</f>
        <v>0</v>
      </c>
      <c r="BN30" s="3">
        <v>0</v>
      </c>
      <c r="BO30" s="3">
        <f>PARTICIPACION('Datos Protegidos'!BO30,PARTIDOS!BP$5)</f>
        <v>0</v>
      </c>
      <c r="BP30" s="3">
        <v>0</v>
      </c>
      <c r="BQ30" s="3">
        <f>PARTICIPACION('Datos Protegidos'!BQ30,PARTIDOS!BR$5)</f>
        <v>0</v>
      </c>
      <c r="BR30" s="3">
        <v>0</v>
      </c>
      <c r="BS30" s="3">
        <f>PARTICIPACION('Datos Protegidos'!BS30,PARTIDOS!BT$5)</f>
        <v>0</v>
      </c>
      <c r="BT30" s="3">
        <v>0</v>
      </c>
      <c r="BU30" s="3">
        <f>PARTICIPACION('Datos Protegidos'!BU30,PARTIDOS!BV$5)</f>
        <v>0</v>
      </c>
      <c r="BV30" s="3">
        <v>0</v>
      </c>
      <c r="BW30" s="3">
        <f>PARTICIPACION('Datos Protegidos'!BW30,PARTIDOS!BX$5)</f>
        <v>0</v>
      </c>
      <c r="BX30" s="3">
        <v>0</v>
      </c>
      <c r="BY30" s="3">
        <f>PARTICIPACION('Datos Protegidos'!BY30,PARTIDOS!BZ$5)</f>
        <v>0</v>
      </c>
      <c r="BZ30" s="3">
        <v>0</v>
      </c>
      <c r="CA30" s="3">
        <f>PARTICIPACION('Datos Protegidos'!CA30,PARTIDOS!CB$5)</f>
        <v>0</v>
      </c>
      <c r="CB30" s="3">
        <v>0</v>
      </c>
      <c r="CC30" s="3">
        <f>PARTICIPACION('Datos Protegidos'!CC30,PARTIDOS!CD$5)</f>
        <v>0</v>
      </c>
      <c r="CD30" s="3">
        <v>0</v>
      </c>
      <c r="CE30" s="3">
        <f>PARTICIPACION('Datos Protegidos'!CE30,PARTIDOS!CF$5)</f>
        <v>0</v>
      </c>
      <c r="CF30" s="3">
        <v>0</v>
      </c>
      <c r="CG30" s="3">
        <f>PARTICIPACION('Datos Protegidos'!CG30,PARTIDOS!CH$5)</f>
        <v>0</v>
      </c>
      <c r="CH30" s="3">
        <v>0</v>
      </c>
      <c r="CI30" s="3">
        <f>PARTICIPACION('Datos Protegidos'!CI30,PARTIDOS!CJ$5)</f>
        <v>0</v>
      </c>
      <c r="CJ30" s="3">
        <v>0</v>
      </c>
      <c r="CK30" s="3">
        <f>PARTICIPACION('Datos Protegidos'!CK30,PARTIDOS!CL$5)</f>
        <v>0</v>
      </c>
      <c r="CL30" s="3">
        <v>0</v>
      </c>
      <c r="CM30" s="3">
        <f>PARTICIPACION('Datos Protegidos'!CM30,PARTIDOS!CN$5)</f>
        <v>0</v>
      </c>
      <c r="CN30" s="3">
        <v>0</v>
      </c>
      <c r="CO30" s="3">
        <f>PARTICIPACION('Datos Protegidos'!CO30,PARTIDOS!CP$5)</f>
        <v>0</v>
      </c>
      <c r="CP30" s="3">
        <v>0</v>
      </c>
      <c r="CQ30" s="3">
        <f>PARTICIPACION('Datos Protegidos'!CQ30,PARTIDOS!CR$5)</f>
        <v>0</v>
      </c>
      <c r="CR30" s="3">
        <v>0</v>
      </c>
      <c r="CS30" s="3">
        <f>PARTICIPACION('Datos Protegidos'!CS30,PARTIDOS!CT$5)</f>
        <v>0</v>
      </c>
      <c r="CT30" s="3">
        <v>0</v>
      </c>
      <c r="CU30" s="3">
        <f>PARTICIPACION('Datos Protegidos'!CU30,PARTIDOS!CV$5)</f>
        <v>0</v>
      </c>
      <c r="CV30" s="3">
        <v>0</v>
      </c>
      <c r="CW30" s="3">
        <f>PARTICIPACION('Datos Protegidos'!CW30,PARTIDOS!CX$5)</f>
        <v>0</v>
      </c>
      <c r="CX30" s="3">
        <v>0</v>
      </c>
      <c r="CY30" s="3">
        <f>PARTICIPACION('Datos Protegidos'!CY30,PARTIDOS!CZ$5)</f>
        <v>0</v>
      </c>
      <c r="CZ30" s="3">
        <v>0</v>
      </c>
      <c r="DA30" s="3">
        <f>PARTICIPACION('Datos Protegidos'!DA30,PARTIDOS!DB$5)</f>
        <v>0</v>
      </c>
      <c r="DB30" s="3">
        <v>0</v>
      </c>
      <c r="DC30" s="3">
        <f>PARTICIPACION('Datos Protegidos'!DC30,PARTIDOS!DD$5)</f>
        <v>0</v>
      </c>
      <c r="DD30" s="3">
        <v>0</v>
      </c>
      <c r="DE30" s="3">
        <f>PARTICIPACION('Datos Protegidos'!DE30,PARTIDOS!DF$5)</f>
        <v>0</v>
      </c>
      <c r="DF30" s="3">
        <v>0</v>
      </c>
      <c r="DG30" s="3">
        <f>PARTICIPACION('Datos Protegidos'!DG30,PARTIDOS!DH$5)</f>
        <v>154</v>
      </c>
      <c r="DH30" s="3">
        <v>0</v>
      </c>
      <c r="DI30" s="3">
        <f>PARTICIPACION('Datos Protegidos'!DI30,PARTIDOS!DJ$5)</f>
        <v>0</v>
      </c>
      <c r="DJ30" s="3">
        <v>0</v>
      </c>
      <c r="DK30" s="3">
        <f>PARTICIPACION('Datos Protegidos'!DK30,PARTIDOS!DL$5)</f>
        <v>527</v>
      </c>
      <c r="DL30" s="3">
        <v>0</v>
      </c>
      <c r="DM30" s="3">
        <f>PARTICIPACION('Datos Protegidos'!DM30,PARTIDOS!DN$5)</f>
        <v>0</v>
      </c>
      <c r="DN30" s="3">
        <v>0</v>
      </c>
      <c r="DO30" s="3">
        <f>PARTICIPACION('Datos Protegidos'!DO30,PARTIDOS!DP$5)</f>
        <v>0</v>
      </c>
      <c r="DP30" s="3">
        <v>0</v>
      </c>
      <c r="DQ30" s="3">
        <f>PARTICIPACION('Datos Protegidos'!DQ30,PARTIDOS!DR$5)</f>
        <v>0</v>
      </c>
      <c r="DR30" s="3">
        <v>0</v>
      </c>
      <c r="DS30" s="3">
        <f>PARTICIPACION('Datos Protegidos'!DS30,PARTIDOS!DT$5)</f>
        <v>0</v>
      </c>
      <c r="DT30" s="3">
        <v>0</v>
      </c>
      <c r="DU30" s="3">
        <f>PARTICIPACION('Datos Protegidos'!DU30,PARTIDOS!DV$5)</f>
        <v>0</v>
      </c>
      <c r="DV30" s="3">
        <v>0</v>
      </c>
      <c r="DW30" s="3">
        <f>PARTICIPACION('Datos Protegidos'!DW30,PARTIDOS!DX$5)</f>
        <v>0</v>
      </c>
      <c r="DX30" s="3">
        <v>0</v>
      </c>
      <c r="DY30" s="3">
        <f>PARTICIPACION('Datos Protegidos'!DY30,PARTIDOS!DZ$5)</f>
        <v>0</v>
      </c>
      <c r="DZ30" s="3">
        <v>0</v>
      </c>
      <c r="EA30" s="3">
        <f>PARTICIPACION('Datos Protegidos'!EA30,PARTIDOS!EB$5)</f>
        <v>0</v>
      </c>
      <c r="EB30" s="3">
        <v>0</v>
      </c>
      <c r="EC30" s="3">
        <f>PARTICIPACION('Datos Protegidos'!EC30,PARTIDOS!ED$5)</f>
        <v>0</v>
      </c>
      <c r="ED30" s="3">
        <v>0</v>
      </c>
    </row>
    <row r="31" spans="1:134" x14ac:dyDescent="0.25">
      <c r="A31" s="3">
        <f>PARTICIPACION('Datos Protegidos'!A31,PARTIDOS!B$5)</f>
        <v>34384</v>
      </c>
      <c r="B31" s="3">
        <v>1</v>
      </c>
      <c r="C31" s="3">
        <f>PARTICIPACION('Datos Protegidos'!C31,PARTIDOS!D$5)</f>
        <v>34164</v>
      </c>
      <c r="D31" s="3">
        <v>1</v>
      </c>
      <c r="E31" s="3">
        <f>PARTICIPACION('Datos Protegidos'!E31,PARTIDOS!F$5)</f>
        <v>17376</v>
      </c>
      <c r="F31" s="3">
        <v>1</v>
      </c>
      <c r="G31" s="3">
        <f>PARTICIPACION('Datos Protegidos'!G31,PARTIDOS!H$5)</f>
        <v>7351</v>
      </c>
      <c r="H31" s="3">
        <v>0</v>
      </c>
      <c r="I31" s="3">
        <f>PARTICIPACION('Datos Protegidos'!I31,PARTIDOS!J$5)</f>
        <v>0</v>
      </c>
      <c r="J31" s="3">
        <v>0</v>
      </c>
      <c r="K31" s="3">
        <f>PARTICIPACION('Datos Protegidos'!K31,PARTIDOS!L$5)</f>
        <v>6835</v>
      </c>
      <c r="L31" s="3">
        <v>0</v>
      </c>
      <c r="M31" s="3">
        <f>PARTICIPACION('Datos Protegidos'!M31,PARTIDOS!N$5)</f>
        <v>0</v>
      </c>
      <c r="N31" s="3">
        <v>0</v>
      </c>
      <c r="O31" s="3">
        <f>PARTICIPACION('Datos Protegidos'!O31,PARTIDOS!P$5)</f>
        <v>0</v>
      </c>
      <c r="P31" s="3">
        <v>0</v>
      </c>
      <c r="Q31" s="3">
        <f>PARTICIPACION('Datos Protegidos'!Q31,PARTIDOS!R$5)</f>
        <v>0</v>
      </c>
      <c r="R31" s="3">
        <v>0</v>
      </c>
      <c r="S31" s="3">
        <f>PARTICIPACION('Datos Protegidos'!S31,PARTIDOS!T$5)</f>
        <v>0</v>
      </c>
      <c r="T31" s="3">
        <v>0</v>
      </c>
      <c r="U31" s="3">
        <f>PARTICIPACION('Datos Protegidos'!U31,PARTIDOS!V$5)</f>
        <v>0</v>
      </c>
      <c r="V31" s="3">
        <v>0</v>
      </c>
      <c r="W31" s="3">
        <f>PARTICIPACION('Datos Protegidos'!W31,PARTIDOS!X$5)</f>
        <v>0</v>
      </c>
      <c r="X31" s="3">
        <v>0</v>
      </c>
      <c r="Y31" s="3">
        <f>PARTICIPACION('Datos Protegidos'!Y31,PARTIDOS!Z$5)</f>
        <v>0</v>
      </c>
      <c r="Z31" s="3">
        <v>0</v>
      </c>
      <c r="AA31" s="3">
        <f>PARTICIPACION('Datos Protegidos'!AA31,PARTIDOS!AB$5)</f>
        <v>0</v>
      </c>
      <c r="AB31" s="3">
        <v>0</v>
      </c>
      <c r="AC31" s="3">
        <f>PARTICIPACION('Datos Protegidos'!AC31,PARTIDOS!AD$5)</f>
        <v>0</v>
      </c>
      <c r="AD31" s="3">
        <v>0</v>
      </c>
      <c r="AE31" s="3">
        <f>PARTICIPACION('Datos Protegidos'!AE31,PARTIDOS!AF$5)</f>
        <v>0</v>
      </c>
      <c r="AF31" s="3">
        <v>0</v>
      </c>
      <c r="AG31" s="3">
        <f>PARTICIPACION('Datos Protegidos'!AG31,PARTIDOS!AH$5)</f>
        <v>0</v>
      </c>
      <c r="AH31" s="3">
        <v>0</v>
      </c>
      <c r="AI31" s="3">
        <f>PARTICIPACION('Datos Protegidos'!AI31,PARTIDOS!AJ$5)</f>
        <v>0</v>
      </c>
      <c r="AJ31" s="3">
        <v>0</v>
      </c>
      <c r="AK31" s="3">
        <f>PARTICIPACION('Datos Protegidos'!AK31,PARTIDOS!AL$5)</f>
        <v>0</v>
      </c>
      <c r="AL31" s="3">
        <v>0</v>
      </c>
      <c r="AM31" s="3">
        <f>PARTICIPACION('Datos Protegidos'!AM31,PARTIDOS!AN$5)</f>
        <v>429</v>
      </c>
      <c r="AN31" s="3">
        <v>0</v>
      </c>
      <c r="AO31" s="3">
        <f>PARTICIPACION('Datos Protegidos'!AO31,PARTIDOS!AP$5)</f>
        <v>0</v>
      </c>
      <c r="AP31" s="3">
        <v>0</v>
      </c>
      <c r="AQ31" s="3">
        <f>PARTICIPACION('Datos Protegidos'!AQ31,PARTIDOS!AR$5)</f>
        <v>128</v>
      </c>
      <c r="AR31" s="3">
        <v>0</v>
      </c>
      <c r="AS31" s="3">
        <f>PARTICIPACION('Datos Protegidos'!AS31,PARTIDOS!AT$5)</f>
        <v>142</v>
      </c>
      <c r="AT31" s="3">
        <v>0</v>
      </c>
      <c r="AU31" s="3">
        <f>PARTICIPACION('Datos Protegidos'!AU31,PARTIDOS!AV$5)</f>
        <v>0</v>
      </c>
      <c r="AV31" s="3">
        <v>0</v>
      </c>
      <c r="AW31" s="3">
        <f>PARTICIPACION('Datos Protegidos'!AW31,PARTIDOS!AX$5)</f>
        <v>0</v>
      </c>
      <c r="AX31" s="3">
        <v>0</v>
      </c>
      <c r="AY31" s="3">
        <f>PARTICIPACION('Datos Protegidos'!AY31,PARTIDOS!AZ$5)</f>
        <v>0</v>
      </c>
      <c r="AZ31" s="3">
        <v>0</v>
      </c>
      <c r="BA31" s="3">
        <f>PARTICIPACION('Datos Protegidos'!BA31,PARTIDOS!BB$5)</f>
        <v>0</v>
      </c>
      <c r="BB31" s="3">
        <v>0</v>
      </c>
      <c r="BC31" s="3">
        <f>PARTICIPACION('Datos Protegidos'!BC31,PARTIDOS!BD$5)</f>
        <v>126</v>
      </c>
      <c r="BD31" s="3">
        <v>0</v>
      </c>
      <c r="BE31" s="3">
        <f>PARTICIPACION('Datos Protegidos'!BE31,PARTIDOS!BF$5)</f>
        <v>0</v>
      </c>
      <c r="BF31" s="3">
        <v>0</v>
      </c>
      <c r="BG31" s="3">
        <f>PARTICIPACION('Datos Protegidos'!BG31,PARTIDOS!BH$5)</f>
        <v>367</v>
      </c>
      <c r="BH31" s="3">
        <v>0</v>
      </c>
      <c r="BI31" s="3">
        <f>PARTICIPACION('Datos Protegidos'!BI31,PARTIDOS!BJ$5)</f>
        <v>0</v>
      </c>
      <c r="BJ31" s="3">
        <v>0</v>
      </c>
      <c r="BK31" s="3">
        <f>PARTICIPACION('Datos Protegidos'!BK31,PARTIDOS!BL$5)</f>
        <v>0</v>
      </c>
      <c r="BL31" s="3">
        <v>0</v>
      </c>
      <c r="BM31" s="3">
        <f>PARTICIPACION('Datos Protegidos'!BM31,PARTIDOS!BN$5)</f>
        <v>0</v>
      </c>
      <c r="BN31" s="3">
        <v>0</v>
      </c>
      <c r="BO31" s="3">
        <f>PARTICIPACION('Datos Protegidos'!BO31,PARTIDOS!BP$5)</f>
        <v>0</v>
      </c>
      <c r="BP31" s="3">
        <v>0</v>
      </c>
      <c r="BQ31" s="3">
        <f>PARTICIPACION('Datos Protegidos'!BQ31,PARTIDOS!BR$5)</f>
        <v>0</v>
      </c>
      <c r="BR31" s="3">
        <v>0</v>
      </c>
      <c r="BS31" s="3">
        <f>PARTICIPACION('Datos Protegidos'!BS31,PARTIDOS!BT$5)</f>
        <v>0</v>
      </c>
      <c r="BT31" s="3">
        <v>0</v>
      </c>
      <c r="BU31" s="3">
        <f>PARTICIPACION('Datos Protegidos'!BU31,PARTIDOS!BV$5)</f>
        <v>0</v>
      </c>
      <c r="BV31" s="3">
        <v>0</v>
      </c>
      <c r="BW31" s="3">
        <f>PARTICIPACION('Datos Protegidos'!BW31,PARTIDOS!BX$5)</f>
        <v>0</v>
      </c>
      <c r="BX31" s="3">
        <v>0</v>
      </c>
      <c r="BY31" s="3">
        <f>PARTICIPACION('Datos Protegidos'!BY31,PARTIDOS!BZ$5)</f>
        <v>0</v>
      </c>
      <c r="BZ31" s="3">
        <v>0</v>
      </c>
      <c r="CA31" s="3">
        <f>PARTICIPACION('Datos Protegidos'!CA31,PARTIDOS!CB$5)</f>
        <v>0</v>
      </c>
      <c r="CB31" s="3">
        <v>0</v>
      </c>
      <c r="CC31" s="3">
        <f>PARTICIPACION('Datos Protegidos'!CC31,PARTIDOS!CD$5)</f>
        <v>0</v>
      </c>
      <c r="CD31" s="3">
        <v>0</v>
      </c>
      <c r="CE31" s="3">
        <f>PARTICIPACION('Datos Protegidos'!CE31,PARTIDOS!CF$5)</f>
        <v>0</v>
      </c>
      <c r="CF31" s="3">
        <v>0</v>
      </c>
      <c r="CG31" s="3">
        <f>PARTICIPACION('Datos Protegidos'!CG31,PARTIDOS!CH$5)</f>
        <v>0</v>
      </c>
      <c r="CH31" s="3">
        <v>0</v>
      </c>
      <c r="CI31" s="3">
        <f>PARTICIPACION('Datos Protegidos'!CI31,PARTIDOS!CJ$5)</f>
        <v>0</v>
      </c>
      <c r="CJ31" s="3">
        <v>0</v>
      </c>
      <c r="CK31" s="3">
        <f>PARTICIPACION('Datos Protegidos'!CK31,PARTIDOS!CL$5)</f>
        <v>0</v>
      </c>
      <c r="CL31" s="3">
        <v>0</v>
      </c>
      <c r="CM31" s="3">
        <f>PARTICIPACION('Datos Protegidos'!CM31,PARTIDOS!CN$5)</f>
        <v>0</v>
      </c>
      <c r="CN31" s="3">
        <v>0</v>
      </c>
      <c r="CO31" s="3">
        <f>PARTICIPACION('Datos Protegidos'!CO31,PARTIDOS!CP$5)</f>
        <v>0</v>
      </c>
      <c r="CP31" s="3">
        <v>0</v>
      </c>
      <c r="CQ31" s="3">
        <f>PARTICIPACION('Datos Protegidos'!CQ31,PARTIDOS!CR$5)</f>
        <v>0</v>
      </c>
      <c r="CR31" s="3">
        <v>0</v>
      </c>
      <c r="CS31" s="3">
        <f>PARTICIPACION('Datos Protegidos'!CS31,PARTIDOS!CT$5)</f>
        <v>0</v>
      </c>
      <c r="CT31" s="3">
        <v>0</v>
      </c>
      <c r="CU31" s="3">
        <f>PARTICIPACION('Datos Protegidos'!CU31,PARTIDOS!CV$5)</f>
        <v>0</v>
      </c>
      <c r="CV31" s="3">
        <v>0</v>
      </c>
      <c r="CW31" s="3">
        <f>PARTICIPACION('Datos Protegidos'!CW31,PARTIDOS!CX$5)</f>
        <v>0</v>
      </c>
      <c r="CX31" s="3">
        <v>0</v>
      </c>
      <c r="CY31" s="3">
        <f>PARTICIPACION('Datos Protegidos'!CY31,PARTIDOS!CZ$5)</f>
        <v>276</v>
      </c>
      <c r="CZ31" s="3">
        <v>0</v>
      </c>
      <c r="DA31" s="3">
        <f>PARTICIPACION('Datos Protegidos'!DA31,PARTIDOS!DB$5)</f>
        <v>0</v>
      </c>
      <c r="DB31" s="3">
        <v>0</v>
      </c>
      <c r="DC31" s="3">
        <f>PARTICIPACION('Datos Protegidos'!DC31,PARTIDOS!DD$5)</f>
        <v>0</v>
      </c>
      <c r="DD31" s="3">
        <v>0</v>
      </c>
      <c r="DE31" s="3">
        <f>PARTICIPACION('Datos Protegidos'!DE31,PARTIDOS!DF$5)</f>
        <v>0</v>
      </c>
      <c r="DF31" s="3">
        <v>0</v>
      </c>
      <c r="DG31" s="3">
        <f>PARTICIPACION('Datos Protegidos'!DG31,PARTIDOS!DH$5)</f>
        <v>0</v>
      </c>
      <c r="DH31" s="3">
        <v>0</v>
      </c>
      <c r="DI31" s="3">
        <f>PARTICIPACION('Datos Protegidos'!DI31,PARTIDOS!DJ$5)</f>
        <v>0</v>
      </c>
      <c r="DJ31" s="3">
        <v>0</v>
      </c>
      <c r="DK31" s="3">
        <f>PARTICIPACION('Datos Protegidos'!DK31,PARTIDOS!DL$5)</f>
        <v>0</v>
      </c>
      <c r="DL31" s="3">
        <v>0</v>
      </c>
      <c r="DM31" s="3">
        <f>PARTICIPACION('Datos Protegidos'!DM31,PARTIDOS!DN$5)</f>
        <v>0</v>
      </c>
      <c r="DN31" s="3">
        <v>0</v>
      </c>
      <c r="DO31" s="3">
        <f>PARTICIPACION('Datos Protegidos'!DO31,PARTIDOS!DP$5)</f>
        <v>0</v>
      </c>
      <c r="DP31" s="3">
        <v>0</v>
      </c>
      <c r="DQ31" s="3">
        <f>PARTICIPACION('Datos Protegidos'!DQ31,PARTIDOS!DR$5)</f>
        <v>0</v>
      </c>
      <c r="DR31" s="3">
        <v>0</v>
      </c>
      <c r="DS31" s="3">
        <f>PARTICIPACION('Datos Protegidos'!DS31,PARTIDOS!DT$5)</f>
        <v>0</v>
      </c>
      <c r="DT31" s="3">
        <v>0</v>
      </c>
      <c r="DU31" s="3">
        <f>PARTICIPACION('Datos Protegidos'!DU31,PARTIDOS!DV$5)</f>
        <v>0</v>
      </c>
      <c r="DV31" s="3">
        <v>0</v>
      </c>
      <c r="DW31" s="3">
        <f>PARTICIPACION('Datos Protegidos'!DW31,PARTIDOS!DX$5)</f>
        <v>0</v>
      </c>
      <c r="DX31" s="3">
        <v>0</v>
      </c>
      <c r="DY31" s="3">
        <f>PARTICIPACION('Datos Protegidos'!DY31,PARTIDOS!DZ$5)</f>
        <v>0</v>
      </c>
      <c r="DZ31" s="3">
        <v>0</v>
      </c>
      <c r="EA31" s="3">
        <f>PARTICIPACION('Datos Protegidos'!EA31,PARTIDOS!EB$5)</f>
        <v>0</v>
      </c>
      <c r="EB31" s="3">
        <v>0</v>
      </c>
      <c r="EC31" s="3">
        <f>PARTICIPACION('Datos Protegidos'!EC31,PARTIDOS!ED$5)</f>
        <v>0</v>
      </c>
      <c r="ED31" s="3">
        <v>0</v>
      </c>
    </row>
    <row r="32" spans="1:134" x14ac:dyDescent="0.25">
      <c r="A32" s="3">
        <f>PARTICIPACION('Datos Protegidos'!A32,PARTIDOS!B$5)</f>
        <v>670234</v>
      </c>
      <c r="B32" s="3">
        <v>8</v>
      </c>
      <c r="C32" s="3">
        <f>PARTICIPACION('Datos Protegidos'!C32,PARTIDOS!D$5)</f>
        <v>230157</v>
      </c>
      <c r="D32" s="3">
        <v>2</v>
      </c>
      <c r="E32" s="3">
        <f>PARTICIPACION('Datos Protegidos'!E32,PARTIDOS!F$5)</f>
        <v>188409</v>
      </c>
      <c r="F32" s="3">
        <v>2</v>
      </c>
      <c r="G32" s="3">
        <f>PARTICIPACION('Datos Protegidos'!G32,PARTIDOS!H$5)</f>
        <v>0</v>
      </c>
      <c r="H32" s="3">
        <v>0</v>
      </c>
      <c r="I32" s="3">
        <f>PARTICIPACION('Datos Protegidos'!I32,PARTIDOS!J$5)</f>
        <v>603436</v>
      </c>
      <c r="J32" s="3">
        <v>7</v>
      </c>
      <c r="K32" s="3">
        <f>PARTICIPACION('Datos Protegidos'!K32,PARTIDOS!L$5)</f>
        <v>174124</v>
      </c>
      <c r="L32" s="3">
        <v>2</v>
      </c>
      <c r="M32" s="3">
        <f>PARTICIPACION('Datos Protegidos'!M32,PARTIDOS!N$5)</f>
        <v>335332</v>
      </c>
      <c r="N32" s="3">
        <v>4</v>
      </c>
      <c r="O32" s="3">
        <f>PARTICIPACION('Datos Protegidos'!O32,PARTIDOS!P$5)</f>
        <v>441169</v>
      </c>
      <c r="P32" s="3">
        <v>5</v>
      </c>
      <c r="Q32" s="3">
        <f>PARTICIPACION('Datos Protegidos'!Q32,PARTIDOS!R$5)</f>
        <v>0</v>
      </c>
      <c r="R32" s="3">
        <v>0</v>
      </c>
      <c r="S32" s="3">
        <f>PARTICIPACION('Datos Protegidos'!S32,PARTIDOS!T$5)</f>
        <v>0</v>
      </c>
      <c r="T32" s="3">
        <v>0</v>
      </c>
      <c r="U32" s="3">
        <f>PARTICIPACION('Datos Protegidos'!U32,PARTIDOS!V$5)</f>
        <v>0</v>
      </c>
      <c r="V32" s="3">
        <v>0</v>
      </c>
      <c r="W32" s="3">
        <f>PARTICIPACION('Datos Protegidos'!W32,PARTIDOS!X$5)</f>
        <v>174564</v>
      </c>
      <c r="X32" s="3">
        <v>2</v>
      </c>
      <c r="Y32" s="3">
        <f>PARTICIPACION('Datos Protegidos'!Y32,PARTIDOS!Z$5)</f>
        <v>0</v>
      </c>
      <c r="Z32" s="3">
        <v>0</v>
      </c>
      <c r="AA32" s="3">
        <f>PARTICIPACION('Datos Protegidos'!AA32,PARTIDOS!AB$5)</f>
        <v>0</v>
      </c>
      <c r="AB32" s="3">
        <v>0</v>
      </c>
      <c r="AC32" s="3">
        <f>PARTICIPACION('Datos Protegidos'!AC32,PARTIDOS!AD$5)</f>
        <v>0</v>
      </c>
      <c r="AD32" s="3">
        <v>0</v>
      </c>
      <c r="AE32" s="3">
        <f>PARTICIPACION('Datos Protegidos'!AE32,PARTIDOS!AF$5)</f>
        <v>0</v>
      </c>
      <c r="AF32" s="3">
        <v>0</v>
      </c>
      <c r="AG32" s="3">
        <f>PARTICIPACION('Datos Protegidos'!AG32,PARTIDOS!AH$5)</f>
        <v>0</v>
      </c>
      <c r="AH32" s="3">
        <v>0</v>
      </c>
      <c r="AI32" s="3">
        <f>PARTICIPACION('Datos Protegidos'!AI32,PARTIDOS!AJ$5)</f>
        <v>0</v>
      </c>
      <c r="AJ32" s="3">
        <v>0</v>
      </c>
      <c r="AK32" s="3">
        <f>PARTICIPACION('Datos Protegidos'!AK32,PARTIDOS!AL$5)</f>
        <v>0</v>
      </c>
      <c r="AL32" s="3">
        <v>0</v>
      </c>
      <c r="AM32" s="3">
        <f>PARTICIPACION('Datos Protegidos'!AM32,PARTIDOS!AN$5)</f>
        <v>34578</v>
      </c>
      <c r="AN32" s="3">
        <v>0</v>
      </c>
      <c r="AO32" s="3">
        <f>PARTICIPACION('Datos Protegidos'!AO32,PARTIDOS!AP$5)</f>
        <v>43917</v>
      </c>
      <c r="AP32" s="3">
        <v>0</v>
      </c>
      <c r="AQ32" s="3">
        <f>PARTICIPACION('Datos Protegidos'!AQ32,PARTIDOS!AR$5)</f>
        <v>4674</v>
      </c>
      <c r="AR32" s="3">
        <v>0</v>
      </c>
      <c r="AS32" s="3">
        <f>PARTICIPACION('Datos Protegidos'!AS32,PARTIDOS!AT$5)</f>
        <v>1569</v>
      </c>
      <c r="AT32" s="3">
        <v>0</v>
      </c>
      <c r="AU32" s="3">
        <f>PARTICIPACION('Datos Protegidos'!AU32,PARTIDOS!AV$5)</f>
        <v>0</v>
      </c>
      <c r="AV32" s="3">
        <v>0</v>
      </c>
      <c r="AW32" s="3">
        <f>PARTICIPACION('Datos Protegidos'!AW32,PARTIDOS!AX$5)</f>
        <v>0</v>
      </c>
      <c r="AX32" s="3">
        <v>0</v>
      </c>
      <c r="AY32" s="3">
        <f>PARTICIPACION('Datos Protegidos'!AY32,PARTIDOS!AZ$5)</f>
        <v>0</v>
      </c>
      <c r="AZ32" s="3">
        <v>0</v>
      </c>
      <c r="BA32" s="3">
        <f>PARTICIPACION('Datos Protegidos'!BA32,PARTIDOS!BB$5)</f>
        <v>1584</v>
      </c>
      <c r="BB32" s="3">
        <v>0</v>
      </c>
      <c r="BC32" s="3">
        <f>PARTICIPACION('Datos Protegidos'!BC32,PARTIDOS!BD$5)</f>
        <v>1666</v>
      </c>
      <c r="BD32" s="3">
        <v>0</v>
      </c>
      <c r="BE32" s="3">
        <f>PARTICIPACION('Datos Protegidos'!BE32,PARTIDOS!BF$5)</f>
        <v>0</v>
      </c>
      <c r="BF32" s="3">
        <v>0</v>
      </c>
      <c r="BG32" s="3">
        <f>PARTICIPACION('Datos Protegidos'!BG32,PARTIDOS!BH$5)</f>
        <v>0</v>
      </c>
      <c r="BH32" s="3">
        <v>0</v>
      </c>
      <c r="BI32" s="3">
        <f>PARTICIPACION('Datos Protegidos'!BI32,PARTIDOS!BJ$5)</f>
        <v>0</v>
      </c>
      <c r="BJ32" s="3">
        <v>0</v>
      </c>
      <c r="BK32" s="3">
        <f>PARTICIPACION('Datos Protegidos'!BK32,PARTIDOS!BL$5)</f>
        <v>0</v>
      </c>
      <c r="BL32" s="3">
        <v>0</v>
      </c>
      <c r="BM32" s="3">
        <f>PARTICIPACION('Datos Protegidos'!BM32,PARTIDOS!BN$5)</f>
        <v>0</v>
      </c>
      <c r="BN32" s="3">
        <v>0</v>
      </c>
      <c r="BO32" s="3">
        <f>PARTICIPACION('Datos Protegidos'!BO32,PARTIDOS!BP$5)</f>
        <v>0</v>
      </c>
      <c r="BP32" s="3">
        <v>0</v>
      </c>
      <c r="BQ32" s="3">
        <f>PARTICIPACION('Datos Protegidos'!BQ32,PARTIDOS!BR$5)</f>
        <v>0</v>
      </c>
      <c r="BR32" s="3">
        <v>0</v>
      </c>
      <c r="BS32" s="3">
        <f>PARTICIPACION('Datos Protegidos'!BS32,PARTIDOS!BT$5)</f>
        <v>0</v>
      </c>
      <c r="BT32" s="3">
        <v>0</v>
      </c>
      <c r="BU32" s="3">
        <f>PARTICIPACION('Datos Protegidos'!BU32,PARTIDOS!BV$5)</f>
        <v>0</v>
      </c>
      <c r="BV32" s="3">
        <v>0</v>
      </c>
      <c r="BW32" s="3">
        <f>PARTICIPACION('Datos Protegidos'!BW32,PARTIDOS!BX$5)</f>
        <v>0</v>
      </c>
      <c r="BX32" s="3">
        <v>0</v>
      </c>
      <c r="BY32" s="3">
        <f>PARTICIPACION('Datos Protegidos'!BY32,PARTIDOS!BZ$5)</f>
        <v>2989</v>
      </c>
      <c r="BZ32" s="3">
        <v>0</v>
      </c>
      <c r="CA32" s="3">
        <f>PARTICIPACION('Datos Protegidos'!CA32,PARTIDOS!CB$5)</f>
        <v>0</v>
      </c>
      <c r="CB32" s="3">
        <v>0</v>
      </c>
      <c r="CC32" s="3">
        <f>PARTICIPACION('Datos Protegidos'!CC32,PARTIDOS!CD$5)</f>
        <v>0</v>
      </c>
      <c r="CD32" s="3">
        <v>0</v>
      </c>
      <c r="CE32" s="3">
        <f>PARTICIPACION('Datos Protegidos'!CE32,PARTIDOS!CF$5)</f>
        <v>1236</v>
      </c>
      <c r="CF32" s="3">
        <v>0</v>
      </c>
      <c r="CG32" s="3">
        <f>PARTICIPACION('Datos Protegidos'!CG32,PARTIDOS!CH$5)</f>
        <v>0</v>
      </c>
      <c r="CH32" s="3">
        <v>0</v>
      </c>
      <c r="CI32" s="3">
        <f>PARTICIPACION('Datos Protegidos'!CI32,PARTIDOS!CJ$5)</f>
        <v>0</v>
      </c>
      <c r="CJ32" s="3">
        <v>0</v>
      </c>
      <c r="CK32" s="3">
        <f>PARTICIPACION('Datos Protegidos'!CK32,PARTIDOS!CL$5)</f>
        <v>0</v>
      </c>
      <c r="CL32" s="3">
        <v>0</v>
      </c>
      <c r="CM32" s="3">
        <f>PARTICIPACION('Datos Protegidos'!CM32,PARTIDOS!CN$5)</f>
        <v>0</v>
      </c>
      <c r="CN32" s="3">
        <v>0</v>
      </c>
      <c r="CO32" s="3">
        <f>PARTICIPACION('Datos Protegidos'!CO32,PARTIDOS!CP$5)</f>
        <v>0</v>
      </c>
      <c r="CP32" s="3">
        <v>0</v>
      </c>
      <c r="CQ32" s="3">
        <f>PARTICIPACION('Datos Protegidos'!CQ32,PARTIDOS!CR$5)</f>
        <v>0</v>
      </c>
      <c r="CR32" s="3">
        <v>0</v>
      </c>
      <c r="CS32" s="3">
        <f>PARTICIPACION('Datos Protegidos'!CS32,PARTIDOS!CT$5)</f>
        <v>0</v>
      </c>
      <c r="CT32" s="3">
        <v>0</v>
      </c>
      <c r="CU32" s="3">
        <f>PARTICIPACION('Datos Protegidos'!CU32,PARTIDOS!CV$5)</f>
        <v>0</v>
      </c>
      <c r="CV32" s="3">
        <v>0</v>
      </c>
      <c r="CW32" s="3">
        <f>PARTICIPACION('Datos Protegidos'!CW32,PARTIDOS!CX$5)</f>
        <v>0</v>
      </c>
      <c r="CX32" s="3">
        <v>0</v>
      </c>
      <c r="CY32" s="3">
        <f>PARTICIPACION('Datos Protegidos'!CY32,PARTIDOS!CZ$5)</f>
        <v>0</v>
      </c>
      <c r="CZ32" s="3">
        <v>0</v>
      </c>
      <c r="DA32" s="3">
        <f>PARTICIPACION('Datos Protegidos'!DA32,PARTIDOS!DB$5)</f>
        <v>0</v>
      </c>
      <c r="DB32" s="3">
        <v>0</v>
      </c>
      <c r="DC32" s="3">
        <f>PARTICIPACION('Datos Protegidos'!DC32,PARTIDOS!DD$5)</f>
        <v>0</v>
      </c>
      <c r="DD32" s="3">
        <v>0</v>
      </c>
      <c r="DE32" s="3">
        <f>PARTICIPACION('Datos Protegidos'!DE32,PARTIDOS!DF$5)</f>
        <v>0</v>
      </c>
      <c r="DF32" s="3">
        <v>0</v>
      </c>
      <c r="DG32" s="3">
        <f>PARTICIPACION('Datos Protegidos'!DG32,PARTIDOS!DH$5)</f>
        <v>0</v>
      </c>
      <c r="DH32" s="3">
        <v>0</v>
      </c>
      <c r="DI32" s="3">
        <f>PARTICIPACION('Datos Protegidos'!DI32,PARTIDOS!DJ$5)</f>
        <v>0</v>
      </c>
      <c r="DJ32" s="3">
        <v>0</v>
      </c>
      <c r="DK32" s="3">
        <f>PARTICIPACION('Datos Protegidos'!DK32,PARTIDOS!DL$5)</f>
        <v>0</v>
      </c>
      <c r="DL32" s="3">
        <v>0</v>
      </c>
      <c r="DM32" s="3">
        <f>PARTICIPACION('Datos Protegidos'!DM32,PARTIDOS!DN$5)</f>
        <v>0</v>
      </c>
      <c r="DN32" s="3">
        <v>0</v>
      </c>
      <c r="DO32" s="3">
        <f>PARTICIPACION('Datos Protegidos'!DO32,PARTIDOS!DP$5)</f>
        <v>0</v>
      </c>
      <c r="DP32" s="3">
        <v>0</v>
      </c>
      <c r="DQ32" s="3">
        <f>PARTICIPACION('Datos Protegidos'!DQ32,PARTIDOS!DR$5)</f>
        <v>0</v>
      </c>
      <c r="DR32" s="3">
        <v>0</v>
      </c>
      <c r="DS32" s="3">
        <f>PARTICIPACION('Datos Protegidos'!DS32,PARTIDOS!DT$5)</f>
        <v>0</v>
      </c>
      <c r="DT32" s="3">
        <v>0</v>
      </c>
      <c r="DU32" s="3">
        <f>PARTICIPACION('Datos Protegidos'!DU32,PARTIDOS!DV$5)</f>
        <v>0</v>
      </c>
      <c r="DV32" s="3">
        <v>0</v>
      </c>
      <c r="DW32" s="3">
        <f>PARTICIPACION('Datos Protegidos'!DW32,PARTIDOS!DX$5)</f>
        <v>0</v>
      </c>
      <c r="DX32" s="3">
        <v>0</v>
      </c>
      <c r="DY32" s="3">
        <f>PARTICIPACION('Datos Protegidos'!DY32,PARTIDOS!DZ$5)</f>
        <v>0</v>
      </c>
      <c r="DZ32" s="3">
        <v>0</v>
      </c>
      <c r="EA32" s="3">
        <f>PARTICIPACION('Datos Protegidos'!EA32,PARTIDOS!EB$5)</f>
        <v>0</v>
      </c>
      <c r="EB32" s="3">
        <v>0</v>
      </c>
      <c r="EC32" s="3">
        <f>PARTICIPACION('Datos Protegidos'!EC32,PARTIDOS!ED$5)</f>
        <v>0</v>
      </c>
      <c r="ED32" s="3">
        <v>0</v>
      </c>
    </row>
    <row r="33" spans="1:134" x14ac:dyDescent="0.25">
      <c r="A33" s="3">
        <f>PARTICIPACION('Datos Protegidos'!A33,PARTIDOS!B$5)</f>
        <v>55359</v>
      </c>
      <c r="B33" s="3">
        <v>1</v>
      </c>
      <c r="C33" s="3">
        <f>PARTICIPACION('Datos Protegidos'!C33,PARTIDOS!D$5)</f>
        <v>17797</v>
      </c>
      <c r="D33" s="3">
        <v>0</v>
      </c>
      <c r="E33" s="3">
        <f>PARTICIPACION('Datos Protegidos'!E33,PARTIDOS!F$5)</f>
        <v>18858</v>
      </c>
      <c r="F33" s="3">
        <v>0</v>
      </c>
      <c r="G33" s="3">
        <f>PARTICIPACION('Datos Protegidos'!G33,PARTIDOS!H$5)</f>
        <v>0</v>
      </c>
      <c r="H33" s="3">
        <v>0</v>
      </c>
      <c r="I33" s="3">
        <f>PARTICIPACION('Datos Protegidos'!I33,PARTIDOS!J$5)</f>
        <v>89633</v>
      </c>
      <c r="J33" s="3">
        <v>2</v>
      </c>
      <c r="K33" s="3">
        <f>PARTICIPACION('Datos Protegidos'!K33,PARTIDOS!L$5)</f>
        <v>13869</v>
      </c>
      <c r="L33" s="3">
        <v>0</v>
      </c>
      <c r="M33" s="3">
        <f>PARTICIPACION('Datos Protegidos'!M33,PARTIDOS!N$5)</f>
        <v>85858</v>
      </c>
      <c r="N33" s="3">
        <v>2</v>
      </c>
      <c r="O33" s="3">
        <f>PARTICIPACION('Datos Protegidos'!O33,PARTIDOS!P$5)</f>
        <v>32867</v>
      </c>
      <c r="P33" s="3">
        <v>1</v>
      </c>
      <c r="Q33" s="3">
        <f>PARTICIPACION('Datos Protegidos'!Q33,PARTIDOS!R$5)</f>
        <v>0</v>
      </c>
      <c r="R33" s="3">
        <v>0</v>
      </c>
      <c r="S33" s="3">
        <f>PARTICIPACION('Datos Protegidos'!S33,PARTIDOS!T$5)</f>
        <v>0</v>
      </c>
      <c r="T33" s="3">
        <v>0</v>
      </c>
      <c r="U33" s="3">
        <f>PARTICIPACION('Datos Protegidos'!U33,PARTIDOS!V$5)</f>
        <v>0</v>
      </c>
      <c r="V33" s="3">
        <v>0</v>
      </c>
      <c r="W33" s="3">
        <f>PARTICIPACION('Datos Protegidos'!W33,PARTIDOS!X$5)</f>
        <v>30910</v>
      </c>
      <c r="X33" s="3">
        <v>0</v>
      </c>
      <c r="Y33" s="3">
        <f>PARTICIPACION('Datos Protegidos'!Y33,PARTIDOS!Z$5)</f>
        <v>0</v>
      </c>
      <c r="Z33" s="3">
        <v>0</v>
      </c>
      <c r="AA33" s="3">
        <f>PARTICIPACION('Datos Protegidos'!AA33,PARTIDOS!AB$5)</f>
        <v>0</v>
      </c>
      <c r="AB33" s="3">
        <v>0</v>
      </c>
      <c r="AC33" s="3">
        <f>PARTICIPACION('Datos Protegidos'!AC33,PARTIDOS!AD$5)</f>
        <v>0</v>
      </c>
      <c r="AD33" s="3">
        <v>0</v>
      </c>
      <c r="AE33" s="3">
        <f>PARTICIPACION('Datos Protegidos'!AE33,PARTIDOS!AF$5)</f>
        <v>0</v>
      </c>
      <c r="AF33" s="3">
        <v>0</v>
      </c>
      <c r="AG33" s="3">
        <f>PARTICIPACION('Datos Protegidos'!AG33,PARTIDOS!AH$5)</f>
        <v>0</v>
      </c>
      <c r="AH33" s="3">
        <v>0</v>
      </c>
      <c r="AI33" s="3">
        <f>PARTICIPACION('Datos Protegidos'!AI33,PARTIDOS!AJ$5)</f>
        <v>0</v>
      </c>
      <c r="AJ33" s="3">
        <v>0</v>
      </c>
      <c r="AK33" s="3">
        <f>PARTICIPACION('Datos Protegidos'!AK33,PARTIDOS!AL$5)</f>
        <v>0</v>
      </c>
      <c r="AL33" s="3">
        <v>0</v>
      </c>
      <c r="AM33" s="3">
        <f>PARTICIPACION('Datos Protegidos'!AM33,PARTIDOS!AN$5)</f>
        <v>3705</v>
      </c>
      <c r="AN33" s="3">
        <v>0</v>
      </c>
      <c r="AO33" s="3">
        <f>PARTICIPACION('Datos Protegidos'!AO33,PARTIDOS!AP$5)</f>
        <v>0</v>
      </c>
      <c r="AP33" s="3">
        <v>0</v>
      </c>
      <c r="AQ33" s="3">
        <f>PARTICIPACION('Datos Protegidos'!AQ33,PARTIDOS!AR$5)</f>
        <v>505</v>
      </c>
      <c r="AR33" s="3">
        <v>0</v>
      </c>
      <c r="AS33" s="3">
        <f>PARTICIPACION('Datos Protegidos'!AS33,PARTIDOS!AT$5)</f>
        <v>337</v>
      </c>
      <c r="AT33" s="3">
        <v>0</v>
      </c>
      <c r="AU33" s="3">
        <f>PARTICIPACION('Datos Protegidos'!AU33,PARTIDOS!AV$5)</f>
        <v>0</v>
      </c>
      <c r="AV33" s="3">
        <v>0</v>
      </c>
      <c r="AW33" s="3">
        <f>PARTICIPACION('Datos Protegidos'!AW33,PARTIDOS!AX$5)</f>
        <v>0</v>
      </c>
      <c r="AX33" s="3">
        <v>0</v>
      </c>
      <c r="AY33" s="3">
        <f>PARTICIPACION('Datos Protegidos'!AY33,PARTIDOS!AZ$5)</f>
        <v>0</v>
      </c>
      <c r="AZ33" s="3">
        <v>0</v>
      </c>
      <c r="BA33" s="3">
        <f>PARTICIPACION('Datos Protegidos'!BA33,PARTIDOS!BB$5)</f>
        <v>343</v>
      </c>
      <c r="BB33" s="3">
        <v>0</v>
      </c>
      <c r="BC33" s="3">
        <f>PARTICIPACION('Datos Protegidos'!BC33,PARTIDOS!BD$5)</f>
        <v>331</v>
      </c>
      <c r="BD33" s="3">
        <v>0</v>
      </c>
      <c r="BE33" s="3">
        <f>PARTICIPACION('Datos Protegidos'!BE33,PARTIDOS!BF$5)</f>
        <v>0</v>
      </c>
      <c r="BF33" s="3">
        <v>0</v>
      </c>
      <c r="BG33" s="3">
        <f>PARTICIPACION('Datos Protegidos'!BG33,PARTIDOS!BH$5)</f>
        <v>0</v>
      </c>
      <c r="BH33" s="3">
        <v>0</v>
      </c>
      <c r="BI33" s="3">
        <f>PARTICIPACION('Datos Protegidos'!BI33,PARTIDOS!BJ$5)</f>
        <v>0</v>
      </c>
      <c r="BJ33" s="3">
        <v>0</v>
      </c>
      <c r="BK33" s="3">
        <f>PARTICIPACION('Datos Protegidos'!BK33,PARTIDOS!BL$5)</f>
        <v>0</v>
      </c>
      <c r="BL33" s="3">
        <v>0</v>
      </c>
      <c r="BM33" s="3">
        <f>PARTICIPACION('Datos Protegidos'!BM33,PARTIDOS!BN$5)</f>
        <v>0</v>
      </c>
      <c r="BN33" s="3">
        <v>0</v>
      </c>
      <c r="BO33" s="3">
        <f>PARTICIPACION('Datos Protegidos'!BO33,PARTIDOS!BP$5)</f>
        <v>0</v>
      </c>
      <c r="BP33" s="3">
        <v>0</v>
      </c>
      <c r="BQ33" s="3">
        <f>PARTICIPACION('Datos Protegidos'!BQ33,PARTIDOS!BR$5)</f>
        <v>0</v>
      </c>
      <c r="BR33" s="3">
        <v>0</v>
      </c>
      <c r="BS33" s="3">
        <f>PARTICIPACION('Datos Protegidos'!BS33,PARTIDOS!BT$5)</f>
        <v>0</v>
      </c>
      <c r="BT33" s="3">
        <v>0</v>
      </c>
      <c r="BU33" s="3">
        <f>PARTICIPACION('Datos Protegidos'!BU33,PARTIDOS!BV$5)</f>
        <v>0</v>
      </c>
      <c r="BV33" s="3">
        <v>0</v>
      </c>
      <c r="BW33" s="3">
        <f>PARTICIPACION('Datos Protegidos'!BW33,PARTIDOS!BX$5)</f>
        <v>0</v>
      </c>
      <c r="BX33" s="3">
        <v>0</v>
      </c>
      <c r="BY33" s="3">
        <f>PARTICIPACION('Datos Protegidos'!BY33,PARTIDOS!BZ$5)</f>
        <v>0</v>
      </c>
      <c r="BZ33" s="3">
        <v>0</v>
      </c>
      <c r="CA33" s="3">
        <f>PARTICIPACION('Datos Protegidos'!CA33,PARTIDOS!CB$5)</f>
        <v>0</v>
      </c>
      <c r="CB33" s="3">
        <v>0</v>
      </c>
      <c r="CC33" s="3">
        <f>PARTICIPACION('Datos Protegidos'!CC33,PARTIDOS!CD$5)</f>
        <v>0</v>
      </c>
      <c r="CD33" s="3">
        <v>0</v>
      </c>
      <c r="CE33" s="3">
        <f>PARTICIPACION('Datos Protegidos'!CE33,PARTIDOS!CF$5)</f>
        <v>258</v>
      </c>
      <c r="CF33" s="3">
        <v>0</v>
      </c>
      <c r="CG33" s="3">
        <f>PARTICIPACION('Datos Protegidos'!CG33,PARTIDOS!CH$5)</f>
        <v>0</v>
      </c>
      <c r="CH33" s="3">
        <v>0</v>
      </c>
      <c r="CI33" s="3">
        <f>PARTICIPACION('Datos Protegidos'!CI33,PARTIDOS!CJ$5)</f>
        <v>0</v>
      </c>
      <c r="CJ33" s="3">
        <v>0</v>
      </c>
      <c r="CK33" s="3">
        <f>PARTICIPACION('Datos Protegidos'!CK33,PARTIDOS!CL$5)</f>
        <v>0</v>
      </c>
      <c r="CL33" s="3">
        <v>0</v>
      </c>
      <c r="CM33" s="3">
        <f>PARTICIPACION('Datos Protegidos'!CM33,PARTIDOS!CN$5)</f>
        <v>0</v>
      </c>
      <c r="CN33" s="3">
        <v>0</v>
      </c>
      <c r="CO33" s="3">
        <f>PARTICIPACION('Datos Protegidos'!CO33,PARTIDOS!CP$5)</f>
        <v>0</v>
      </c>
      <c r="CP33" s="3">
        <v>0</v>
      </c>
      <c r="CQ33" s="3">
        <f>PARTICIPACION('Datos Protegidos'!CQ33,PARTIDOS!CR$5)</f>
        <v>0</v>
      </c>
      <c r="CR33" s="3">
        <v>0</v>
      </c>
      <c r="CS33" s="3">
        <f>PARTICIPACION('Datos Protegidos'!CS33,PARTIDOS!CT$5)</f>
        <v>0</v>
      </c>
      <c r="CT33" s="3">
        <v>0</v>
      </c>
      <c r="CU33" s="3">
        <f>PARTICIPACION('Datos Protegidos'!CU33,PARTIDOS!CV$5)</f>
        <v>0</v>
      </c>
      <c r="CV33" s="3">
        <v>0</v>
      </c>
      <c r="CW33" s="3">
        <f>PARTICIPACION('Datos Protegidos'!CW33,PARTIDOS!CX$5)</f>
        <v>0</v>
      </c>
      <c r="CX33" s="3">
        <v>0</v>
      </c>
      <c r="CY33" s="3">
        <f>PARTICIPACION('Datos Protegidos'!CY33,PARTIDOS!CZ$5)</f>
        <v>0</v>
      </c>
      <c r="CZ33" s="3">
        <v>0</v>
      </c>
      <c r="DA33" s="3">
        <f>PARTICIPACION('Datos Protegidos'!DA33,PARTIDOS!DB$5)</f>
        <v>0</v>
      </c>
      <c r="DB33" s="3">
        <v>0</v>
      </c>
      <c r="DC33" s="3">
        <f>PARTICIPACION('Datos Protegidos'!DC33,PARTIDOS!DD$5)</f>
        <v>0</v>
      </c>
      <c r="DD33" s="3">
        <v>0</v>
      </c>
      <c r="DE33" s="3">
        <f>PARTICIPACION('Datos Protegidos'!DE33,PARTIDOS!DF$5)</f>
        <v>0</v>
      </c>
      <c r="DF33" s="3">
        <v>0</v>
      </c>
      <c r="DG33" s="3">
        <f>PARTICIPACION('Datos Protegidos'!DG33,PARTIDOS!DH$5)</f>
        <v>0</v>
      </c>
      <c r="DH33" s="3">
        <v>0</v>
      </c>
      <c r="DI33" s="3">
        <f>PARTICIPACION('Datos Protegidos'!DI33,PARTIDOS!DJ$5)</f>
        <v>0</v>
      </c>
      <c r="DJ33" s="3">
        <v>0</v>
      </c>
      <c r="DK33" s="3">
        <f>PARTICIPACION('Datos Protegidos'!DK33,PARTIDOS!DL$5)</f>
        <v>0</v>
      </c>
      <c r="DL33" s="3">
        <v>0</v>
      </c>
      <c r="DM33" s="3">
        <f>PARTICIPACION('Datos Protegidos'!DM33,PARTIDOS!DN$5)</f>
        <v>0</v>
      </c>
      <c r="DN33" s="3">
        <v>0</v>
      </c>
      <c r="DO33" s="3">
        <f>PARTICIPACION('Datos Protegidos'!DO33,PARTIDOS!DP$5)</f>
        <v>0</v>
      </c>
      <c r="DP33" s="3">
        <v>0</v>
      </c>
      <c r="DQ33" s="3">
        <f>PARTICIPACION('Datos Protegidos'!DQ33,PARTIDOS!DR$5)</f>
        <v>0</v>
      </c>
      <c r="DR33" s="3">
        <v>0</v>
      </c>
      <c r="DS33" s="3">
        <f>PARTICIPACION('Datos Protegidos'!DS33,PARTIDOS!DT$5)</f>
        <v>0</v>
      </c>
      <c r="DT33" s="3">
        <v>0</v>
      </c>
      <c r="DU33" s="3">
        <f>PARTICIPACION('Datos Protegidos'!DU33,PARTIDOS!DV$5)</f>
        <v>0</v>
      </c>
      <c r="DV33" s="3">
        <v>0</v>
      </c>
      <c r="DW33" s="3">
        <f>PARTICIPACION('Datos Protegidos'!DW33,PARTIDOS!DX$5)</f>
        <v>0</v>
      </c>
      <c r="DX33" s="3">
        <v>0</v>
      </c>
      <c r="DY33" s="3">
        <f>PARTICIPACION('Datos Protegidos'!DY33,PARTIDOS!DZ$5)</f>
        <v>0</v>
      </c>
      <c r="DZ33" s="3">
        <v>0</v>
      </c>
      <c r="EA33" s="3">
        <f>PARTICIPACION('Datos Protegidos'!EA33,PARTIDOS!EB$5)</f>
        <v>0</v>
      </c>
      <c r="EB33" s="3">
        <v>0</v>
      </c>
      <c r="EC33" s="3">
        <f>PARTICIPACION('Datos Protegidos'!EC33,PARTIDOS!ED$5)</f>
        <v>0</v>
      </c>
      <c r="ED33" s="3">
        <v>0</v>
      </c>
    </row>
    <row r="34" spans="1:134" x14ac:dyDescent="0.25">
      <c r="A34" s="3">
        <f>PARTICIPACION('Datos Protegidos'!A34,PARTIDOS!B$5)</f>
        <v>31482</v>
      </c>
      <c r="B34" s="3">
        <v>1</v>
      </c>
      <c r="C34" s="3">
        <f>PARTICIPACION('Datos Protegidos'!C34,PARTIDOS!D$5)</f>
        <v>14990</v>
      </c>
      <c r="D34" s="3">
        <v>0</v>
      </c>
      <c r="E34" s="3">
        <f>PARTICIPACION('Datos Protegidos'!E34,PARTIDOS!F$5)</f>
        <v>9498</v>
      </c>
      <c r="F34" s="3">
        <v>0</v>
      </c>
      <c r="G34" s="3">
        <f>PARTICIPACION('Datos Protegidos'!G34,PARTIDOS!H$5)</f>
        <v>0</v>
      </c>
      <c r="H34" s="3">
        <v>0</v>
      </c>
      <c r="I34" s="3">
        <f>PARTICIPACION('Datos Protegidos'!I34,PARTIDOS!J$5)</f>
        <v>63605</v>
      </c>
      <c r="J34" s="3">
        <v>2</v>
      </c>
      <c r="K34" s="3">
        <f>PARTICIPACION('Datos Protegidos'!K34,PARTIDOS!L$5)</f>
        <v>7128</v>
      </c>
      <c r="L34" s="3">
        <v>0</v>
      </c>
      <c r="M34" s="3">
        <f>PARTICIPACION('Datos Protegidos'!M34,PARTIDOS!N$5)</f>
        <v>45603</v>
      </c>
      <c r="N34" s="3">
        <v>1</v>
      </c>
      <c r="O34" s="3">
        <f>PARTICIPACION('Datos Protegidos'!O34,PARTIDOS!P$5)</f>
        <v>15928</v>
      </c>
      <c r="P34" s="3">
        <v>0</v>
      </c>
      <c r="Q34" s="3">
        <f>PARTICIPACION('Datos Protegidos'!Q34,PARTIDOS!R$5)</f>
        <v>0</v>
      </c>
      <c r="R34" s="3">
        <v>0</v>
      </c>
      <c r="S34" s="3">
        <f>PARTICIPACION('Datos Protegidos'!S34,PARTIDOS!T$5)</f>
        <v>0</v>
      </c>
      <c r="T34" s="3">
        <v>0</v>
      </c>
      <c r="U34" s="3">
        <f>PARTICIPACION('Datos Protegidos'!U34,PARTIDOS!V$5)</f>
        <v>0</v>
      </c>
      <c r="V34" s="3">
        <v>0</v>
      </c>
      <c r="W34" s="3">
        <f>PARTICIPACION('Datos Protegidos'!W34,PARTIDOS!X$5)</f>
        <v>13745</v>
      </c>
      <c r="X34" s="3">
        <v>0</v>
      </c>
      <c r="Y34" s="3">
        <f>PARTICIPACION('Datos Protegidos'!Y34,PARTIDOS!Z$5)</f>
        <v>0</v>
      </c>
      <c r="Z34" s="3">
        <v>0</v>
      </c>
      <c r="AA34" s="3">
        <f>PARTICIPACION('Datos Protegidos'!AA34,PARTIDOS!AB$5)</f>
        <v>0</v>
      </c>
      <c r="AB34" s="3">
        <v>0</v>
      </c>
      <c r="AC34" s="3">
        <f>PARTICIPACION('Datos Protegidos'!AC34,PARTIDOS!AD$5)</f>
        <v>0</v>
      </c>
      <c r="AD34" s="3">
        <v>0</v>
      </c>
      <c r="AE34" s="3">
        <f>PARTICIPACION('Datos Protegidos'!AE34,PARTIDOS!AF$5)</f>
        <v>0</v>
      </c>
      <c r="AF34" s="3">
        <v>0</v>
      </c>
      <c r="AG34" s="3">
        <f>PARTICIPACION('Datos Protegidos'!AG34,PARTIDOS!AH$5)</f>
        <v>0</v>
      </c>
      <c r="AH34" s="3">
        <v>0</v>
      </c>
      <c r="AI34" s="3">
        <f>PARTICIPACION('Datos Protegidos'!AI34,PARTIDOS!AJ$5)</f>
        <v>0</v>
      </c>
      <c r="AJ34" s="3">
        <v>0</v>
      </c>
      <c r="AK34" s="3">
        <f>PARTICIPACION('Datos Protegidos'!AK34,PARTIDOS!AL$5)</f>
        <v>0</v>
      </c>
      <c r="AL34" s="3">
        <v>0</v>
      </c>
      <c r="AM34" s="3">
        <f>PARTICIPACION('Datos Protegidos'!AM34,PARTIDOS!AN$5)</f>
        <v>1513</v>
      </c>
      <c r="AN34" s="3">
        <v>0</v>
      </c>
      <c r="AO34" s="3">
        <f>PARTICIPACION('Datos Protegidos'!AO34,PARTIDOS!AP$5)</f>
        <v>0</v>
      </c>
      <c r="AP34" s="3">
        <v>0</v>
      </c>
      <c r="AQ34" s="3">
        <f>PARTICIPACION('Datos Protegidos'!AQ34,PARTIDOS!AR$5)</f>
        <v>182</v>
      </c>
      <c r="AR34" s="3">
        <v>0</v>
      </c>
      <c r="AS34" s="3">
        <f>PARTICIPACION('Datos Protegidos'!AS34,PARTIDOS!AT$5)</f>
        <v>168</v>
      </c>
      <c r="AT34" s="3">
        <v>0</v>
      </c>
      <c r="AU34" s="3">
        <f>PARTICIPACION('Datos Protegidos'!AU34,PARTIDOS!AV$5)</f>
        <v>0</v>
      </c>
      <c r="AV34" s="3">
        <v>0</v>
      </c>
      <c r="AW34" s="3">
        <f>PARTICIPACION('Datos Protegidos'!AW34,PARTIDOS!AX$5)</f>
        <v>0</v>
      </c>
      <c r="AX34" s="3">
        <v>0</v>
      </c>
      <c r="AY34" s="3">
        <f>PARTICIPACION('Datos Protegidos'!AY34,PARTIDOS!AZ$5)</f>
        <v>0</v>
      </c>
      <c r="AZ34" s="3">
        <v>0</v>
      </c>
      <c r="BA34" s="3">
        <f>PARTICIPACION('Datos Protegidos'!BA34,PARTIDOS!BB$5)</f>
        <v>135</v>
      </c>
      <c r="BB34" s="3">
        <v>0</v>
      </c>
      <c r="BC34" s="3">
        <f>PARTICIPACION('Datos Protegidos'!BC34,PARTIDOS!BD$5)</f>
        <v>132</v>
      </c>
      <c r="BD34" s="3">
        <v>0</v>
      </c>
      <c r="BE34" s="3">
        <f>PARTICIPACION('Datos Protegidos'!BE34,PARTIDOS!BF$5)</f>
        <v>0</v>
      </c>
      <c r="BF34" s="3">
        <v>0</v>
      </c>
      <c r="BG34" s="3">
        <f>PARTICIPACION('Datos Protegidos'!BG34,PARTIDOS!BH$5)</f>
        <v>0</v>
      </c>
      <c r="BH34" s="3">
        <v>0</v>
      </c>
      <c r="BI34" s="3">
        <f>PARTICIPACION('Datos Protegidos'!BI34,PARTIDOS!BJ$5)</f>
        <v>0</v>
      </c>
      <c r="BJ34" s="3">
        <v>0</v>
      </c>
      <c r="BK34" s="3">
        <f>PARTICIPACION('Datos Protegidos'!BK34,PARTIDOS!BL$5)</f>
        <v>0</v>
      </c>
      <c r="BL34" s="3">
        <v>0</v>
      </c>
      <c r="BM34" s="3">
        <f>PARTICIPACION('Datos Protegidos'!BM34,PARTIDOS!BN$5)</f>
        <v>0</v>
      </c>
      <c r="BN34" s="3">
        <v>0</v>
      </c>
      <c r="BO34" s="3">
        <f>PARTICIPACION('Datos Protegidos'!BO34,PARTIDOS!BP$5)</f>
        <v>0</v>
      </c>
      <c r="BP34" s="3">
        <v>0</v>
      </c>
      <c r="BQ34" s="3">
        <f>PARTICIPACION('Datos Protegidos'!BQ34,PARTIDOS!BR$5)</f>
        <v>0</v>
      </c>
      <c r="BR34" s="3">
        <v>0</v>
      </c>
      <c r="BS34" s="3">
        <f>PARTICIPACION('Datos Protegidos'!BS34,PARTIDOS!BT$5)</f>
        <v>0</v>
      </c>
      <c r="BT34" s="3">
        <v>0</v>
      </c>
      <c r="BU34" s="3">
        <f>PARTICIPACION('Datos Protegidos'!BU34,PARTIDOS!BV$5)</f>
        <v>0</v>
      </c>
      <c r="BV34" s="3">
        <v>0</v>
      </c>
      <c r="BW34" s="3">
        <f>PARTICIPACION('Datos Protegidos'!BW34,PARTIDOS!BX$5)</f>
        <v>0</v>
      </c>
      <c r="BX34" s="3">
        <v>0</v>
      </c>
      <c r="BY34" s="3">
        <f>PARTICIPACION('Datos Protegidos'!BY34,PARTIDOS!BZ$5)</f>
        <v>0</v>
      </c>
      <c r="BZ34" s="3">
        <v>0</v>
      </c>
      <c r="CA34" s="3">
        <f>PARTICIPACION('Datos Protegidos'!CA34,PARTIDOS!CB$5)</f>
        <v>0</v>
      </c>
      <c r="CB34" s="3">
        <v>0</v>
      </c>
      <c r="CC34" s="3">
        <f>PARTICIPACION('Datos Protegidos'!CC34,PARTIDOS!CD$5)</f>
        <v>0</v>
      </c>
      <c r="CD34" s="3">
        <v>0</v>
      </c>
      <c r="CE34" s="3">
        <f>PARTICIPACION('Datos Protegidos'!CE34,PARTIDOS!CF$5)</f>
        <v>130</v>
      </c>
      <c r="CF34" s="3">
        <v>0</v>
      </c>
      <c r="CG34" s="3">
        <f>PARTICIPACION('Datos Protegidos'!CG34,PARTIDOS!CH$5)</f>
        <v>0</v>
      </c>
      <c r="CH34" s="3">
        <v>0</v>
      </c>
      <c r="CI34" s="3">
        <f>PARTICIPACION('Datos Protegidos'!CI34,PARTIDOS!CJ$5)</f>
        <v>0</v>
      </c>
      <c r="CJ34" s="3">
        <v>0</v>
      </c>
      <c r="CK34" s="3">
        <f>PARTICIPACION('Datos Protegidos'!CK34,PARTIDOS!CL$5)</f>
        <v>0</v>
      </c>
      <c r="CL34" s="3">
        <v>0</v>
      </c>
      <c r="CM34" s="3">
        <f>PARTICIPACION('Datos Protegidos'!CM34,PARTIDOS!CN$5)</f>
        <v>0</v>
      </c>
      <c r="CN34" s="3">
        <v>0</v>
      </c>
      <c r="CO34" s="3">
        <f>PARTICIPACION('Datos Protegidos'!CO34,PARTIDOS!CP$5)</f>
        <v>0</v>
      </c>
      <c r="CP34" s="3">
        <v>0</v>
      </c>
      <c r="CQ34" s="3">
        <f>PARTICIPACION('Datos Protegidos'!CQ34,PARTIDOS!CR$5)</f>
        <v>0</v>
      </c>
      <c r="CR34" s="3">
        <v>0</v>
      </c>
      <c r="CS34" s="3">
        <f>PARTICIPACION('Datos Protegidos'!CS34,PARTIDOS!CT$5)</f>
        <v>0</v>
      </c>
      <c r="CT34" s="3">
        <v>0</v>
      </c>
      <c r="CU34" s="3">
        <f>PARTICIPACION('Datos Protegidos'!CU34,PARTIDOS!CV$5)</f>
        <v>0</v>
      </c>
      <c r="CV34" s="3">
        <v>0</v>
      </c>
      <c r="CW34" s="3">
        <f>PARTICIPACION('Datos Protegidos'!CW34,PARTIDOS!CX$5)</f>
        <v>0</v>
      </c>
      <c r="CX34" s="3">
        <v>0</v>
      </c>
      <c r="CY34" s="3">
        <f>PARTICIPACION('Datos Protegidos'!CY34,PARTIDOS!CZ$5)</f>
        <v>0</v>
      </c>
      <c r="CZ34" s="3">
        <v>0</v>
      </c>
      <c r="DA34" s="3">
        <f>PARTICIPACION('Datos Protegidos'!DA34,PARTIDOS!DB$5)</f>
        <v>0</v>
      </c>
      <c r="DB34" s="3">
        <v>0</v>
      </c>
      <c r="DC34" s="3">
        <f>PARTICIPACION('Datos Protegidos'!DC34,PARTIDOS!DD$5)</f>
        <v>0</v>
      </c>
      <c r="DD34" s="3">
        <v>0</v>
      </c>
      <c r="DE34" s="3">
        <f>PARTICIPACION('Datos Protegidos'!DE34,PARTIDOS!DF$5)</f>
        <v>0</v>
      </c>
      <c r="DF34" s="3">
        <v>0</v>
      </c>
      <c r="DG34" s="3">
        <f>PARTICIPACION('Datos Protegidos'!DG34,PARTIDOS!DH$5)</f>
        <v>0</v>
      </c>
      <c r="DH34" s="3">
        <v>0</v>
      </c>
      <c r="DI34" s="3">
        <f>PARTICIPACION('Datos Protegidos'!DI34,PARTIDOS!DJ$5)</f>
        <v>0</v>
      </c>
      <c r="DJ34" s="3">
        <v>0</v>
      </c>
      <c r="DK34" s="3">
        <f>PARTICIPACION('Datos Protegidos'!DK34,PARTIDOS!DL$5)</f>
        <v>0</v>
      </c>
      <c r="DL34" s="3">
        <v>0</v>
      </c>
      <c r="DM34" s="3">
        <f>PARTICIPACION('Datos Protegidos'!DM34,PARTIDOS!DN$5)</f>
        <v>0</v>
      </c>
      <c r="DN34" s="3">
        <v>0</v>
      </c>
      <c r="DO34" s="3">
        <f>PARTICIPACION('Datos Protegidos'!DO34,PARTIDOS!DP$5)</f>
        <v>0</v>
      </c>
      <c r="DP34" s="3">
        <v>0</v>
      </c>
      <c r="DQ34" s="3">
        <f>PARTICIPACION('Datos Protegidos'!DQ34,PARTIDOS!DR$5)</f>
        <v>0</v>
      </c>
      <c r="DR34" s="3">
        <v>0</v>
      </c>
      <c r="DS34" s="3">
        <f>PARTICIPACION('Datos Protegidos'!DS34,PARTIDOS!DT$5)</f>
        <v>0</v>
      </c>
      <c r="DT34" s="3">
        <v>0</v>
      </c>
      <c r="DU34" s="3">
        <f>PARTICIPACION('Datos Protegidos'!DU34,PARTIDOS!DV$5)</f>
        <v>0</v>
      </c>
      <c r="DV34" s="3">
        <v>0</v>
      </c>
      <c r="DW34" s="3">
        <f>PARTICIPACION('Datos Protegidos'!DW34,PARTIDOS!DX$5)</f>
        <v>0</v>
      </c>
      <c r="DX34" s="3">
        <v>0</v>
      </c>
      <c r="DY34" s="3">
        <f>PARTICIPACION('Datos Protegidos'!DY34,PARTIDOS!DZ$5)</f>
        <v>0</v>
      </c>
      <c r="DZ34" s="3">
        <v>0</v>
      </c>
      <c r="EA34" s="3">
        <f>PARTICIPACION('Datos Protegidos'!EA34,PARTIDOS!EB$5)</f>
        <v>0</v>
      </c>
      <c r="EB34" s="3">
        <v>0</v>
      </c>
      <c r="EC34" s="3">
        <f>PARTICIPACION('Datos Protegidos'!EC34,PARTIDOS!ED$5)</f>
        <v>0</v>
      </c>
      <c r="ED34" s="3">
        <v>0</v>
      </c>
    </row>
    <row r="35" spans="1:134" x14ac:dyDescent="0.25">
      <c r="A35" s="3">
        <f>PARTICIPACION('Datos Protegidos'!A35,PARTIDOS!B$5)</f>
        <v>77323</v>
      </c>
      <c r="B35" s="3">
        <v>2</v>
      </c>
      <c r="C35" s="3">
        <f>PARTICIPACION('Datos Protegidos'!C35,PARTIDOS!D$5)</f>
        <v>30521</v>
      </c>
      <c r="D35" s="3">
        <v>0</v>
      </c>
      <c r="E35" s="3">
        <f>PARTICIPACION('Datos Protegidos'!E35,PARTIDOS!F$5)</f>
        <v>31746</v>
      </c>
      <c r="F35" s="3">
        <v>0</v>
      </c>
      <c r="G35" s="3">
        <f>PARTICIPACION('Datos Protegidos'!G35,PARTIDOS!H$5)</f>
        <v>0</v>
      </c>
      <c r="H35" s="3">
        <v>0</v>
      </c>
      <c r="I35" s="3">
        <f>PARTICIPACION('Datos Protegidos'!I35,PARTIDOS!J$5)</f>
        <v>96312</v>
      </c>
      <c r="J35" s="3">
        <v>2</v>
      </c>
      <c r="K35" s="3">
        <f>PARTICIPACION('Datos Protegidos'!K35,PARTIDOS!L$5)</f>
        <v>22814</v>
      </c>
      <c r="L35" s="3">
        <v>0</v>
      </c>
      <c r="M35" s="3">
        <f>PARTICIPACION('Datos Protegidos'!M35,PARTIDOS!N$5)</f>
        <v>50174</v>
      </c>
      <c r="N35" s="3">
        <v>1</v>
      </c>
      <c r="O35" s="3">
        <f>PARTICIPACION('Datos Protegidos'!O35,PARTIDOS!P$5)</f>
        <v>45477</v>
      </c>
      <c r="P35" s="3">
        <v>1</v>
      </c>
      <c r="Q35" s="3">
        <f>PARTICIPACION('Datos Protegidos'!Q35,PARTIDOS!R$5)</f>
        <v>0</v>
      </c>
      <c r="R35" s="3">
        <v>0</v>
      </c>
      <c r="S35" s="3">
        <f>PARTICIPACION('Datos Protegidos'!S35,PARTIDOS!T$5)</f>
        <v>0</v>
      </c>
      <c r="T35" s="3">
        <v>0</v>
      </c>
      <c r="U35" s="3">
        <f>PARTICIPACION('Datos Protegidos'!U35,PARTIDOS!V$5)</f>
        <v>0</v>
      </c>
      <c r="V35" s="3">
        <v>0</v>
      </c>
      <c r="W35" s="3">
        <f>PARTICIPACION('Datos Protegidos'!W35,PARTIDOS!X$5)</f>
        <v>21575</v>
      </c>
      <c r="X35" s="3">
        <v>0</v>
      </c>
      <c r="Y35" s="3">
        <f>PARTICIPACION('Datos Protegidos'!Y35,PARTIDOS!Z$5)</f>
        <v>0</v>
      </c>
      <c r="Z35" s="3">
        <v>0</v>
      </c>
      <c r="AA35" s="3">
        <f>PARTICIPACION('Datos Protegidos'!AA35,PARTIDOS!AB$5)</f>
        <v>0</v>
      </c>
      <c r="AB35" s="3">
        <v>0</v>
      </c>
      <c r="AC35" s="3">
        <f>PARTICIPACION('Datos Protegidos'!AC35,PARTIDOS!AD$5)</f>
        <v>0</v>
      </c>
      <c r="AD35" s="3">
        <v>0</v>
      </c>
      <c r="AE35" s="3">
        <f>PARTICIPACION('Datos Protegidos'!AE35,PARTIDOS!AF$5)</f>
        <v>0</v>
      </c>
      <c r="AF35" s="3">
        <v>0</v>
      </c>
      <c r="AG35" s="3">
        <f>PARTICIPACION('Datos Protegidos'!AG35,PARTIDOS!AH$5)</f>
        <v>0</v>
      </c>
      <c r="AH35" s="3">
        <v>0</v>
      </c>
      <c r="AI35" s="3">
        <f>PARTICIPACION('Datos Protegidos'!AI35,PARTIDOS!AJ$5)</f>
        <v>0</v>
      </c>
      <c r="AJ35" s="3">
        <v>0</v>
      </c>
      <c r="AK35" s="3">
        <f>PARTICIPACION('Datos Protegidos'!AK35,PARTIDOS!AL$5)</f>
        <v>0</v>
      </c>
      <c r="AL35" s="3">
        <v>0</v>
      </c>
      <c r="AM35" s="3">
        <f>PARTICIPACION('Datos Protegidos'!AM35,PARTIDOS!AN$5)</f>
        <v>4565</v>
      </c>
      <c r="AN35" s="3">
        <v>0</v>
      </c>
      <c r="AO35" s="3">
        <f>PARTICIPACION('Datos Protegidos'!AO35,PARTIDOS!AP$5)</f>
        <v>0</v>
      </c>
      <c r="AP35" s="3">
        <v>0</v>
      </c>
      <c r="AQ35" s="3">
        <f>PARTICIPACION('Datos Protegidos'!AQ35,PARTIDOS!AR$5)</f>
        <v>530</v>
      </c>
      <c r="AR35" s="3">
        <v>0</v>
      </c>
      <c r="AS35" s="3">
        <f>PARTICIPACION('Datos Protegidos'!AS35,PARTIDOS!AT$5)</f>
        <v>349</v>
      </c>
      <c r="AT35" s="3">
        <v>0</v>
      </c>
      <c r="AU35" s="3">
        <f>PARTICIPACION('Datos Protegidos'!AU35,PARTIDOS!AV$5)</f>
        <v>0</v>
      </c>
      <c r="AV35" s="3">
        <v>0</v>
      </c>
      <c r="AW35" s="3">
        <f>PARTICIPACION('Datos Protegidos'!AW35,PARTIDOS!AX$5)</f>
        <v>0</v>
      </c>
      <c r="AX35" s="3">
        <v>0</v>
      </c>
      <c r="AY35" s="3">
        <f>PARTICIPACION('Datos Protegidos'!AY35,PARTIDOS!AZ$5)</f>
        <v>0</v>
      </c>
      <c r="AZ35" s="3">
        <v>0</v>
      </c>
      <c r="BA35" s="3">
        <f>PARTICIPACION('Datos Protegidos'!BA35,PARTIDOS!BB$5)</f>
        <v>189</v>
      </c>
      <c r="BB35" s="3">
        <v>0</v>
      </c>
      <c r="BC35" s="3">
        <f>PARTICIPACION('Datos Protegidos'!BC35,PARTIDOS!BD$5)</f>
        <v>200</v>
      </c>
      <c r="BD35" s="3">
        <v>0</v>
      </c>
      <c r="BE35" s="3">
        <f>PARTICIPACION('Datos Protegidos'!BE35,PARTIDOS!BF$5)</f>
        <v>0</v>
      </c>
      <c r="BF35" s="3">
        <v>0</v>
      </c>
      <c r="BG35" s="3">
        <f>PARTICIPACION('Datos Protegidos'!BG35,PARTIDOS!BH$5)</f>
        <v>0</v>
      </c>
      <c r="BH35" s="3">
        <v>0</v>
      </c>
      <c r="BI35" s="3">
        <f>PARTICIPACION('Datos Protegidos'!BI35,PARTIDOS!BJ$5)</f>
        <v>0</v>
      </c>
      <c r="BJ35" s="3">
        <v>0</v>
      </c>
      <c r="BK35" s="3">
        <f>PARTICIPACION('Datos Protegidos'!BK35,PARTIDOS!BL$5)</f>
        <v>0</v>
      </c>
      <c r="BL35" s="3">
        <v>0</v>
      </c>
      <c r="BM35" s="3">
        <f>PARTICIPACION('Datos Protegidos'!BM35,PARTIDOS!BN$5)</f>
        <v>0</v>
      </c>
      <c r="BN35" s="3">
        <v>0</v>
      </c>
      <c r="BO35" s="3">
        <f>PARTICIPACION('Datos Protegidos'!BO35,PARTIDOS!BP$5)</f>
        <v>0</v>
      </c>
      <c r="BP35" s="3">
        <v>0</v>
      </c>
      <c r="BQ35" s="3">
        <f>PARTICIPACION('Datos Protegidos'!BQ35,PARTIDOS!BR$5)</f>
        <v>0</v>
      </c>
      <c r="BR35" s="3">
        <v>0</v>
      </c>
      <c r="BS35" s="3">
        <f>PARTICIPACION('Datos Protegidos'!BS35,PARTIDOS!BT$5)</f>
        <v>0</v>
      </c>
      <c r="BT35" s="3">
        <v>0</v>
      </c>
      <c r="BU35" s="3">
        <f>PARTICIPACION('Datos Protegidos'!BU35,PARTIDOS!BV$5)</f>
        <v>0</v>
      </c>
      <c r="BV35" s="3">
        <v>0</v>
      </c>
      <c r="BW35" s="3">
        <f>PARTICIPACION('Datos Protegidos'!BW35,PARTIDOS!BX$5)</f>
        <v>0</v>
      </c>
      <c r="BX35" s="3">
        <v>0</v>
      </c>
      <c r="BY35" s="3">
        <f>PARTICIPACION('Datos Protegidos'!BY35,PARTIDOS!BZ$5)</f>
        <v>0</v>
      </c>
      <c r="BZ35" s="3">
        <v>0</v>
      </c>
      <c r="CA35" s="3">
        <f>PARTICIPACION('Datos Protegidos'!CA35,PARTIDOS!CB$5)</f>
        <v>0</v>
      </c>
      <c r="CB35" s="3">
        <v>0</v>
      </c>
      <c r="CC35" s="3">
        <f>PARTICIPACION('Datos Protegidos'!CC35,PARTIDOS!CD$5)</f>
        <v>0</v>
      </c>
      <c r="CD35" s="3">
        <v>0</v>
      </c>
      <c r="CE35" s="3">
        <f>PARTICIPACION('Datos Protegidos'!CE35,PARTIDOS!CF$5)</f>
        <v>360</v>
      </c>
      <c r="CF35" s="3">
        <v>0</v>
      </c>
      <c r="CG35" s="3">
        <f>PARTICIPACION('Datos Protegidos'!CG35,PARTIDOS!CH$5)</f>
        <v>0</v>
      </c>
      <c r="CH35" s="3">
        <v>0</v>
      </c>
      <c r="CI35" s="3">
        <f>PARTICIPACION('Datos Protegidos'!CI35,PARTIDOS!CJ$5)</f>
        <v>0</v>
      </c>
      <c r="CJ35" s="3">
        <v>0</v>
      </c>
      <c r="CK35" s="3">
        <f>PARTICIPACION('Datos Protegidos'!CK35,PARTIDOS!CL$5)</f>
        <v>0</v>
      </c>
      <c r="CL35" s="3">
        <v>0</v>
      </c>
      <c r="CM35" s="3">
        <f>PARTICIPACION('Datos Protegidos'!CM35,PARTIDOS!CN$5)</f>
        <v>0</v>
      </c>
      <c r="CN35" s="3">
        <v>0</v>
      </c>
      <c r="CO35" s="3">
        <f>PARTICIPACION('Datos Protegidos'!CO35,PARTIDOS!CP$5)</f>
        <v>0</v>
      </c>
      <c r="CP35" s="3">
        <v>0</v>
      </c>
      <c r="CQ35" s="3">
        <f>PARTICIPACION('Datos Protegidos'!CQ35,PARTIDOS!CR$5)</f>
        <v>0</v>
      </c>
      <c r="CR35" s="3">
        <v>0</v>
      </c>
      <c r="CS35" s="3">
        <f>PARTICIPACION('Datos Protegidos'!CS35,PARTIDOS!CT$5)</f>
        <v>0</v>
      </c>
      <c r="CT35" s="3">
        <v>0</v>
      </c>
      <c r="CU35" s="3">
        <f>PARTICIPACION('Datos Protegidos'!CU35,PARTIDOS!CV$5)</f>
        <v>0</v>
      </c>
      <c r="CV35" s="3">
        <v>0</v>
      </c>
      <c r="CW35" s="3">
        <f>PARTICIPACION('Datos Protegidos'!CW35,PARTIDOS!CX$5)</f>
        <v>0</v>
      </c>
      <c r="CX35" s="3">
        <v>0</v>
      </c>
      <c r="CY35" s="3">
        <f>PARTICIPACION('Datos Protegidos'!CY35,PARTIDOS!CZ$5)</f>
        <v>0</v>
      </c>
      <c r="CZ35" s="3">
        <v>0</v>
      </c>
      <c r="DA35" s="3">
        <f>PARTICIPACION('Datos Protegidos'!DA35,PARTIDOS!DB$5)</f>
        <v>0</v>
      </c>
      <c r="DB35" s="3">
        <v>0</v>
      </c>
      <c r="DC35" s="3">
        <f>PARTICIPACION('Datos Protegidos'!DC35,PARTIDOS!DD$5)</f>
        <v>0</v>
      </c>
      <c r="DD35" s="3">
        <v>0</v>
      </c>
      <c r="DE35" s="3">
        <f>PARTICIPACION('Datos Protegidos'!DE35,PARTIDOS!DF$5)</f>
        <v>0</v>
      </c>
      <c r="DF35" s="3">
        <v>0</v>
      </c>
      <c r="DG35" s="3">
        <f>PARTICIPACION('Datos Protegidos'!DG35,PARTIDOS!DH$5)</f>
        <v>0</v>
      </c>
      <c r="DH35" s="3">
        <v>0</v>
      </c>
      <c r="DI35" s="3">
        <f>PARTICIPACION('Datos Protegidos'!DI35,PARTIDOS!DJ$5)</f>
        <v>0</v>
      </c>
      <c r="DJ35" s="3">
        <v>0</v>
      </c>
      <c r="DK35" s="3">
        <f>PARTICIPACION('Datos Protegidos'!DK35,PARTIDOS!DL$5)</f>
        <v>0</v>
      </c>
      <c r="DL35" s="3">
        <v>0</v>
      </c>
      <c r="DM35" s="3">
        <f>PARTICIPACION('Datos Protegidos'!DM35,PARTIDOS!DN$5)</f>
        <v>0</v>
      </c>
      <c r="DN35" s="3">
        <v>0</v>
      </c>
      <c r="DO35" s="3">
        <f>PARTICIPACION('Datos Protegidos'!DO35,PARTIDOS!DP$5)</f>
        <v>0</v>
      </c>
      <c r="DP35" s="3">
        <v>0</v>
      </c>
      <c r="DQ35" s="3">
        <f>PARTICIPACION('Datos Protegidos'!DQ35,PARTIDOS!DR$5)</f>
        <v>0</v>
      </c>
      <c r="DR35" s="3">
        <v>0</v>
      </c>
      <c r="DS35" s="3">
        <f>PARTICIPACION('Datos Protegidos'!DS35,PARTIDOS!DT$5)</f>
        <v>0</v>
      </c>
      <c r="DT35" s="3">
        <v>0</v>
      </c>
      <c r="DU35" s="3">
        <f>PARTICIPACION('Datos Protegidos'!DU35,PARTIDOS!DV$5)</f>
        <v>0</v>
      </c>
      <c r="DV35" s="3">
        <v>0</v>
      </c>
      <c r="DW35" s="3">
        <f>PARTICIPACION('Datos Protegidos'!DW35,PARTIDOS!DX$5)</f>
        <v>0</v>
      </c>
      <c r="DX35" s="3">
        <v>0</v>
      </c>
      <c r="DY35" s="3">
        <f>PARTICIPACION('Datos Protegidos'!DY35,PARTIDOS!DZ$5)</f>
        <v>0</v>
      </c>
      <c r="DZ35" s="3">
        <v>0</v>
      </c>
      <c r="EA35" s="3">
        <f>PARTICIPACION('Datos Protegidos'!EA35,PARTIDOS!EB$5)</f>
        <v>0</v>
      </c>
      <c r="EB35" s="3">
        <v>0</v>
      </c>
      <c r="EC35" s="3">
        <f>PARTICIPACION('Datos Protegidos'!EC35,PARTIDOS!ED$5)</f>
        <v>0</v>
      </c>
      <c r="ED35" s="3">
        <v>0</v>
      </c>
    </row>
    <row r="36" spans="1:134" x14ac:dyDescent="0.25">
      <c r="A36" s="3">
        <f>PARTICIPACION('Datos Protegidos'!A36,PARTIDOS!B$5)</f>
        <v>149427</v>
      </c>
      <c r="B36" s="3">
        <v>3</v>
      </c>
      <c r="C36" s="3">
        <f>PARTICIPACION('Datos Protegidos'!C36,PARTIDOS!D$5)</f>
        <v>94596</v>
      </c>
      <c r="D36" s="3">
        <v>2</v>
      </c>
      <c r="E36" s="3">
        <f>PARTICIPACION('Datos Protegidos'!E36,PARTIDOS!F$5)</f>
        <v>65296</v>
      </c>
      <c r="F36" s="3">
        <v>1</v>
      </c>
      <c r="G36" s="3">
        <f>PARTICIPACION('Datos Protegidos'!G36,PARTIDOS!H$5)</f>
        <v>35669</v>
      </c>
      <c r="H36" s="3">
        <v>0</v>
      </c>
      <c r="I36" s="3">
        <f>PARTICIPACION('Datos Protegidos'!I36,PARTIDOS!J$5)</f>
        <v>0</v>
      </c>
      <c r="J36" s="3">
        <v>0</v>
      </c>
      <c r="K36" s="3">
        <f>PARTICIPACION('Datos Protegidos'!K36,PARTIDOS!L$5)</f>
        <v>29520</v>
      </c>
      <c r="L36" s="3">
        <v>0</v>
      </c>
      <c r="M36" s="3">
        <f>PARTICIPACION('Datos Protegidos'!M36,PARTIDOS!N$5)</f>
        <v>0</v>
      </c>
      <c r="N36" s="3">
        <v>0</v>
      </c>
      <c r="O36" s="3">
        <f>PARTICIPACION('Datos Protegidos'!O36,PARTIDOS!P$5)</f>
        <v>0</v>
      </c>
      <c r="P36" s="3">
        <v>0</v>
      </c>
      <c r="Q36" s="3">
        <f>PARTICIPACION('Datos Protegidos'!Q36,PARTIDOS!R$5)</f>
        <v>0</v>
      </c>
      <c r="R36" s="3">
        <v>0</v>
      </c>
      <c r="S36" s="3">
        <f>PARTICIPACION('Datos Protegidos'!S36,PARTIDOS!T$5)</f>
        <v>0</v>
      </c>
      <c r="T36" s="3">
        <v>0</v>
      </c>
      <c r="U36" s="3">
        <f>PARTICIPACION('Datos Protegidos'!U36,PARTIDOS!V$5)</f>
        <v>0</v>
      </c>
      <c r="V36" s="3">
        <v>0</v>
      </c>
      <c r="W36" s="3">
        <f>PARTICIPACION('Datos Protegidos'!W36,PARTIDOS!X$5)</f>
        <v>0</v>
      </c>
      <c r="X36" s="3">
        <v>0</v>
      </c>
      <c r="Y36" s="3">
        <f>PARTICIPACION('Datos Protegidos'!Y36,PARTIDOS!Z$5)</f>
        <v>0</v>
      </c>
      <c r="Z36" s="3">
        <v>0</v>
      </c>
      <c r="AA36" s="3">
        <f>PARTICIPACION('Datos Protegidos'!AA36,PARTIDOS!AB$5)</f>
        <v>0</v>
      </c>
      <c r="AB36" s="3">
        <v>0</v>
      </c>
      <c r="AC36" s="3">
        <f>PARTICIPACION('Datos Protegidos'!AC36,PARTIDOS!AD$5)</f>
        <v>0</v>
      </c>
      <c r="AD36" s="3">
        <v>0</v>
      </c>
      <c r="AE36" s="3">
        <f>PARTICIPACION('Datos Protegidos'!AE36,PARTIDOS!AF$5)</f>
        <v>0</v>
      </c>
      <c r="AF36" s="3">
        <v>0</v>
      </c>
      <c r="AG36" s="3">
        <f>PARTICIPACION('Datos Protegidos'!AG36,PARTIDOS!AH$5)</f>
        <v>0</v>
      </c>
      <c r="AH36" s="3">
        <v>0</v>
      </c>
      <c r="AI36" s="3">
        <f>PARTICIPACION('Datos Protegidos'!AI36,PARTIDOS!AJ$5)</f>
        <v>0</v>
      </c>
      <c r="AJ36" s="3">
        <v>0</v>
      </c>
      <c r="AK36" s="3">
        <f>PARTICIPACION('Datos Protegidos'!AK36,PARTIDOS!AL$5)</f>
        <v>0</v>
      </c>
      <c r="AL36" s="3">
        <v>0</v>
      </c>
      <c r="AM36" s="3">
        <f>PARTICIPACION('Datos Protegidos'!AM36,PARTIDOS!AN$5)</f>
        <v>2388</v>
      </c>
      <c r="AN36" s="3">
        <v>0</v>
      </c>
      <c r="AO36" s="3">
        <f>PARTICIPACION('Datos Protegidos'!AO36,PARTIDOS!AP$5)</f>
        <v>0</v>
      </c>
      <c r="AP36" s="3">
        <v>0</v>
      </c>
      <c r="AQ36" s="3">
        <f>PARTICIPACION('Datos Protegidos'!AQ36,PARTIDOS!AR$5)</f>
        <v>670</v>
      </c>
      <c r="AR36" s="3">
        <v>0</v>
      </c>
      <c r="AS36" s="3">
        <f>PARTICIPACION('Datos Protegidos'!AS36,PARTIDOS!AT$5)</f>
        <v>920</v>
      </c>
      <c r="AT36" s="3">
        <v>0</v>
      </c>
      <c r="AU36" s="3">
        <f>PARTICIPACION('Datos Protegidos'!AU36,PARTIDOS!AV$5)</f>
        <v>0</v>
      </c>
      <c r="AV36" s="3">
        <v>0</v>
      </c>
      <c r="AW36" s="3">
        <f>PARTICIPACION('Datos Protegidos'!AW36,PARTIDOS!AX$5)</f>
        <v>0</v>
      </c>
      <c r="AX36" s="3">
        <v>0</v>
      </c>
      <c r="AY36" s="3">
        <f>PARTICIPACION('Datos Protegidos'!AY36,PARTIDOS!AZ$5)</f>
        <v>0</v>
      </c>
      <c r="AZ36" s="3">
        <v>0</v>
      </c>
      <c r="BA36" s="3">
        <f>PARTICIPACION('Datos Protegidos'!BA36,PARTIDOS!BB$5)</f>
        <v>0</v>
      </c>
      <c r="BB36" s="3">
        <v>0</v>
      </c>
      <c r="BC36" s="3">
        <f>PARTICIPACION('Datos Protegidos'!BC36,PARTIDOS!BD$5)</f>
        <v>0</v>
      </c>
      <c r="BD36" s="3">
        <v>0</v>
      </c>
      <c r="BE36" s="3">
        <f>PARTICIPACION('Datos Protegidos'!BE36,PARTIDOS!BF$5)</f>
        <v>0</v>
      </c>
      <c r="BF36" s="3">
        <v>0</v>
      </c>
      <c r="BG36" s="3">
        <f>PARTICIPACION('Datos Protegidos'!BG36,PARTIDOS!BH$5)</f>
        <v>0</v>
      </c>
      <c r="BH36" s="3">
        <v>0</v>
      </c>
      <c r="BI36" s="3">
        <f>PARTICIPACION('Datos Protegidos'!BI36,PARTIDOS!BJ$5)</f>
        <v>0</v>
      </c>
      <c r="BJ36" s="3">
        <v>0</v>
      </c>
      <c r="BK36" s="3">
        <f>PARTICIPACION('Datos Protegidos'!BK36,PARTIDOS!BL$5)</f>
        <v>0</v>
      </c>
      <c r="BL36" s="3">
        <v>0</v>
      </c>
      <c r="BM36" s="3">
        <f>PARTICIPACION('Datos Protegidos'!BM36,PARTIDOS!BN$5)</f>
        <v>0</v>
      </c>
      <c r="BN36" s="3">
        <v>0</v>
      </c>
      <c r="BO36" s="3">
        <f>PARTICIPACION('Datos Protegidos'!BO36,PARTIDOS!BP$5)</f>
        <v>0</v>
      </c>
      <c r="BP36" s="3">
        <v>0</v>
      </c>
      <c r="BQ36" s="3">
        <f>PARTICIPACION('Datos Protegidos'!BQ36,PARTIDOS!BR$5)</f>
        <v>0</v>
      </c>
      <c r="BR36" s="3">
        <v>0</v>
      </c>
      <c r="BS36" s="3">
        <f>PARTICIPACION('Datos Protegidos'!BS36,PARTIDOS!BT$5)</f>
        <v>0</v>
      </c>
      <c r="BT36" s="3">
        <v>0</v>
      </c>
      <c r="BU36" s="3">
        <f>PARTICIPACION('Datos Protegidos'!BU36,PARTIDOS!BV$5)</f>
        <v>0</v>
      </c>
      <c r="BV36" s="3">
        <v>0</v>
      </c>
      <c r="BW36" s="3">
        <f>PARTICIPACION('Datos Protegidos'!BW36,PARTIDOS!BX$5)</f>
        <v>0</v>
      </c>
      <c r="BX36" s="3">
        <v>0</v>
      </c>
      <c r="BY36" s="3">
        <f>PARTICIPACION('Datos Protegidos'!BY36,PARTIDOS!BZ$5)</f>
        <v>0</v>
      </c>
      <c r="BZ36" s="3">
        <v>0</v>
      </c>
      <c r="CA36" s="3">
        <f>PARTICIPACION('Datos Protegidos'!CA36,PARTIDOS!CB$5)</f>
        <v>0</v>
      </c>
      <c r="CB36" s="3">
        <v>0</v>
      </c>
      <c r="CC36" s="3">
        <f>PARTICIPACION('Datos Protegidos'!CC36,PARTIDOS!CD$5)</f>
        <v>0</v>
      </c>
      <c r="CD36" s="3">
        <v>0</v>
      </c>
      <c r="CE36" s="3">
        <f>PARTICIPACION('Datos Protegidos'!CE36,PARTIDOS!CF$5)</f>
        <v>0</v>
      </c>
      <c r="CF36" s="3">
        <v>0</v>
      </c>
      <c r="CG36" s="3">
        <f>PARTICIPACION('Datos Protegidos'!CG36,PARTIDOS!CH$5)</f>
        <v>0</v>
      </c>
      <c r="CH36" s="3">
        <v>0</v>
      </c>
      <c r="CI36" s="3">
        <f>PARTICIPACION('Datos Protegidos'!CI36,PARTIDOS!CJ$5)</f>
        <v>0</v>
      </c>
      <c r="CJ36" s="3">
        <v>0</v>
      </c>
      <c r="CK36" s="3">
        <f>PARTICIPACION('Datos Protegidos'!CK36,PARTIDOS!CL$5)</f>
        <v>0</v>
      </c>
      <c r="CL36" s="3">
        <v>0</v>
      </c>
      <c r="CM36" s="3">
        <f>PARTICIPACION('Datos Protegidos'!CM36,PARTIDOS!CN$5)</f>
        <v>0</v>
      </c>
      <c r="CN36" s="3">
        <v>0</v>
      </c>
      <c r="CO36" s="3">
        <f>PARTICIPACION('Datos Protegidos'!CO36,PARTIDOS!CP$5)</f>
        <v>0</v>
      </c>
      <c r="CP36" s="3">
        <v>0</v>
      </c>
      <c r="CQ36" s="3">
        <f>PARTICIPACION('Datos Protegidos'!CQ36,PARTIDOS!CR$5)</f>
        <v>0</v>
      </c>
      <c r="CR36" s="3">
        <v>0</v>
      </c>
      <c r="CS36" s="3">
        <f>PARTICIPACION('Datos Protegidos'!CS36,PARTIDOS!CT$5)</f>
        <v>0</v>
      </c>
      <c r="CT36" s="3">
        <v>0</v>
      </c>
      <c r="CU36" s="3">
        <f>PARTICIPACION('Datos Protegidos'!CU36,PARTIDOS!CV$5)</f>
        <v>0</v>
      </c>
      <c r="CV36" s="3">
        <v>0</v>
      </c>
      <c r="CW36" s="3">
        <f>PARTICIPACION('Datos Protegidos'!CW36,PARTIDOS!CX$5)</f>
        <v>0</v>
      </c>
      <c r="CX36" s="3">
        <v>0</v>
      </c>
      <c r="CY36" s="3">
        <f>PARTICIPACION('Datos Protegidos'!CY36,PARTIDOS!CZ$5)</f>
        <v>0</v>
      </c>
      <c r="CZ36" s="3">
        <v>0</v>
      </c>
      <c r="DA36" s="3">
        <f>PARTICIPACION('Datos Protegidos'!DA36,PARTIDOS!DB$5)</f>
        <v>0</v>
      </c>
      <c r="DB36" s="3">
        <v>0</v>
      </c>
      <c r="DC36" s="3">
        <f>PARTICIPACION('Datos Protegidos'!DC36,PARTIDOS!DD$5)</f>
        <v>0</v>
      </c>
      <c r="DD36" s="3">
        <v>0</v>
      </c>
      <c r="DE36" s="3">
        <f>PARTICIPACION('Datos Protegidos'!DE36,PARTIDOS!DF$5)</f>
        <v>0</v>
      </c>
      <c r="DF36" s="3">
        <v>0</v>
      </c>
      <c r="DG36" s="3">
        <f>PARTICIPACION('Datos Protegidos'!DG36,PARTIDOS!DH$5)</f>
        <v>0</v>
      </c>
      <c r="DH36" s="3">
        <v>0</v>
      </c>
      <c r="DI36" s="3">
        <f>PARTICIPACION('Datos Protegidos'!DI36,PARTIDOS!DJ$5)</f>
        <v>0</v>
      </c>
      <c r="DJ36" s="3">
        <v>0</v>
      </c>
      <c r="DK36" s="3">
        <f>PARTICIPACION('Datos Protegidos'!DK36,PARTIDOS!DL$5)</f>
        <v>0</v>
      </c>
      <c r="DL36" s="3">
        <v>0</v>
      </c>
      <c r="DM36" s="3">
        <f>PARTICIPACION('Datos Protegidos'!DM36,PARTIDOS!DN$5)</f>
        <v>0</v>
      </c>
      <c r="DN36" s="3">
        <v>0</v>
      </c>
      <c r="DO36" s="3">
        <f>PARTICIPACION('Datos Protegidos'!DO36,PARTIDOS!DP$5)</f>
        <v>0</v>
      </c>
      <c r="DP36" s="3">
        <v>0</v>
      </c>
      <c r="DQ36" s="3">
        <f>PARTICIPACION('Datos Protegidos'!DQ36,PARTIDOS!DR$5)</f>
        <v>0</v>
      </c>
      <c r="DR36" s="3">
        <v>0</v>
      </c>
      <c r="DS36" s="3">
        <f>PARTICIPACION('Datos Protegidos'!DS36,PARTIDOS!DT$5)</f>
        <v>0</v>
      </c>
      <c r="DT36" s="3">
        <v>0</v>
      </c>
      <c r="DU36" s="3">
        <f>PARTICIPACION('Datos Protegidos'!DU36,PARTIDOS!DV$5)</f>
        <v>0</v>
      </c>
      <c r="DV36" s="3">
        <v>0</v>
      </c>
      <c r="DW36" s="3">
        <f>PARTICIPACION('Datos Protegidos'!DW36,PARTIDOS!DX$5)</f>
        <v>0</v>
      </c>
      <c r="DX36" s="3">
        <v>0</v>
      </c>
      <c r="DY36" s="3">
        <f>PARTICIPACION('Datos Protegidos'!DY36,PARTIDOS!DZ$5)</f>
        <v>0</v>
      </c>
      <c r="DZ36" s="3">
        <v>0</v>
      </c>
      <c r="EA36" s="3">
        <f>PARTICIPACION('Datos Protegidos'!EA36,PARTIDOS!EB$5)</f>
        <v>0</v>
      </c>
      <c r="EB36" s="3">
        <v>0</v>
      </c>
      <c r="EC36" s="3">
        <f>PARTICIPACION('Datos Protegidos'!EC36,PARTIDOS!ED$5)</f>
        <v>0</v>
      </c>
      <c r="ED36" s="3">
        <v>0</v>
      </c>
    </row>
    <row r="37" spans="1:134" x14ac:dyDescent="0.25">
      <c r="A37" s="3">
        <f>PARTICIPACION('Datos Protegidos'!A37,PARTIDOS!B$5)</f>
        <v>89391</v>
      </c>
      <c r="B37" s="3">
        <v>2</v>
      </c>
      <c r="C37" s="3">
        <f>PARTICIPACION('Datos Protegidos'!C37,PARTIDOS!D$5)</f>
        <v>62757</v>
      </c>
      <c r="D37" s="3">
        <v>1</v>
      </c>
      <c r="E37" s="3">
        <f>PARTICIPACION('Datos Protegidos'!E37,PARTIDOS!F$5)</f>
        <v>36523</v>
      </c>
      <c r="F37" s="3">
        <v>1</v>
      </c>
      <c r="G37" s="3">
        <f>PARTICIPACION('Datos Protegidos'!G37,PARTIDOS!H$5)</f>
        <v>21106</v>
      </c>
      <c r="H37" s="3">
        <v>0</v>
      </c>
      <c r="I37" s="3">
        <f>PARTICIPACION('Datos Protegidos'!I37,PARTIDOS!J$5)</f>
        <v>0</v>
      </c>
      <c r="J37" s="3">
        <v>0</v>
      </c>
      <c r="K37" s="3">
        <f>PARTICIPACION('Datos Protegidos'!K37,PARTIDOS!L$5)</f>
        <v>15533</v>
      </c>
      <c r="L37" s="3">
        <v>0</v>
      </c>
      <c r="M37" s="3">
        <f>PARTICIPACION('Datos Protegidos'!M37,PARTIDOS!N$5)</f>
        <v>0</v>
      </c>
      <c r="N37" s="3">
        <v>0</v>
      </c>
      <c r="O37" s="3">
        <f>PARTICIPACION('Datos Protegidos'!O37,PARTIDOS!P$5)</f>
        <v>0</v>
      </c>
      <c r="P37" s="3">
        <v>0</v>
      </c>
      <c r="Q37" s="3">
        <f>PARTICIPACION('Datos Protegidos'!Q37,PARTIDOS!R$5)</f>
        <v>0</v>
      </c>
      <c r="R37" s="3">
        <v>0</v>
      </c>
      <c r="S37" s="3">
        <f>PARTICIPACION('Datos Protegidos'!S37,PARTIDOS!T$5)</f>
        <v>0</v>
      </c>
      <c r="T37" s="3">
        <v>0</v>
      </c>
      <c r="U37" s="3">
        <f>PARTICIPACION('Datos Protegidos'!U37,PARTIDOS!V$5)</f>
        <v>0</v>
      </c>
      <c r="V37" s="3">
        <v>0</v>
      </c>
      <c r="W37" s="3">
        <f>PARTICIPACION('Datos Protegidos'!W37,PARTIDOS!X$5)</f>
        <v>0</v>
      </c>
      <c r="X37" s="3">
        <v>0</v>
      </c>
      <c r="Y37" s="3">
        <f>PARTICIPACION('Datos Protegidos'!Y37,PARTIDOS!Z$5)</f>
        <v>0</v>
      </c>
      <c r="Z37" s="3">
        <v>0</v>
      </c>
      <c r="AA37" s="3">
        <f>PARTICIPACION('Datos Protegidos'!AA37,PARTIDOS!AB$5)</f>
        <v>0</v>
      </c>
      <c r="AB37" s="3">
        <v>0</v>
      </c>
      <c r="AC37" s="3">
        <f>PARTICIPACION('Datos Protegidos'!AC37,PARTIDOS!AD$5)</f>
        <v>0</v>
      </c>
      <c r="AD37" s="3">
        <v>0</v>
      </c>
      <c r="AE37" s="3">
        <f>PARTICIPACION('Datos Protegidos'!AE37,PARTIDOS!AF$5)</f>
        <v>0</v>
      </c>
      <c r="AF37" s="3">
        <v>0</v>
      </c>
      <c r="AG37" s="3">
        <f>PARTICIPACION('Datos Protegidos'!AG37,PARTIDOS!AH$5)</f>
        <v>0</v>
      </c>
      <c r="AH37" s="3">
        <v>0</v>
      </c>
      <c r="AI37" s="3">
        <f>PARTICIPACION('Datos Protegidos'!AI37,PARTIDOS!AJ$5)</f>
        <v>0</v>
      </c>
      <c r="AJ37" s="3">
        <v>0</v>
      </c>
      <c r="AK37" s="3">
        <f>PARTICIPACION('Datos Protegidos'!AK37,PARTIDOS!AL$5)</f>
        <v>0</v>
      </c>
      <c r="AL37" s="3">
        <v>0</v>
      </c>
      <c r="AM37" s="3">
        <f>PARTICIPACION('Datos Protegidos'!AM37,PARTIDOS!AN$5)</f>
        <v>1269</v>
      </c>
      <c r="AN37" s="3">
        <v>0</v>
      </c>
      <c r="AO37" s="3">
        <f>PARTICIPACION('Datos Protegidos'!AO37,PARTIDOS!AP$5)</f>
        <v>0</v>
      </c>
      <c r="AP37" s="3">
        <v>0</v>
      </c>
      <c r="AQ37" s="3">
        <f>PARTICIPACION('Datos Protegidos'!AQ37,PARTIDOS!AR$5)</f>
        <v>340</v>
      </c>
      <c r="AR37" s="3">
        <v>0</v>
      </c>
      <c r="AS37" s="3">
        <f>PARTICIPACION('Datos Protegidos'!AS37,PARTIDOS!AT$5)</f>
        <v>293</v>
      </c>
      <c r="AT37" s="3">
        <v>0</v>
      </c>
      <c r="AU37" s="3">
        <f>PARTICIPACION('Datos Protegidos'!AU37,PARTIDOS!AV$5)</f>
        <v>0</v>
      </c>
      <c r="AV37" s="3">
        <v>0</v>
      </c>
      <c r="AW37" s="3">
        <f>PARTICIPACION('Datos Protegidos'!AW37,PARTIDOS!AX$5)</f>
        <v>0</v>
      </c>
      <c r="AX37" s="3">
        <v>0</v>
      </c>
      <c r="AY37" s="3">
        <f>PARTICIPACION('Datos Protegidos'!AY37,PARTIDOS!AZ$5)</f>
        <v>0</v>
      </c>
      <c r="AZ37" s="3">
        <v>0</v>
      </c>
      <c r="BA37" s="3">
        <f>PARTICIPACION('Datos Protegidos'!BA37,PARTIDOS!BB$5)</f>
        <v>0</v>
      </c>
      <c r="BB37" s="3">
        <v>0</v>
      </c>
      <c r="BC37" s="3">
        <f>PARTICIPACION('Datos Protegidos'!BC37,PARTIDOS!BD$5)</f>
        <v>0</v>
      </c>
      <c r="BD37" s="3">
        <v>0</v>
      </c>
      <c r="BE37" s="3">
        <f>PARTICIPACION('Datos Protegidos'!BE37,PARTIDOS!BF$5)</f>
        <v>0</v>
      </c>
      <c r="BF37" s="3">
        <v>0</v>
      </c>
      <c r="BG37" s="3">
        <f>PARTICIPACION('Datos Protegidos'!BG37,PARTIDOS!BH$5)</f>
        <v>0</v>
      </c>
      <c r="BH37" s="3">
        <v>0</v>
      </c>
      <c r="BI37" s="3">
        <f>PARTICIPACION('Datos Protegidos'!BI37,PARTIDOS!BJ$5)</f>
        <v>0</v>
      </c>
      <c r="BJ37" s="3">
        <v>0</v>
      </c>
      <c r="BK37" s="3">
        <f>PARTICIPACION('Datos Protegidos'!BK37,PARTIDOS!BL$5)</f>
        <v>0</v>
      </c>
      <c r="BL37" s="3">
        <v>0</v>
      </c>
      <c r="BM37" s="3">
        <f>PARTICIPACION('Datos Protegidos'!BM37,PARTIDOS!BN$5)</f>
        <v>0</v>
      </c>
      <c r="BN37" s="3">
        <v>0</v>
      </c>
      <c r="BO37" s="3">
        <f>PARTICIPACION('Datos Protegidos'!BO37,PARTIDOS!BP$5)</f>
        <v>0</v>
      </c>
      <c r="BP37" s="3">
        <v>0</v>
      </c>
      <c r="BQ37" s="3">
        <f>PARTICIPACION('Datos Protegidos'!BQ37,PARTIDOS!BR$5)</f>
        <v>0</v>
      </c>
      <c r="BR37" s="3">
        <v>0</v>
      </c>
      <c r="BS37" s="3">
        <f>PARTICIPACION('Datos Protegidos'!BS37,PARTIDOS!BT$5)</f>
        <v>0</v>
      </c>
      <c r="BT37" s="3">
        <v>0</v>
      </c>
      <c r="BU37" s="3">
        <f>PARTICIPACION('Datos Protegidos'!BU37,PARTIDOS!BV$5)</f>
        <v>0</v>
      </c>
      <c r="BV37" s="3">
        <v>0</v>
      </c>
      <c r="BW37" s="3">
        <f>PARTICIPACION('Datos Protegidos'!BW37,PARTIDOS!BX$5)</f>
        <v>0</v>
      </c>
      <c r="BX37" s="3">
        <v>0</v>
      </c>
      <c r="BY37" s="3">
        <f>PARTICIPACION('Datos Protegidos'!BY37,PARTIDOS!BZ$5)</f>
        <v>0</v>
      </c>
      <c r="BZ37" s="3">
        <v>0</v>
      </c>
      <c r="CA37" s="3">
        <f>PARTICIPACION('Datos Protegidos'!CA37,PARTIDOS!CB$5)</f>
        <v>0</v>
      </c>
      <c r="CB37" s="3">
        <v>0</v>
      </c>
      <c r="CC37" s="3">
        <f>PARTICIPACION('Datos Protegidos'!CC37,PARTIDOS!CD$5)</f>
        <v>0</v>
      </c>
      <c r="CD37" s="3">
        <v>0</v>
      </c>
      <c r="CE37" s="3">
        <f>PARTICIPACION('Datos Protegidos'!CE37,PARTIDOS!CF$5)</f>
        <v>0</v>
      </c>
      <c r="CF37" s="3">
        <v>0</v>
      </c>
      <c r="CG37" s="3">
        <f>PARTICIPACION('Datos Protegidos'!CG37,PARTIDOS!CH$5)</f>
        <v>0</v>
      </c>
      <c r="CH37" s="3">
        <v>0</v>
      </c>
      <c r="CI37" s="3">
        <f>PARTICIPACION('Datos Protegidos'!CI37,PARTIDOS!CJ$5)</f>
        <v>0</v>
      </c>
      <c r="CJ37" s="3">
        <v>0</v>
      </c>
      <c r="CK37" s="3">
        <f>PARTICIPACION('Datos Protegidos'!CK37,PARTIDOS!CL$5)</f>
        <v>0</v>
      </c>
      <c r="CL37" s="3">
        <v>0</v>
      </c>
      <c r="CM37" s="3">
        <f>PARTICIPACION('Datos Protegidos'!CM37,PARTIDOS!CN$5)</f>
        <v>0</v>
      </c>
      <c r="CN37" s="3">
        <v>0</v>
      </c>
      <c r="CO37" s="3">
        <f>PARTICIPACION('Datos Protegidos'!CO37,PARTIDOS!CP$5)</f>
        <v>1340</v>
      </c>
      <c r="CP37" s="3">
        <v>0</v>
      </c>
      <c r="CQ37" s="3">
        <f>PARTICIPACION('Datos Protegidos'!CQ37,PARTIDOS!CR$5)</f>
        <v>0</v>
      </c>
      <c r="CR37" s="3">
        <v>0</v>
      </c>
      <c r="CS37" s="3">
        <f>PARTICIPACION('Datos Protegidos'!CS37,PARTIDOS!CT$5)</f>
        <v>0</v>
      </c>
      <c r="CT37" s="3">
        <v>0</v>
      </c>
      <c r="CU37" s="3">
        <f>PARTICIPACION('Datos Protegidos'!CU37,PARTIDOS!CV$5)</f>
        <v>0</v>
      </c>
      <c r="CV37" s="3">
        <v>0</v>
      </c>
      <c r="CW37" s="3">
        <f>PARTICIPACION('Datos Protegidos'!CW37,PARTIDOS!CX$5)</f>
        <v>0</v>
      </c>
      <c r="CX37" s="3">
        <v>0</v>
      </c>
      <c r="CY37" s="3">
        <f>PARTICIPACION('Datos Protegidos'!CY37,PARTIDOS!CZ$5)</f>
        <v>0</v>
      </c>
      <c r="CZ37" s="3">
        <v>0</v>
      </c>
      <c r="DA37" s="3">
        <f>PARTICIPACION('Datos Protegidos'!DA37,PARTIDOS!DB$5)</f>
        <v>0</v>
      </c>
      <c r="DB37" s="3">
        <v>0</v>
      </c>
      <c r="DC37" s="3">
        <f>PARTICIPACION('Datos Protegidos'!DC37,PARTIDOS!DD$5)</f>
        <v>0</v>
      </c>
      <c r="DD37" s="3">
        <v>0</v>
      </c>
      <c r="DE37" s="3">
        <f>PARTICIPACION('Datos Protegidos'!DE37,PARTIDOS!DF$5)</f>
        <v>0</v>
      </c>
      <c r="DF37" s="3">
        <v>0</v>
      </c>
      <c r="DG37" s="3">
        <f>PARTICIPACION('Datos Protegidos'!DG37,PARTIDOS!DH$5)</f>
        <v>0</v>
      </c>
      <c r="DH37" s="3">
        <v>0</v>
      </c>
      <c r="DI37" s="3">
        <f>PARTICIPACION('Datos Protegidos'!DI37,PARTIDOS!DJ$5)</f>
        <v>0</v>
      </c>
      <c r="DJ37" s="3">
        <v>0</v>
      </c>
      <c r="DK37" s="3">
        <f>PARTICIPACION('Datos Protegidos'!DK37,PARTIDOS!DL$5)</f>
        <v>0</v>
      </c>
      <c r="DL37" s="3">
        <v>0</v>
      </c>
      <c r="DM37" s="3">
        <f>PARTICIPACION('Datos Protegidos'!DM37,PARTIDOS!DN$5)</f>
        <v>0</v>
      </c>
      <c r="DN37" s="3">
        <v>0</v>
      </c>
      <c r="DO37" s="3">
        <f>PARTICIPACION('Datos Protegidos'!DO37,PARTIDOS!DP$5)</f>
        <v>0</v>
      </c>
      <c r="DP37" s="3">
        <v>0</v>
      </c>
      <c r="DQ37" s="3">
        <f>PARTICIPACION('Datos Protegidos'!DQ37,PARTIDOS!DR$5)</f>
        <v>0</v>
      </c>
      <c r="DR37" s="3">
        <v>0</v>
      </c>
      <c r="DS37" s="3">
        <f>PARTICIPACION('Datos Protegidos'!DS37,PARTIDOS!DT$5)</f>
        <v>0</v>
      </c>
      <c r="DT37" s="3">
        <v>0</v>
      </c>
      <c r="DU37" s="3">
        <f>PARTICIPACION('Datos Protegidos'!DU37,PARTIDOS!DV$5)</f>
        <v>0</v>
      </c>
      <c r="DV37" s="3">
        <v>0</v>
      </c>
      <c r="DW37" s="3">
        <f>PARTICIPACION('Datos Protegidos'!DW37,PARTIDOS!DX$5)</f>
        <v>0</v>
      </c>
      <c r="DX37" s="3">
        <v>0</v>
      </c>
      <c r="DY37" s="3">
        <f>PARTICIPACION('Datos Protegidos'!DY37,PARTIDOS!DZ$5)</f>
        <v>0</v>
      </c>
      <c r="DZ37" s="3">
        <v>0</v>
      </c>
      <c r="EA37" s="3">
        <f>PARTICIPACION('Datos Protegidos'!EA37,PARTIDOS!EB$5)</f>
        <v>0</v>
      </c>
      <c r="EB37" s="3">
        <v>0</v>
      </c>
      <c r="EC37" s="3">
        <f>PARTICIPACION('Datos Protegidos'!EC37,PARTIDOS!ED$5)</f>
        <v>0</v>
      </c>
      <c r="ED37" s="3">
        <v>0</v>
      </c>
    </row>
    <row r="38" spans="1:134" x14ac:dyDescent="0.25">
      <c r="A38" s="3">
        <f>PARTICIPACION('Datos Protegidos'!A38,PARTIDOS!B$5)</f>
        <v>193386</v>
      </c>
      <c r="B38" s="3">
        <v>3</v>
      </c>
      <c r="C38" s="3">
        <f>PARTICIPACION('Datos Protegidos'!C38,PARTIDOS!D$5)</f>
        <v>190869</v>
      </c>
      <c r="D38" s="3">
        <v>3</v>
      </c>
      <c r="E38" s="3">
        <f>PARTICIPACION('Datos Protegidos'!E38,PARTIDOS!F$5)</f>
        <v>51331</v>
      </c>
      <c r="F38" s="3">
        <v>0</v>
      </c>
      <c r="G38" s="3">
        <f>PARTICIPACION('Datos Protegidos'!G38,PARTIDOS!H$5)</f>
        <v>0</v>
      </c>
      <c r="H38" s="3">
        <v>0</v>
      </c>
      <c r="I38" s="3">
        <f>PARTICIPACION('Datos Protegidos'!I38,PARTIDOS!J$5)</f>
        <v>0</v>
      </c>
      <c r="J38" s="3">
        <v>0</v>
      </c>
      <c r="K38" s="3">
        <f>PARTICIPACION('Datos Protegidos'!K38,PARTIDOS!L$5)</f>
        <v>28469</v>
      </c>
      <c r="L38" s="3">
        <v>0</v>
      </c>
      <c r="M38" s="3">
        <f>PARTICIPACION('Datos Protegidos'!M38,PARTIDOS!N$5)</f>
        <v>0</v>
      </c>
      <c r="N38" s="3">
        <v>0</v>
      </c>
      <c r="O38" s="3">
        <f>PARTICIPACION('Datos Protegidos'!O38,PARTIDOS!P$5)</f>
        <v>0</v>
      </c>
      <c r="P38" s="3">
        <v>0</v>
      </c>
      <c r="Q38" s="3">
        <f>PARTICIPACION('Datos Protegidos'!Q38,PARTIDOS!R$5)</f>
        <v>0</v>
      </c>
      <c r="R38" s="3">
        <v>0</v>
      </c>
      <c r="S38" s="3">
        <f>PARTICIPACION('Datos Protegidos'!S38,PARTIDOS!T$5)</f>
        <v>0</v>
      </c>
      <c r="T38" s="3">
        <v>0</v>
      </c>
      <c r="U38" s="3">
        <f>PARTICIPACION('Datos Protegidos'!U38,PARTIDOS!V$5)</f>
        <v>13249</v>
      </c>
      <c r="V38" s="3">
        <v>0</v>
      </c>
      <c r="W38" s="3">
        <f>PARTICIPACION('Datos Protegidos'!W38,PARTIDOS!X$5)</f>
        <v>0</v>
      </c>
      <c r="X38" s="3">
        <v>0</v>
      </c>
      <c r="Y38" s="3">
        <f>PARTICIPACION('Datos Protegidos'!Y38,PARTIDOS!Z$5)</f>
        <v>75142</v>
      </c>
      <c r="Z38" s="3">
        <v>1</v>
      </c>
      <c r="AA38" s="3">
        <f>PARTICIPACION('Datos Protegidos'!AA38,PARTIDOS!AB$5)</f>
        <v>0</v>
      </c>
      <c r="AB38" s="3">
        <v>0</v>
      </c>
      <c r="AC38" s="3">
        <f>PARTICIPACION('Datos Protegidos'!AC38,PARTIDOS!AD$5)</f>
        <v>0</v>
      </c>
      <c r="AD38" s="3">
        <v>0</v>
      </c>
      <c r="AE38" s="3">
        <f>PARTICIPACION('Datos Protegidos'!AE38,PARTIDOS!AF$5)</f>
        <v>0</v>
      </c>
      <c r="AF38" s="3">
        <v>0</v>
      </c>
      <c r="AG38" s="3">
        <f>PARTICIPACION('Datos Protegidos'!AG38,PARTIDOS!AH$5)</f>
        <v>56681</v>
      </c>
      <c r="AH38" s="3">
        <v>1</v>
      </c>
      <c r="AI38" s="3">
        <f>PARTICIPACION('Datos Protegidos'!AI38,PARTIDOS!AJ$5)</f>
        <v>0</v>
      </c>
      <c r="AJ38" s="3">
        <v>0</v>
      </c>
      <c r="AK38" s="3">
        <f>PARTICIPACION('Datos Protegidos'!AK38,PARTIDOS!AL$5)</f>
        <v>0</v>
      </c>
      <c r="AL38" s="3">
        <v>0</v>
      </c>
      <c r="AM38" s="3">
        <f>PARTICIPACION('Datos Protegidos'!AM38,PARTIDOS!AN$5)</f>
        <v>4549</v>
      </c>
      <c r="AN38" s="3">
        <v>0</v>
      </c>
      <c r="AO38" s="3">
        <f>PARTICIPACION('Datos Protegidos'!AO38,PARTIDOS!AP$5)</f>
        <v>0</v>
      </c>
      <c r="AP38" s="3">
        <v>0</v>
      </c>
      <c r="AQ38" s="3">
        <f>PARTICIPACION('Datos Protegidos'!AQ38,PARTIDOS!AR$5)</f>
        <v>920</v>
      </c>
      <c r="AR38" s="3">
        <v>0</v>
      </c>
      <c r="AS38" s="3">
        <f>PARTICIPACION('Datos Protegidos'!AS38,PARTIDOS!AT$5)</f>
        <v>603</v>
      </c>
      <c r="AT38" s="3">
        <v>0</v>
      </c>
      <c r="AU38" s="3">
        <f>PARTICIPACION('Datos Protegidos'!AU38,PARTIDOS!AV$5)</f>
        <v>0</v>
      </c>
      <c r="AV38" s="3">
        <v>0</v>
      </c>
      <c r="AW38" s="3">
        <f>PARTICIPACION('Datos Protegidos'!AW38,PARTIDOS!AX$5)</f>
        <v>0</v>
      </c>
      <c r="AX38" s="3">
        <v>0</v>
      </c>
      <c r="AY38" s="3">
        <f>PARTICIPACION('Datos Protegidos'!AY38,PARTIDOS!AZ$5)</f>
        <v>0</v>
      </c>
      <c r="AZ38" s="3">
        <v>0</v>
      </c>
      <c r="BA38" s="3">
        <f>PARTICIPACION('Datos Protegidos'!BA38,PARTIDOS!BB$5)</f>
        <v>0</v>
      </c>
      <c r="BB38" s="3">
        <v>0</v>
      </c>
      <c r="BC38" s="3">
        <f>PARTICIPACION('Datos Protegidos'!BC38,PARTIDOS!BD$5)</f>
        <v>495</v>
      </c>
      <c r="BD38" s="3">
        <v>0</v>
      </c>
      <c r="BE38" s="3">
        <f>PARTICIPACION('Datos Protegidos'!BE38,PARTIDOS!BF$5)</f>
        <v>0</v>
      </c>
      <c r="BF38" s="3">
        <v>0</v>
      </c>
      <c r="BG38" s="3">
        <f>PARTICIPACION('Datos Protegidos'!BG38,PARTIDOS!BH$5)</f>
        <v>0</v>
      </c>
      <c r="BH38" s="3">
        <v>0</v>
      </c>
      <c r="BI38" s="3">
        <f>PARTICIPACION('Datos Protegidos'!BI38,PARTIDOS!BJ$5)</f>
        <v>1773</v>
      </c>
      <c r="BJ38" s="3">
        <v>0</v>
      </c>
      <c r="BK38" s="3">
        <f>PARTICIPACION('Datos Protegidos'!BK38,PARTIDOS!BL$5)</f>
        <v>0</v>
      </c>
      <c r="BL38" s="3">
        <v>0</v>
      </c>
      <c r="BM38" s="3">
        <f>PARTICIPACION('Datos Protegidos'!BM38,PARTIDOS!BN$5)</f>
        <v>0</v>
      </c>
      <c r="BN38" s="3">
        <v>0</v>
      </c>
      <c r="BO38" s="3">
        <f>PARTICIPACION('Datos Protegidos'!BO38,PARTIDOS!BP$5)</f>
        <v>0</v>
      </c>
      <c r="BP38" s="3">
        <v>0</v>
      </c>
      <c r="BQ38" s="3">
        <f>PARTICIPACION('Datos Protegidos'!BQ38,PARTIDOS!BR$5)</f>
        <v>0</v>
      </c>
      <c r="BR38" s="3">
        <v>0</v>
      </c>
      <c r="BS38" s="3">
        <f>PARTICIPACION('Datos Protegidos'!BS38,PARTIDOS!BT$5)</f>
        <v>0</v>
      </c>
      <c r="BT38" s="3">
        <v>0</v>
      </c>
      <c r="BU38" s="3">
        <f>PARTICIPACION('Datos Protegidos'!BU38,PARTIDOS!BV$5)</f>
        <v>0</v>
      </c>
      <c r="BV38" s="3">
        <v>0</v>
      </c>
      <c r="BW38" s="3">
        <f>PARTICIPACION('Datos Protegidos'!BW38,PARTIDOS!BX$5)</f>
        <v>0</v>
      </c>
      <c r="BX38" s="3">
        <v>0</v>
      </c>
      <c r="BY38" s="3">
        <f>PARTICIPACION('Datos Protegidos'!BY38,PARTIDOS!BZ$5)</f>
        <v>0</v>
      </c>
      <c r="BZ38" s="3">
        <v>0</v>
      </c>
      <c r="CA38" s="3">
        <f>PARTICIPACION('Datos Protegidos'!CA38,PARTIDOS!CB$5)</f>
        <v>0</v>
      </c>
      <c r="CB38" s="3">
        <v>0</v>
      </c>
      <c r="CC38" s="3">
        <f>PARTICIPACION('Datos Protegidos'!CC38,PARTIDOS!CD$5)</f>
        <v>0</v>
      </c>
      <c r="CD38" s="3">
        <v>0</v>
      </c>
      <c r="CE38" s="3">
        <f>PARTICIPACION('Datos Protegidos'!CE38,PARTIDOS!CF$5)</f>
        <v>0</v>
      </c>
      <c r="CF38" s="3">
        <v>0</v>
      </c>
      <c r="CG38" s="3">
        <f>PARTICIPACION('Datos Protegidos'!CG38,PARTIDOS!CH$5)</f>
        <v>0</v>
      </c>
      <c r="CH38" s="3">
        <v>0</v>
      </c>
      <c r="CI38" s="3">
        <f>PARTICIPACION('Datos Protegidos'!CI38,PARTIDOS!CJ$5)</f>
        <v>0</v>
      </c>
      <c r="CJ38" s="3">
        <v>0</v>
      </c>
      <c r="CK38" s="3">
        <f>PARTICIPACION('Datos Protegidos'!CK38,PARTIDOS!CL$5)</f>
        <v>0</v>
      </c>
      <c r="CL38" s="3">
        <v>0</v>
      </c>
      <c r="CM38" s="3">
        <f>PARTICIPACION('Datos Protegidos'!CM38,PARTIDOS!CN$5)</f>
        <v>0</v>
      </c>
      <c r="CN38" s="3">
        <v>0</v>
      </c>
      <c r="CO38" s="3">
        <f>PARTICIPACION('Datos Protegidos'!CO38,PARTIDOS!CP$5)</f>
        <v>0</v>
      </c>
      <c r="CP38" s="3">
        <v>0</v>
      </c>
      <c r="CQ38" s="3">
        <f>PARTICIPACION('Datos Protegidos'!CQ38,PARTIDOS!CR$5)</f>
        <v>0</v>
      </c>
      <c r="CR38" s="3">
        <v>0</v>
      </c>
      <c r="CS38" s="3">
        <f>PARTICIPACION('Datos Protegidos'!CS38,PARTIDOS!CT$5)</f>
        <v>0</v>
      </c>
      <c r="CT38" s="3">
        <v>0</v>
      </c>
      <c r="CU38" s="3">
        <f>PARTICIPACION('Datos Protegidos'!CU38,PARTIDOS!CV$5)</f>
        <v>0</v>
      </c>
      <c r="CV38" s="3">
        <v>0</v>
      </c>
      <c r="CW38" s="3">
        <f>PARTICIPACION('Datos Protegidos'!CW38,PARTIDOS!CX$5)</f>
        <v>0</v>
      </c>
      <c r="CX38" s="3">
        <v>0</v>
      </c>
      <c r="CY38" s="3">
        <f>PARTICIPACION('Datos Protegidos'!CY38,PARTIDOS!CZ$5)</f>
        <v>0</v>
      </c>
      <c r="CZ38" s="3">
        <v>0</v>
      </c>
      <c r="DA38" s="3">
        <f>PARTICIPACION('Datos Protegidos'!DA38,PARTIDOS!DB$5)</f>
        <v>0</v>
      </c>
      <c r="DB38" s="3">
        <v>0</v>
      </c>
      <c r="DC38" s="3">
        <f>PARTICIPACION('Datos Protegidos'!DC38,PARTIDOS!DD$5)</f>
        <v>0</v>
      </c>
      <c r="DD38" s="3">
        <v>0</v>
      </c>
      <c r="DE38" s="3">
        <f>PARTICIPACION('Datos Protegidos'!DE38,PARTIDOS!DF$5)</f>
        <v>0</v>
      </c>
      <c r="DF38" s="3">
        <v>0</v>
      </c>
      <c r="DG38" s="3">
        <f>PARTICIPACION('Datos Protegidos'!DG38,PARTIDOS!DH$5)</f>
        <v>0</v>
      </c>
      <c r="DH38" s="3">
        <v>0</v>
      </c>
      <c r="DI38" s="3">
        <f>PARTICIPACION('Datos Protegidos'!DI38,PARTIDOS!DJ$5)</f>
        <v>0</v>
      </c>
      <c r="DJ38" s="3">
        <v>0</v>
      </c>
      <c r="DK38" s="3">
        <f>PARTICIPACION('Datos Protegidos'!DK38,PARTIDOS!DL$5)</f>
        <v>0</v>
      </c>
      <c r="DL38" s="3">
        <v>0</v>
      </c>
      <c r="DM38" s="3">
        <f>PARTICIPACION('Datos Protegidos'!DM38,PARTIDOS!DN$5)</f>
        <v>0</v>
      </c>
      <c r="DN38" s="3">
        <v>0</v>
      </c>
      <c r="DO38" s="3">
        <f>PARTICIPACION('Datos Protegidos'!DO38,PARTIDOS!DP$5)</f>
        <v>0</v>
      </c>
      <c r="DP38" s="3">
        <v>0</v>
      </c>
      <c r="DQ38" s="3">
        <f>PARTICIPACION('Datos Protegidos'!DQ38,PARTIDOS!DR$5)</f>
        <v>0</v>
      </c>
      <c r="DR38" s="3">
        <v>0</v>
      </c>
      <c r="DS38" s="3">
        <f>PARTICIPACION('Datos Protegidos'!DS38,PARTIDOS!DT$5)</f>
        <v>0</v>
      </c>
      <c r="DT38" s="3">
        <v>0</v>
      </c>
      <c r="DU38" s="3">
        <f>PARTICIPACION('Datos Protegidos'!DU38,PARTIDOS!DV$5)</f>
        <v>0</v>
      </c>
      <c r="DV38" s="3">
        <v>0</v>
      </c>
      <c r="DW38" s="3">
        <f>PARTICIPACION('Datos Protegidos'!DW38,PARTIDOS!DX$5)</f>
        <v>0</v>
      </c>
      <c r="DX38" s="3">
        <v>0</v>
      </c>
      <c r="DY38" s="3">
        <f>PARTICIPACION('Datos Protegidos'!DY38,PARTIDOS!DZ$5)</f>
        <v>0</v>
      </c>
      <c r="DZ38" s="3">
        <v>0</v>
      </c>
      <c r="EA38" s="3">
        <f>PARTICIPACION('Datos Protegidos'!EA38,PARTIDOS!EB$5)</f>
        <v>0</v>
      </c>
      <c r="EB38" s="3">
        <v>0</v>
      </c>
      <c r="EC38" s="3">
        <f>PARTICIPACION('Datos Protegidos'!EC38,PARTIDOS!ED$5)</f>
        <v>0</v>
      </c>
      <c r="ED38" s="3">
        <v>0</v>
      </c>
    </row>
    <row r="39" spans="1:134" x14ac:dyDescent="0.25">
      <c r="A39" s="3">
        <f>PARTICIPACION('Datos Protegidos'!A39,PARTIDOS!B$5)</f>
        <v>60413</v>
      </c>
      <c r="B39" s="3">
        <v>2</v>
      </c>
      <c r="C39" s="3">
        <f>PARTICIPACION('Datos Protegidos'!C39,PARTIDOS!D$5)</f>
        <v>69900</v>
      </c>
      <c r="D39" s="3">
        <v>2</v>
      </c>
      <c r="E39" s="3">
        <f>PARTICIPACION('Datos Protegidos'!E39,PARTIDOS!F$5)</f>
        <v>14945</v>
      </c>
      <c r="F39" s="3">
        <v>0</v>
      </c>
      <c r="G39" s="3">
        <f>PARTICIPACION('Datos Protegidos'!G39,PARTIDOS!H$5)</f>
        <v>0</v>
      </c>
      <c r="H39" s="3">
        <v>0</v>
      </c>
      <c r="I39" s="3">
        <f>PARTICIPACION('Datos Protegidos'!I39,PARTIDOS!J$5)</f>
        <v>0</v>
      </c>
      <c r="J39" s="3">
        <v>0</v>
      </c>
      <c r="K39" s="3">
        <f>PARTICIPACION('Datos Protegidos'!K39,PARTIDOS!L$5)</f>
        <v>5811</v>
      </c>
      <c r="L39" s="3">
        <v>0</v>
      </c>
      <c r="M39" s="3">
        <f>PARTICIPACION('Datos Protegidos'!M39,PARTIDOS!N$5)</f>
        <v>0</v>
      </c>
      <c r="N39" s="3">
        <v>0</v>
      </c>
      <c r="O39" s="3">
        <f>PARTICIPACION('Datos Protegidos'!O39,PARTIDOS!P$5)</f>
        <v>0</v>
      </c>
      <c r="P39" s="3">
        <v>0</v>
      </c>
      <c r="Q39" s="3">
        <f>PARTICIPACION('Datos Protegidos'!Q39,PARTIDOS!R$5)</f>
        <v>0</v>
      </c>
      <c r="R39" s="3">
        <v>0</v>
      </c>
      <c r="S39" s="3">
        <f>PARTICIPACION('Datos Protegidos'!S39,PARTIDOS!T$5)</f>
        <v>0</v>
      </c>
      <c r="T39" s="3">
        <v>0</v>
      </c>
      <c r="U39" s="3">
        <f>PARTICIPACION('Datos Protegidos'!U39,PARTIDOS!V$5)</f>
        <v>0</v>
      </c>
      <c r="V39" s="3">
        <v>0</v>
      </c>
      <c r="W39" s="3">
        <f>PARTICIPACION('Datos Protegidos'!W39,PARTIDOS!X$5)</f>
        <v>0</v>
      </c>
      <c r="X39" s="3">
        <v>0</v>
      </c>
      <c r="Y39" s="3">
        <f>PARTICIPACION('Datos Protegidos'!Y39,PARTIDOS!Z$5)</f>
        <v>16134</v>
      </c>
      <c r="Z39" s="3">
        <v>0</v>
      </c>
      <c r="AA39" s="3">
        <f>PARTICIPACION('Datos Protegidos'!AA39,PARTIDOS!AB$5)</f>
        <v>0</v>
      </c>
      <c r="AB39" s="3">
        <v>0</v>
      </c>
      <c r="AC39" s="3">
        <f>PARTICIPACION('Datos Protegidos'!AC39,PARTIDOS!AD$5)</f>
        <v>0</v>
      </c>
      <c r="AD39" s="3">
        <v>0</v>
      </c>
      <c r="AE39" s="3">
        <f>PARTICIPACION('Datos Protegidos'!AE39,PARTIDOS!AF$5)</f>
        <v>0</v>
      </c>
      <c r="AF39" s="3">
        <v>0</v>
      </c>
      <c r="AG39" s="3">
        <f>PARTICIPACION('Datos Protegidos'!AG39,PARTIDOS!AH$5)</f>
        <v>12616</v>
      </c>
      <c r="AH39" s="3">
        <v>0</v>
      </c>
      <c r="AI39" s="3">
        <f>PARTICIPACION('Datos Protegidos'!AI39,PARTIDOS!AJ$5)</f>
        <v>0</v>
      </c>
      <c r="AJ39" s="3">
        <v>0</v>
      </c>
      <c r="AK39" s="3">
        <f>PARTICIPACION('Datos Protegidos'!AK39,PARTIDOS!AL$5)</f>
        <v>0</v>
      </c>
      <c r="AL39" s="3">
        <v>0</v>
      </c>
      <c r="AM39" s="3">
        <f>PARTICIPACION('Datos Protegidos'!AM39,PARTIDOS!AN$5)</f>
        <v>1184</v>
      </c>
      <c r="AN39" s="3">
        <v>0</v>
      </c>
      <c r="AO39" s="3">
        <f>PARTICIPACION('Datos Protegidos'!AO39,PARTIDOS!AP$5)</f>
        <v>0</v>
      </c>
      <c r="AP39" s="3">
        <v>0</v>
      </c>
      <c r="AQ39" s="3">
        <f>PARTICIPACION('Datos Protegidos'!AQ39,PARTIDOS!AR$5)</f>
        <v>235</v>
      </c>
      <c r="AR39" s="3">
        <v>0</v>
      </c>
      <c r="AS39" s="3">
        <f>PARTICIPACION('Datos Protegidos'!AS39,PARTIDOS!AT$5)</f>
        <v>219</v>
      </c>
      <c r="AT39" s="3">
        <v>0</v>
      </c>
      <c r="AU39" s="3">
        <f>PARTICIPACION('Datos Protegidos'!AU39,PARTIDOS!AV$5)</f>
        <v>0</v>
      </c>
      <c r="AV39" s="3">
        <v>0</v>
      </c>
      <c r="AW39" s="3">
        <f>PARTICIPACION('Datos Protegidos'!AW39,PARTIDOS!AX$5)</f>
        <v>0</v>
      </c>
      <c r="AX39" s="3">
        <v>0</v>
      </c>
      <c r="AY39" s="3">
        <f>PARTICIPACION('Datos Protegidos'!AY39,PARTIDOS!AZ$5)</f>
        <v>0</v>
      </c>
      <c r="AZ39" s="3">
        <v>0</v>
      </c>
      <c r="BA39" s="3">
        <f>PARTICIPACION('Datos Protegidos'!BA39,PARTIDOS!BB$5)</f>
        <v>0</v>
      </c>
      <c r="BB39" s="3">
        <v>0</v>
      </c>
      <c r="BC39" s="3">
        <f>PARTICIPACION('Datos Protegidos'!BC39,PARTIDOS!BD$5)</f>
        <v>141</v>
      </c>
      <c r="BD39" s="3">
        <v>0</v>
      </c>
      <c r="BE39" s="3">
        <f>PARTICIPACION('Datos Protegidos'!BE39,PARTIDOS!BF$5)</f>
        <v>0</v>
      </c>
      <c r="BF39" s="3">
        <v>0</v>
      </c>
      <c r="BG39" s="3">
        <f>PARTICIPACION('Datos Protegidos'!BG39,PARTIDOS!BH$5)</f>
        <v>0</v>
      </c>
      <c r="BH39" s="3">
        <v>0</v>
      </c>
      <c r="BI39" s="3">
        <f>PARTICIPACION('Datos Protegidos'!BI39,PARTIDOS!BJ$5)</f>
        <v>186</v>
      </c>
      <c r="BJ39" s="3">
        <v>0</v>
      </c>
      <c r="BK39" s="3">
        <f>PARTICIPACION('Datos Protegidos'!BK39,PARTIDOS!BL$5)</f>
        <v>0</v>
      </c>
      <c r="BL39" s="3">
        <v>0</v>
      </c>
      <c r="BM39" s="3">
        <f>PARTICIPACION('Datos Protegidos'!BM39,PARTIDOS!BN$5)</f>
        <v>0</v>
      </c>
      <c r="BN39" s="3">
        <v>0</v>
      </c>
      <c r="BO39" s="3">
        <f>PARTICIPACION('Datos Protegidos'!BO39,PARTIDOS!BP$5)</f>
        <v>0</v>
      </c>
      <c r="BP39" s="3">
        <v>0</v>
      </c>
      <c r="BQ39" s="3">
        <f>PARTICIPACION('Datos Protegidos'!BQ39,PARTIDOS!BR$5)</f>
        <v>0</v>
      </c>
      <c r="BR39" s="3">
        <v>0</v>
      </c>
      <c r="BS39" s="3">
        <f>PARTICIPACION('Datos Protegidos'!BS39,PARTIDOS!BT$5)</f>
        <v>0</v>
      </c>
      <c r="BT39" s="3">
        <v>0</v>
      </c>
      <c r="BU39" s="3">
        <f>PARTICIPACION('Datos Protegidos'!BU39,PARTIDOS!BV$5)</f>
        <v>0</v>
      </c>
      <c r="BV39" s="3">
        <v>0</v>
      </c>
      <c r="BW39" s="3">
        <f>PARTICIPACION('Datos Protegidos'!BW39,PARTIDOS!BX$5)</f>
        <v>0</v>
      </c>
      <c r="BX39" s="3">
        <v>0</v>
      </c>
      <c r="BY39" s="3">
        <f>PARTICIPACION('Datos Protegidos'!BY39,PARTIDOS!BZ$5)</f>
        <v>0</v>
      </c>
      <c r="BZ39" s="3">
        <v>0</v>
      </c>
      <c r="CA39" s="3">
        <f>PARTICIPACION('Datos Protegidos'!CA39,PARTIDOS!CB$5)</f>
        <v>0</v>
      </c>
      <c r="CB39" s="3">
        <v>0</v>
      </c>
      <c r="CC39" s="3">
        <f>PARTICIPACION('Datos Protegidos'!CC39,PARTIDOS!CD$5)</f>
        <v>0</v>
      </c>
      <c r="CD39" s="3">
        <v>0</v>
      </c>
      <c r="CE39" s="3">
        <f>PARTICIPACION('Datos Protegidos'!CE39,PARTIDOS!CF$5)</f>
        <v>0</v>
      </c>
      <c r="CF39" s="3">
        <v>0</v>
      </c>
      <c r="CG39" s="3">
        <f>PARTICIPACION('Datos Protegidos'!CG39,PARTIDOS!CH$5)</f>
        <v>0</v>
      </c>
      <c r="CH39" s="3">
        <v>0</v>
      </c>
      <c r="CI39" s="3">
        <f>PARTICIPACION('Datos Protegidos'!CI39,PARTIDOS!CJ$5)</f>
        <v>0</v>
      </c>
      <c r="CJ39" s="3">
        <v>0</v>
      </c>
      <c r="CK39" s="3">
        <f>PARTICIPACION('Datos Protegidos'!CK39,PARTIDOS!CL$5)</f>
        <v>0</v>
      </c>
      <c r="CL39" s="3">
        <v>0</v>
      </c>
      <c r="CM39" s="3">
        <f>PARTICIPACION('Datos Protegidos'!CM39,PARTIDOS!CN$5)</f>
        <v>0</v>
      </c>
      <c r="CN39" s="3">
        <v>0</v>
      </c>
      <c r="CO39" s="3">
        <f>PARTICIPACION('Datos Protegidos'!CO39,PARTIDOS!CP$5)</f>
        <v>0</v>
      </c>
      <c r="CP39" s="3">
        <v>0</v>
      </c>
      <c r="CQ39" s="3">
        <f>PARTICIPACION('Datos Protegidos'!CQ39,PARTIDOS!CR$5)</f>
        <v>0</v>
      </c>
      <c r="CR39" s="3">
        <v>0</v>
      </c>
      <c r="CS39" s="3">
        <f>PARTICIPACION('Datos Protegidos'!CS39,PARTIDOS!CT$5)</f>
        <v>0</v>
      </c>
      <c r="CT39" s="3">
        <v>0</v>
      </c>
      <c r="CU39" s="3">
        <f>PARTICIPACION('Datos Protegidos'!CU39,PARTIDOS!CV$5)</f>
        <v>0</v>
      </c>
      <c r="CV39" s="3">
        <v>0</v>
      </c>
      <c r="CW39" s="3">
        <f>PARTICIPACION('Datos Protegidos'!CW39,PARTIDOS!CX$5)</f>
        <v>0</v>
      </c>
      <c r="CX39" s="3">
        <v>0</v>
      </c>
      <c r="CY39" s="3">
        <f>PARTICIPACION('Datos Protegidos'!CY39,PARTIDOS!CZ$5)</f>
        <v>0</v>
      </c>
      <c r="CZ39" s="3">
        <v>0</v>
      </c>
      <c r="DA39" s="3">
        <f>PARTICIPACION('Datos Protegidos'!DA39,PARTIDOS!DB$5)</f>
        <v>0</v>
      </c>
      <c r="DB39" s="3">
        <v>0</v>
      </c>
      <c r="DC39" s="3">
        <f>PARTICIPACION('Datos Protegidos'!DC39,PARTIDOS!DD$5)</f>
        <v>0</v>
      </c>
      <c r="DD39" s="3">
        <v>0</v>
      </c>
      <c r="DE39" s="3">
        <f>PARTICIPACION('Datos Protegidos'!DE39,PARTIDOS!DF$5)</f>
        <v>0</v>
      </c>
      <c r="DF39" s="3">
        <v>0</v>
      </c>
      <c r="DG39" s="3">
        <f>PARTICIPACION('Datos Protegidos'!DG39,PARTIDOS!DH$5)</f>
        <v>0</v>
      </c>
      <c r="DH39" s="3">
        <v>0</v>
      </c>
      <c r="DI39" s="3">
        <f>PARTICIPACION('Datos Protegidos'!DI39,PARTIDOS!DJ$5)</f>
        <v>0</v>
      </c>
      <c r="DJ39" s="3">
        <v>0</v>
      </c>
      <c r="DK39" s="3">
        <f>PARTICIPACION('Datos Protegidos'!DK39,PARTIDOS!DL$5)</f>
        <v>0</v>
      </c>
      <c r="DL39" s="3">
        <v>0</v>
      </c>
      <c r="DM39" s="3">
        <f>PARTICIPACION('Datos Protegidos'!DM39,PARTIDOS!DN$5)</f>
        <v>0</v>
      </c>
      <c r="DN39" s="3">
        <v>0</v>
      </c>
      <c r="DO39" s="3">
        <f>PARTICIPACION('Datos Protegidos'!DO39,PARTIDOS!DP$5)</f>
        <v>0</v>
      </c>
      <c r="DP39" s="3">
        <v>0</v>
      </c>
      <c r="DQ39" s="3">
        <f>PARTICIPACION('Datos Protegidos'!DQ39,PARTIDOS!DR$5)</f>
        <v>0</v>
      </c>
      <c r="DR39" s="3">
        <v>0</v>
      </c>
      <c r="DS39" s="3">
        <f>PARTICIPACION('Datos Protegidos'!DS39,PARTIDOS!DT$5)</f>
        <v>0</v>
      </c>
      <c r="DT39" s="3">
        <v>0</v>
      </c>
      <c r="DU39" s="3">
        <f>PARTICIPACION('Datos Protegidos'!DU39,PARTIDOS!DV$5)</f>
        <v>0</v>
      </c>
      <c r="DV39" s="3">
        <v>0</v>
      </c>
      <c r="DW39" s="3">
        <f>PARTICIPACION('Datos Protegidos'!DW39,PARTIDOS!DX$5)</f>
        <v>0</v>
      </c>
      <c r="DX39" s="3">
        <v>0</v>
      </c>
      <c r="DY39" s="3">
        <f>PARTICIPACION('Datos Protegidos'!DY39,PARTIDOS!DZ$5)</f>
        <v>0</v>
      </c>
      <c r="DZ39" s="3">
        <v>0</v>
      </c>
      <c r="EA39" s="3">
        <f>PARTICIPACION('Datos Protegidos'!EA39,PARTIDOS!EB$5)</f>
        <v>72</v>
      </c>
      <c r="EB39" s="3">
        <v>0</v>
      </c>
      <c r="EC39" s="3">
        <f>PARTICIPACION('Datos Protegidos'!EC39,PARTIDOS!ED$5)</f>
        <v>0</v>
      </c>
      <c r="ED39" s="3">
        <v>0</v>
      </c>
    </row>
    <row r="40" spans="1:134" x14ac:dyDescent="0.25">
      <c r="A40" s="3">
        <f>PARTICIPACION('Datos Protegidos'!A40,PARTIDOS!B$5)</f>
        <v>59780</v>
      </c>
      <c r="B40" s="3">
        <v>2</v>
      </c>
      <c r="C40" s="3">
        <f>PARTICIPACION('Datos Protegidos'!C40,PARTIDOS!D$5)</f>
        <v>68931</v>
      </c>
      <c r="D40" s="3">
        <v>2</v>
      </c>
      <c r="E40" s="3">
        <f>PARTICIPACION('Datos Protegidos'!E40,PARTIDOS!F$5)</f>
        <v>13550</v>
      </c>
      <c r="F40" s="3">
        <v>0</v>
      </c>
      <c r="G40" s="3">
        <f>PARTICIPACION('Datos Protegidos'!G40,PARTIDOS!H$5)</f>
        <v>0</v>
      </c>
      <c r="H40" s="3">
        <v>0</v>
      </c>
      <c r="I40" s="3">
        <f>PARTICIPACION('Datos Protegidos'!I40,PARTIDOS!J$5)</f>
        <v>0</v>
      </c>
      <c r="J40" s="3">
        <v>0</v>
      </c>
      <c r="K40" s="3">
        <f>PARTICIPACION('Datos Protegidos'!K40,PARTIDOS!L$5)</f>
        <v>6397</v>
      </c>
      <c r="L40" s="3">
        <v>0</v>
      </c>
      <c r="M40" s="3">
        <f>PARTICIPACION('Datos Protegidos'!M40,PARTIDOS!N$5)</f>
        <v>0</v>
      </c>
      <c r="N40" s="3">
        <v>0</v>
      </c>
      <c r="O40" s="3">
        <f>PARTICIPACION('Datos Protegidos'!O40,PARTIDOS!P$5)</f>
        <v>0</v>
      </c>
      <c r="P40" s="3">
        <v>0</v>
      </c>
      <c r="Q40" s="3">
        <f>PARTICIPACION('Datos Protegidos'!Q40,PARTIDOS!R$5)</f>
        <v>0</v>
      </c>
      <c r="R40" s="3">
        <v>0</v>
      </c>
      <c r="S40" s="3">
        <f>PARTICIPACION('Datos Protegidos'!S40,PARTIDOS!T$5)</f>
        <v>0</v>
      </c>
      <c r="T40" s="3">
        <v>0</v>
      </c>
      <c r="U40" s="3">
        <f>PARTICIPACION('Datos Protegidos'!U40,PARTIDOS!V$5)</f>
        <v>0</v>
      </c>
      <c r="V40" s="3">
        <v>0</v>
      </c>
      <c r="W40" s="3">
        <f>PARTICIPACION('Datos Protegidos'!W40,PARTIDOS!X$5)</f>
        <v>0</v>
      </c>
      <c r="X40" s="3">
        <v>0</v>
      </c>
      <c r="Y40" s="3">
        <f>PARTICIPACION('Datos Protegidos'!Y40,PARTIDOS!Z$5)</f>
        <v>13233</v>
      </c>
      <c r="Z40" s="3">
        <v>0</v>
      </c>
      <c r="AA40" s="3">
        <f>PARTICIPACION('Datos Protegidos'!AA40,PARTIDOS!AB$5)</f>
        <v>0</v>
      </c>
      <c r="AB40" s="3">
        <v>0</v>
      </c>
      <c r="AC40" s="3">
        <f>PARTICIPACION('Datos Protegidos'!AC40,PARTIDOS!AD$5)</f>
        <v>0</v>
      </c>
      <c r="AD40" s="3">
        <v>0</v>
      </c>
      <c r="AE40" s="3">
        <f>PARTICIPACION('Datos Protegidos'!AE40,PARTIDOS!AF$5)</f>
        <v>0</v>
      </c>
      <c r="AF40" s="3">
        <v>0</v>
      </c>
      <c r="AG40" s="3">
        <f>PARTICIPACION('Datos Protegidos'!AG40,PARTIDOS!AH$5)</f>
        <v>9999</v>
      </c>
      <c r="AH40" s="3">
        <v>0</v>
      </c>
      <c r="AI40" s="3">
        <f>PARTICIPACION('Datos Protegidos'!AI40,PARTIDOS!AJ$5)</f>
        <v>0</v>
      </c>
      <c r="AJ40" s="3">
        <v>0</v>
      </c>
      <c r="AK40" s="3">
        <f>PARTICIPACION('Datos Protegidos'!AK40,PARTIDOS!AL$5)</f>
        <v>0</v>
      </c>
      <c r="AL40" s="3">
        <v>0</v>
      </c>
      <c r="AM40" s="3">
        <f>PARTICIPACION('Datos Protegidos'!AM40,PARTIDOS!AN$5)</f>
        <v>1088</v>
      </c>
      <c r="AN40" s="3">
        <v>0</v>
      </c>
      <c r="AO40" s="3">
        <f>PARTICIPACION('Datos Protegidos'!AO40,PARTIDOS!AP$5)</f>
        <v>0</v>
      </c>
      <c r="AP40" s="3">
        <v>0</v>
      </c>
      <c r="AQ40" s="3">
        <f>PARTICIPACION('Datos Protegidos'!AQ40,PARTIDOS!AR$5)</f>
        <v>219</v>
      </c>
      <c r="AR40" s="3">
        <v>0</v>
      </c>
      <c r="AS40" s="3">
        <f>PARTICIPACION('Datos Protegidos'!AS40,PARTIDOS!AT$5)</f>
        <v>305</v>
      </c>
      <c r="AT40" s="3">
        <v>0</v>
      </c>
      <c r="AU40" s="3">
        <f>PARTICIPACION('Datos Protegidos'!AU40,PARTIDOS!AV$5)</f>
        <v>0</v>
      </c>
      <c r="AV40" s="3">
        <v>0</v>
      </c>
      <c r="AW40" s="3">
        <f>PARTICIPACION('Datos Protegidos'!AW40,PARTIDOS!AX$5)</f>
        <v>0</v>
      </c>
      <c r="AX40" s="3">
        <v>0</v>
      </c>
      <c r="AY40" s="3">
        <f>PARTICIPACION('Datos Protegidos'!AY40,PARTIDOS!AZ$5)</f>
        <v>0</v>
      </c>
      <c r="AZ40" s="3">
        <v>0</v>
      </c>
      <c r="BA40" s="3">
        <f>PARTICIPACION('Datos Protegidos'!BA40,PARTIDOS!BB$5)</f>
        <v>0</v>
      </c>
      <c r="BB40" s="3">
        <v>0</v>
      </c>
      <c r="BC40" s="3">
        <f>PARTICIPACION('Datos Protegidos'!BC40,PARTIDOS!BD$5)</f>
        <v>165</v>
      </c>
      <c r="BD40" s="3">
        <v>0</v>
      </c>
      <c r="BE40" s="3">
        <f>PARTICIPACION('Datos Protegidos'!BE40,PARTIDOS!BF$5)</f>
        <v>0</v>
      </c>
      <c r="BF40" s="3">
        <v>0</v>
      </c>
      <c r="BG40" s="3">
        <f>PARTICIPACION('Datos Protegidos'!BG40,PARTIDOS!BH$5)</f>
        <v>0</v>
      </c>
      <c r="BH40" s="3">
        <v>0</v>
      </c>
      <c r="BI40" s="3">
        <f>PARTICIPACION('Datos Protegidos'!BI40,PARTIDOS!BJ$5)</f>
        <v>0</v>
      </c>
      <c r="BJ40" s="3">
        <v>0</v>
      </c>
      <c r="BK40" s="3">
        <f>PARTICIPACION('Datos Protegidos'!BK40,PARTIDOS!BL$5)</f>
        <v>0</v>
      </c>
      <c r="BL40" s="3">
        <v>0</v>
      </c>
      <c r="BM40" s="3">
        <f>PARTICIPACION('Datos Protegidos'!BM40,PARTIDOS!BN$5)</f>
        <v>0</v>
      </c>
      <c r="BN40" s="3">
        <v>0</v>
      </c>
      <c r="BO40" s="3">
        <f>PARTICIPACION('Datos Protegidos'!BO40,PARTIDOS!BP$5)</f>
        <v>0</v>
      </c>
      <c r="BP40" s="3">
        <v>0</v>
      </c>
      <c r="BQ40" s="3">
        <f>PARTICIPACION('Datos Protegidos'!BQ40,PARTIDOS!BR$5)</f>
        <v>0</v>
      </c>
      <c r="BR40" s="3">
        <v>0</v>
      </c>
      <c r="BS40" s="3">
        <f>PARTICIPACION('Datos Protegidos'!BS40,PARTIDOS!BT$5)</f>
        <v>0</v>
      </c>
      <c r="BT40" s="3">
        <v>0</v>
      </c>
      <c r="BU40" s="3">
        <f>PARTICIPACION('Datos Protegidos'!BU40,PARTIDOS!BV$5)</f>
        <v>0</v>
      </c>
      <c r="BV40" s="3">
        <v>0</v>
      </c>
      <c r="BW40" s="3">
        <f>PARTICIPACION('Datos Protegidos'!BW40,PARTIDOS!BX$5)</f>
        <v>0</v>
      </c>
      <c r="BX40" s="3">
        <v>0</v>
      </c>
      <c r="BY40" s="3">
        <f>PARTICIPACION('Datos Protegidos'!BY40,PARTIDOS!BZ$5)</f>
        <v>0</v>
      </c>
      <c r="BZ40" s="3">
        <v>0</v>
      </c>
      <c r="CA40" s="3">
        <f>PARTICIPACION('Datos Protegidos'!CA40,PARTIDOS!CB$5)</f>
        <v>0</v>
      </c>
      <c r="CB40" s="3">
        <v>0</v>
      </c>
      <c r="CC40" s="3">
        <f>PARTICIPACION('Datos Protegidos'!CC40,PARTIDOS!CD$5)</f>
        <v>0</v>
      </c>
      <c r="CD40" s="3">
        <v>0</v>
      </c>
      <c r="CE40" s="3">
        <f>PARTICIPACION('Datos Protegidos'!CE40,PARTIDOS!CF$5)</f>
        <v>0</v>
      </c>
      <c r="CF40" s="3">
        <v>0</v>
      </c>
      <c r="CG40" s="3">
        <f>PARTICIPACION('Datos Protegidos'!CG40,PARTIDOS!CH$5)</f>
        <v>0</v>
      </c>
      <c r="CH40" s="3">
        <v>0</v>
      </c>
      <c r="CI40" s="3">
        <f>PARTICIPACION('Datos Protegidos'!CI40,PARTIDOS!CJ$5)</f>
        <v>0</v>
      </c>
      <c r="CJ40" s="3">
        <v>0</v>
      </c>
      <c r="CK40" s="3">
        <f>PARTICIPACION('Datos Protegidos'!CK40,PARTIDOS!CL$5)</f>
        <v>0</v>
      </c>
      <c r="CL40" s="3">
        <v>0</v>
      </c>
      <c r="CM40" s="3">
        <f>PARTICIPACION('Datos Protegidos'!CM40,PARTIDOS!CN$5)</f>
        <v>0</v>
      </c>
      <c r="CN40" s="3">
        <v>0</v>
      </c>
      <c r="CO40" s="3">
        <f>PARTICIPACION('Datos Protegidos'!CO40,PARTIDOS!CP$5)</f>
        <v>0</v>
      </c>
      <c r="CP40" s="3">
        <v>0</v>
      </c>
      <c r="CQ40" s="3">
        <f>PARTICIPACION('Datos Protegidos'!CQ40,PARTIDOS!CR$5)</f>
        <v>0</v>
      </c>
      <c r="CR40" s="3">
        <v>0</v>
      </c>
      <c r="CS40" s="3">
        <f>PARTICIPACION('Datos Protegidos'!CS40,PARTIDOS!CT$5)</f>
        <v>0</v>
      </c>
      <c r="CT40" s="3">
        <v>0</v>
      </c>
      <c r="CU40" s="3">
        <f>PARTICIPACION('Datos Protegidos'!CU40,PARTIDOS!CV$5)</f>
        <v>0</v>
      </c>
      <c r="CV40" s="3">
        <v>0</v>
      </c>
      <c r="CW40" s="3">
        <f>PARTICIPACION('Datos Protegidos'!CW40,PARTIDOS!CX$5)</f>
        <v>0</v>
      </c>
      <c r="CX40" s="3">
        <v>0</v>
      </c>
      <c r="CY40" s="3">
        <f>PARTICIPACION('Datos Protegidos'!CY40,PARTIDOS!CZ$5)</f>
        <v>0</v>
      </c>
      <c r="CZ40" s="3">
        <v>0</v>
      </c>
      <c r="DA40" s="3">
        <f>PARTICIPACION('Datos Protegidos'!DA40,PARTIDOS!DB$5)</f>
        <v>0</v>
      </c>
      <c r="DB40" s="3">
        <v>0</v>
      </c>
      <c r="DC40" s="3">
        <f>PARTICIPACION('Datos Protegidos'!DC40,PARTIDOS!DD$5)</f>
        <v>0</v>
      </c>
      <c r="DD40" s="3">
        <v>0</v>
      </c>
      <c r="DE40" s="3">
        <f>PARTICIPACION('Datos Protegidos'!DE40,PARTIDOS!DF$5)</f>
        <v>0</v>
      </c>
      <c r="DF40" s="3">
        <v>0</v>
      </c>
      <c r="DG40" s="3">
        <f>PARTICIPACION('Datos Protegidos'!DG40,PARTIDOS!DH$5)</f>
        <v>0</v>
      </c>
      <c r="DH40" s="3">
        <v>0</v>
      </c>
      <c r="DI40" s="3">
        <f>PARTICIPACION('Datos Protegidos'!DI40,PARTIDOS!DJ$5)</f>
        <v>0</v>
      </c>
      <c r="DJ40" s="3">
        <v>0</v>
      </c>
      <c r="DK40" s="3">
        <f>PARTICIPACION('Datos Protegidos'!DK40,PARTIDOS!DL$5)</f>
        <v>0</v>
      </c>
      <c r="DL40" s="3">
        <v>0</v>
      </c>
      <c r="DM40" s="3">
        <f>PARTICIPACION('Datos Protegidos'!DM40,PARTIDOS!DN$5)</f>
        <v>0</v>
      </c>
      <c r="DN40" s="3">
        <v>0</v>
      </c>
      <c r="DO40" s="3">
        <f>PARTICIPACION('Datos Protegidos'!DO40,PARTIDOS!DP$5)</f>
        <v>0</v>
      </c>
      <c r="DP40" s="3">
        <v>0</v>
      </c>
      <c r="DQ40" s="3">
        <f>PARTICIPACION('Datos Protegidos'!DQ40,PARTIDOS!DR$5)</f>
        <v>0</v>
      </c>
      <c r="DR40" s="3">
        <v>0</v>
      </c>
      <c r="DS40" s="3">
        <f>PARTICIPACION('Datos Protegidos'!DS40,PARTIDOS!DT$5)</f>
        <v>0</v>
      </c>
      <c r="DT40" s="3">
        <v>0</v>
      </c>
      <c r="DU40" s="3">
        <f>PARTICIPACION('Datos Protegidos'!DU40,PARTIDOS!DV$5)</f>
        <v>0</v>
      </c>
      <c r="DV40" s="3">
        <v>0</v>
      </c>
      <c r="DW40" s="3">
        <f>PARTICIPACION('Datos Protegidos'!DW40,PARTIDOS!DX$5)</f>
        <v>0</v>
      </c>
      <c r="DX40" s="3">
        <v>0</v>
      </c>
      <c r="DY40" s="3">
        <f>PARTICIPACION('Datos Protegidos'!DY40,PARTIDOS!DZ$5)</f>
        <v>0</v>
      </c>
      <c r="DZ40" s="3">
        <v>0</v>
      </c>
      <c r="EA40" s="3">
        <f>PARTICIPACION('Datos Protegidos'!EA40,PARTIDOS!EB$5)</f>
        <v>0</v>
      </c>
      <c r="EB40" s="3">
        <v>0</v>
      </c>
      <c r="EC40" s="3">
        <f>PARTICIPACION('Datos Protegidos'!EC40,PARTIDOS!ED$5)</f>
        <v>0</v>
      </c>
      <c r="ED40" s="3">
        <v>0</v>
      </c>
    </row>
    <row r="41" spans="1:134" x14ac:dyDescent="0.25">
      <c r="A41" s="3">
        <f>PARTICIPACION('Datos Protegidos'!A41,PARTIDOS!B$5)</f>
        <v>174695</v>
      </c>
      <c r="B41" s="3">
        <v>3</v>
      </c>
      <c r="C41" s="3">
        <f>PARTICIPACION('Datos Protegidos'!C41,PARTIDOS!D$5)</f>
        <v>155000</v>
      </c>
      <c r="D41" s="3">
        <v>3</v>
      </c>
      <c r="E41" s="3">
        <f>PARTICIPACION('Datos Protegidos'!E41,PARTIDOS!F$5)</f>
        <v>38881</v>
      </c>
      <c r="F41" s="3">
        <v>0</v>
      </c>
      <c r="G41" s="3">
        <f>PARTICIPACION('Datos Protegidos'!G41,PARTIDOS!H$5)</f>
        <v>0</v>
      </c>
      <c r="H41" s="3">
        <v>0</v>
      </c>
      <c r="I41" s="3">
        <f>PARTICIPACION('Datos Protegidos'!I41,PARTIDOS!J$5)</f>
        <v>0</v>
      </c>
      <c r="J41" s="3">
        <v>0</v>
      </c>
      <c r="K41" s="3">
        <f>PARTICIPACION('Datos Protegidos'!K41,PARTIDOS!L$5)</f>
        <v>23984</v>
      </c>
      <c r="L41" s="3">
        <v>0</v>
      </c>
      <c r="M41" s="3">
        <f>PARTICIPACION('Datos Protegidos'!M41,PARTIDOS!N$5)</f>
        <v>0</v>
      </c>
      <c r="N41" s="3">
        <v>0</v>
      </c>
      <c r="O41" s="3">
        <f>PARTICIPACION('Datos Protegidos'!O41,PARTIDOS!P$5)</f>
        <v>0</v>
      </c>
      <c r="P41" s="3">
        <v>0</v>
      </c>
      <c r="Q41" s="3">
        <f>PARTICIPACION('Datos Protegidos'!Q41,PARTIDOS!R$5)</f>
        <v>0</v>
      </c>
      <c r="R41" s="3">
        <v>0</v>
      </c>
      <c r="S41" s="3">
        <f>PARTICIPACION('Datos Protegidos'!S41,PARTIDOS!T$5)</f>
        <v>0</v>
      </c>
      <c r="T41" s="3">
        <v>0</v>
      </c>
      <c r="U41" s="3">
        <f>PARTICIPACION('Datos Protegidos'!U41,PARTIDOS!V$5)</f>
        <v>10717</v>
      </c>
      <c r="V41" s="3">
        <v>0</v>
      </c>
      <c r="W41" s="3">
        <f>PARTICIPACION('Datos Protegidos'!W41,PARTIDOS!X$5)</f>
        <v>0</v>
      </c>
      <c r="X41" s="3">
        <v>0</v>
      </c>
      <c r="Y41" s="3">
        <f>PARTICIPACION('Datos Protegidos'!Y41,PARTIDOS!Z$5)</f>
        <v>79014</v>
      </c>
      <c r="Z41" s="3">
        <v>1</v>
      </c>
      <c r="AA41" s="3">
        <f>PARTICIPACION('Datos Protegidos'!AA41,PARTIDOS!AB$5)</f>
        <v>0</v>
      </c>
      <c r="AB41" s="3">
        <v>0</v>
      </c>
      <c r="AC41" s="3">
        <f>PARTICIPACION('Datos Protegidos'!AC41,PARTIDOS!AD$5)</f>
        <v>0</v>
      </c>
      <c r="AD41" s="3">
        <v>0</v>
      </c>
      <c r="AE41" s="3">
        <f>PARTICIPACION('Datos Protegidos'!AE41,PARTIDOS!AF$5)</f>
        <v>0</v>
      </c>
      <c r="AF41" s="3">
        <v>0</v>
      </c>
      <c r="AG41" s="3">
        <f>PARTICIPACION('Datos Protegidos'!AG41,PARTIDOS!AH$5)</f>
        <v>38146</v>
      </c>
      <c r="AH41" s="3">
        <v>0</v>
      </c>
      <c r="AI41" s="3">
        <f>PARTICIPACION('Datos Protegidos'!AI41,PARTIDOS!AJ$5)</f>
        <v>0</v>
      </c>
      <c r="AJ41" s="3">
        <v>0</v>
      </c>
      <c r="AK41" s="3">
        <f>PARTICIPACION('Datos Protegidos'!AK41,PARTIDOS!AL$5)</f>
        <v>0</v>
      </c>
      <c r="AL41" s="3">
        <v>0</v>
      </c>
      <c r="AM41" s="3">
        <f>PARTICIPACION('Datos Protegidos'!AM41,PARTIDOS!AN$5)</f>
        <v>4595</v>
      </c>
      <c r="AN41" s="3">
        <v>0</v>
      </c>
      <c r="AO41" s="3">
        <f>PARTICIPACION('Datos Protegidos'!AO41,PARTIDOS!AP$5)</f>
        <v>0</v>
      </c>
      <c r="AP41" s="3">
        <v>0</v>
      </c>
      <c r="AQ41" s="3">
        <f>PARTICIPACION('Datos Protegidos'!AQ41,PARTIDOS!AR$5)</f>
        <v>786</v>
      </c>
      <c r="AR41" s="3">
        <v>0</v>
      </c>
      <c r="AS41" s="3">
        <f>PARTICIPACION('Datos Protegidos'!AS41,PARTIDOS!AT$5)</f>
        <v>444</v>
      </c>
      <c r="AT41" s="3">
        <v>0</v>
      </c>
      <c r="AU41" s="3">
        <f>PARTICIPACION('Datos Protegidos'!AU41,PARTIDOS!AV$5)</f>
        <v>0</v>
      </c>
      <c r="AV41" s="3">
        <v>0</v>
      </c>
      <c r="AW41" s="3">
        <f>PARTICIPACION('Datos Protegidos'!AW41,PARTIDOS!AX$5)</f>
        <v>0</v>
      </c>
      <c r="AX41" s="3">
        <v>0</v>
      </c>
      <c r="AY41" s="3">
        <f>PARTICIPACION('Datos Protegidos'!AY41,PARTIDOS!AZ$5)</f>
        <v>0</v>
      </c>
      <c r="AZ41" s="3">
        <v>0</v>
      </c>
      <c r="BA41" s="3">
        <f>PARTICIPACION('Datos Protegidos'!BA41,PARTIDOS!BB$5)</f>
        <v>0</v>
      </c>
      <c r="BB41" s="3">
        <v>0</v>
      </c>
      <c r="BC41" s="3">
        <f>PARTICIPACION('Datos Protegidos'!BC41,PARTIDOS!BD$5)</f>
        <v>517</v>
      </c>
      <c r="BD41" s="3">
        <v>0</v>
      </c>
      <c r="BE41" s="3">
        <f>PARTICIPACION('Datos Protegidos'!BE41,PARTIDOS!BF$5)</f>
        <v>0</v>
      </c>
      <c r="BF41" s="3">
        <v>0</v>
      </c>
      <c r="BG41" s="3">
        <f>PARTICIPACION('Datos Protegidos'!BG41,PARTIDOS!BH$5)</f>
        <v>0</v>
      </c>
      <c r="BH41" s="3">
        <v>0</v>
      </c>
      <c r="BI41" s="3">
        <f>PARTICIPACION('Datos Protegidos'!BI41,PARTIDOS!BJ$5)</f>
        <v>0</v>
      </c>
      <c r="BJ41" s="3">
        <v>0</v>
      </c>
      <c r="BK41" s="3">
        <f>PARTICIPACION('Datos Protegidos'!BK41,PARTIDOS!BL$5)</f>
        <v>0</v>
      </c>
      <c r="BL41" s="3">
        <v>0</v>
      </c>
      <c r="BM41" s="3">
        <f>PARTICIPACION('Datos Protegidos'!BM41,PARTIDOS!BN$5)</f>
        <v>688</v>
      </c>
      <c r="BN41" s="3">
        <v>0</v>
      </c>
      <c r="BO41" s="3">
        <f>PARTICIPACION('Datos Protegidos'!BO41,PARTIDOS!BP$5)</f>
        <v>0</v>
      </c>
      <c r="BP41" s="3">
        <v>0</v>
      </c>
      <c r="BQ41" s="3">
        <f>PARTICIPACION('Datos Protegidos'!BQ41,PARTIDOS!BR$5)</f>
        <v>0</v>
      </c>
      <c r="BR41" s="3">
        <v>0</v>
      </c>
      <c r="BS41" s="3">
        <f>PARTICIPACION('Datos Protegidos'!BS41,PARTIDOS!BT$5)</f>
        <v>0</v>
      </c>
      <c r="BT41" s="3">
        <v>0</v>
      </c>
      <c r="BU41" s="3">
        <f>PARTICIPACION('Datos Protegidos'!BU41,PARTIDOS!BV$5)</f>
        <v>0</v>
      </c>
      <c r="BV41" s="3">
        <v>0</v>
      </c>
      <c r="BW41" s="3">
        <f>PARTICIPACION('Datos Protegidos'!BW41,PARTIDOS!BX$5)</f>
        <v>0</v>
      </c>
      <c r="BX41" s="3">
        <v>0</v>
      </c>
      <c r="BY41" s="3">
        <f>PARTICIPACION('Datos Protegidos'!BY41,PARTIDOS!BZ$5)</f>
        <v>0</v>
      </c>
      <c r="BZ41" s="3">
        <v>0</v>
      </c>
      <c r="CA41" s="3">
        <f>PARTICIPACION('Datos Protegidos'!CA41,PARTIDOS!CB$5)</f>
        <v>0</v>
      </c>
      <c r="CB41" s="3">
        <v>0</v>
      </c>
      <c r="CC41" s="3">
        <f>PARTICIPACION('Datos Protegidos'!CC41,PARTIDOS!CD$5)</f>
        <v>0</v>
      </c>
      <c r="CD41" s="3">
        <v>0</v>
      </c>
      <c r="CE41" s="3">
        <f>PARTICIPACION('Datos Protegidos'!CE41,PARTIDOS!CF$5)</f>
        <v>0</v>
      </c>
      <c r="CF41" s="3">
        <v>0</v>
      </c>
      <c r="CG41" s="3">
        <f>PARTICIPACION('Datos Protegidos'!CG41,PARTIDOS!CH$5)</f>
        <v>0</v>
      </c>
      <c r="CH41" s="3">
        <v>0</v>
      </c>
      <c r="CI41" s="3">
        <f>PARTICIPACION('Datos Protegidos'!CI41,PARTIDOS!CJ$5)</f>
        <v>0</v>
      </c>
      <c r="CJ41" s="3">
        <v>0</v>
      </c>
      <c r="CK41" s="3">
        <f>PARTICIPACION('Datos Protegidos'!CK41,PARTIDOS!CL$5)</f>
        <v>0</v>
      </c>
      <c r="CL41" s="3">
        <v>0</v>
      </c>
      <c r="CM41" s="3">
        <f>PARTICIPACION('Datos Protegidos'!CM41,PARTIDOS!CN$5)</f>
        <v>0</v>
      </c>
      <c r="CN41" s="3">
        <v>0</v>
      </c>
      <c r="CO41" s="3">
        <f>PARTICIPACION('Datos Protegidos'!CO41,PARTIDOS!CP$5)</f>
        <v>0</v>
      </c>
      <c r="CP41" s="3">
        <v>0</v>
      </c>
      <c r="CQ41" s="3">
        <f>PARTICIPACION('Datos Protegidos'!CQ41,PARTIDOS!CR$5)</f>
        <v>0</v>
      </c>
      <c r="CR41" s="3">
        <v>0</v>
      </c>
      <c r="CS41" s="3">
        <f>PARTICIPACION('Datos Protegidos'!CS41,PARTIDOS!CT$5)</f>
        <v>0</v>
      </c>
      <c r="CT41" s="3">
        <v>0</v>
      </c>
      <c r="CU41" s="3">
        <f>PARTICIPACION('Datos Protegidos'!CU41,PARTIDOS!CV$5)</f>
        <v>0</v>
      </c>
      <c r="CV41" s="3">
        <v>0</v>
      </c>
      <c r="CW41" s="3">
        <f>PARTICIPACION('Datos Protegidos'!CW41,PARTIDOS!CX$5)</f>
        <v>0</v>
      </c>
      <c r="CX41" s="3">
        <v>0</v>
      </c>
      <c r="CY41" s="3">
        <f>PARTICIPACION('Datos Protegidos'!CY41,PARTIDOS!CZ$5)</f>
        <v>0</v>
      </c>
      <c r="CZ41" s="3">
        <v>0</v>
      </c>
      <c r="DA41" s="3">
        <f>PARTICIPACION('Datos Protegidos'!DA41,PARTIDOS!DB$5)</f>
        <v>0</v>
      </c>
      <c r="DB41" s="3">
        <v>0</v>
      </c>
      <c r="DC41" s="3">
        <f>PARTICIPACION('Datos Protegidos'!DC41,PARTIDOS!DD$5)</f>
        <v>0</v>
      </c>
      <c r="DD41" s="3">
        <v>0</v>
      </c>
      <c r="DE41" s="3">
        <f>PARTICIPACION('Datos Protegidos'!DE41,PARTIDOS!DF$5)</f>
        <v>0</v>
      </c>
      <c r="DF41" s="3">
        <v>0</v>
      </c>
      <c r="DG41" s="3">
        <f>PARTICIPACION('Datos Protegidos'!DG41,PARTIDOS!DH$5)</f>
        <v>0</v>
      </c>
      <c r="DH41" s="3">
        <v>0</v>
      </c>
      <c r="DI41" s="3">
        <f>PARTICIPACION('Datos Protegidos'!DI41,PARTIDOS!DJ$5)</f>
        <v>0</v>
      </c>
      <c r="DJ41" s="3">
        <v>0</v>
      </c>
      <c r="DK41" s="3">
        <f>PARTICIPACION('Datos Protegidos'!DK41,PARTIDOS!DL$5)</f>
        <v>0</v>
      </c>
      <c r="DL41" s="3">
        <v>0</v>
      </c>
      <c r="DM41" s="3">
        <f>PARTICIPACION('Datos Protegidos'!DM41,PARTIDOS!DN$5)</f>
        <v>0</v>
      </c>
      <c r="DN41" s="3">
        <v>0</v>
      </c>
      <c r="DO41" s="3">
        <f>PARTICIPACION('Datos Protegidos'!DO41,PARTIDOS!DP$5)</f>
        <v>0</v>
      </c>
      <c r="DP41" s="3">
        <v>0</v>
      </c>
      <c r="DQ41" s="3">
        <f>PARTICIPACION('Datos Protegidos'!DQ41,PARTIDOS!DR$5)</f>
        <v>0</v>
      </c>
      <c r="DR41" s="3">
        <v>0</v>
      </c>
      <c r="DS41" s="3">
        <f>PARTICIPACION('Datos Protegidos'!DS41,PARTIDOS!DT$5)</f>
        <v>0</v>
      </c>
      <c r="DT41" s="3">
        <v>0</v>
      </c>
      <c r="DU41" s="3">
        <f>PARTICIPACION('Datos Protegidos'!DU41,PARTIDOS!DV$5)</f>
        <v>0</v>
      </c>
      <c r="DV41" s="3">
        <v>0</v>
      </c>
      <c r="DW41" s="3">
        <f>PARTICIPACION('Datos Protegidos'!DW41,PARTIDOS!DX$5)</f>
        <v>0</v>
      </c>
      <c r="DX41" s="3">
        <v>0</v>
      </c>
      <c r="DY41" s="3">
        <f>PARTICIPACION('Datos Protegidos'!DY41,PARTIDOS!DZ$5)</f>
        <v>0</v>
      </c>
      <c r="DZ41" s="3">
        <v>0</v>
      </c>
      <c r="EA41" s="3">
        <f>PARTICIPACION('Datos Protegidos'!EA41,PARTIDOS!EB$5)</f>
        <v>0</v>
      </c>
      <c r="EB41" s="3">
        <v>0</v>
      </c>
      <c r="EC41" s="3">
        <f>PARTICIPACION('Datos Protegidos'!EC41,PARTIDOS!ED$5)</f>
        <v>0</v>
      </c>
      <c r="ED41" s="3">
        <v>0</v>
      </c>
    </row>
    <row r="42" spans="1:134" x14ac:dyDescent="0.25">
      <c r="A42" s="3">
        <f>PARTICIPACION('Datos Protegidos'!A42,PARTIDOS!B$5)</f>
        <v>1005271</v>
      </c>
      <c r="B42" s="3">
        <v>10</v>
      </c>
      <c r="C42" s="3">
        <f>PARTICIPACION('Datos Protegidos'!C42,PARTIDOS!D$5)</f>
        <v>905223</v>
      </c>
      <c r="D42" s="3">
        <v>10</v>
      </c>
      <c r="E42" s="3">
        <f>PARTICIPACION('Datos Protegidos'!E42,PARTIDOS!F$5)</f>
        <v>666545</v>
      </c>
      <c r="F42" s="3">
        <v>7</v>
      </c>
      <c r="G42" s="3">
        <f>PARTICIPACION('Datos Protegidos'!G42,PARTIDOS!H$5)</f>
        <v>486810</v>
      </c>
      <c r="H42" s="3">
        <v>5</v>
      </c>
      <c r="I42" s="3">
        <f>PARTICIPACION('Datos Protegidos'!I42,PARTIDOS!J$5)</f>
        <v>0</v>
      </c>
      <c r="J42" s="3">
        <v>0</v>
      </c>
      <c r="K42" s="3">
        <f>PARTICIPACION('Datos Protegidos'!K42,PARTIDOS!L$5)</f>
        <v>323076</v>
      </c>
      <c r="L42" s="3">
        <v>3</v>
      </c>
      <c r="M42" s="3">
        <f>PARTICIPACION('Datos Protegidos'!M42,PARTIDOS!N$5)</f>
        <v>0</v>
      </c>
      <c r="N42" s="3">
        <v>0</v>
      </c>
      <c r="O42" s="3">
        <f>PARTICIPACION('Datos Protegidos'!O42,PARTIDOS!P$5)</f>
        <v>0</v>
      </c>
      <c r="P42" s="3">
        <v>0</v>
      </c>
      <c r="Q42" s="3">
        <f>PARTICIPACION('Datos Protegidos'!Q42,PARTIDOS!R$5)</f>
        <v>0</v>
      </c>
      <c r="R42" s="3">
        <v>0</v>
      </c>
      <c r="S42" s="3">
        <f>PARTICIPACION('Datos Protegidos'!S42,PARTIDOS!T$5)</f>
        <v>0</v>
      </c>
      <c r="T42" s="3">
        <v>0</v>
      </c>
      <c r="U42" s="3">
        <f>PARTICIPACION('Datos Protegidos'!U42,PARTIDOS!V$5)</f>
        <v>211458</v>
      </c>
      <c r="V42" s="3">
        <v>2</v>
      </c>
      <c r="W42" s="3">
        <f>PARTICIPACION('Datos Protegidos'!W42,PARTIDOS!X$5)</f>
        <v>0</v>
      </c>
      <c r="X42" s="3">
        <v>0</v>
      </c>
      <c r="Y42" s="3">
        <f>PARTICIPACION('Datos Protegidos'!Y42,PARTIDOS!Z$5)</f>
        <v>0</v>
      </c>
      <c r="Z42" s="3">
        <v>0</v>
      </c>
      <c r="AA42" s="3">
        <f>PARTICIPACION('Datos Protegidos'!AA42,PARTIDOS!AB$5)</f>
        <v>0</v>
      </c>
      <c r="AB42" s="3">
        <v>0</v>
      </c>
      <c r="AC42" s="3">
        <f>PARTICIPACION('Datos Protegidos'!AC42,PARTIDOS!AD$5)</f>
        <v>0</v>
      </c>
      <c r="AD42" s="3">
        <v>0</v>
      </c>
      <c r="AE42" s="3">
        <f>PARTICIPACION('Datos Protegidos'!AE42,PARTIDOS!AF$5)</f>
        <v>0</v>
      </c>
      <c r="AF42" s="3">
        <v>0</v>
      </c>
      <c r="AG42" s="3">
        <f>PARTICIPACION('Datos Protegidos'!AG42,PARTIDOS!AH$5)</f>
        <v>0</v>
      </c>
      <c r="AH42" s="3">
        <v>0</v>
      </c>
      <c r="AI42" s="3">
        <f>PARTICIPACION('Datos Protegidos'!AI42,PARTIDOS!AJ$5)</f>
        <v>0</v>
      </c>
      <c r="AJ42" s="3">
        <v>0</v>
      </c>
      <c r="AK42" s="3">
        <f>PARTICIPACION('Datos Protegidos'!AK42,PARTIDOS!AL$5)</f>
        <v>0</v>
      </c>
      <c r="AL42" s="3">
        <v>0</v>
      </c>
      <c r="AM42" s="3">
        <f>PARTICIPACION('Datos Protegidos'!AM42,PARTIDOS!AN$5)</f>
        <v>31823</v>
      </c>
      <c r="AN42" s="3">
        <v>0</v>
      </c>
      <c r="AO42" s="3">
        <f>PARTICIPACION('Datos Protegidos'!AO42,PARTIDOS!AP$5)</f>
        <v>0</v>
      </c>
      <c r="AP42" s="3">
        <v>0</v>
      </c>
      <c r="AQ42" s="3">
        <f>PARTICIPACION('Datos Protegidos'!AQ42,PARTIDOS!AR$5)</f>
        <v>5103</v>
      </c>
      <c r="AR42" s="3">
        <v>0</v>
      </c>
      <c r="AS42" s="3">
        <f>PARTICIPACION('Datos Protegidos'!AS42,PARTIDOS!AT$5)</f>
        <v>4283</v>
      </c>
      <c r="AT42" s="3">
        <v>0</v>
      </c>
      <c r="AU42" s="3">
        <f>PARTICIPACION('Datos Protegidos'!AU42,PARTIDOS!AV$5)</f>
        <v>0</v>
      </c>
      <c r="AV42" s="3">
        <v>0</v>
      </c>
      <c r="AW42" s="3">
        <f>PARTICIPACION('Datos Protegidos'!AW42,PARTIDOS!AX$5)</f>
        <v>0</v>
      </c>
      <c r="AX42" s="3">
        <v>0</v>
      </c>
      <c r="AY42" s="3">
        <f>PARTICIPACION('Datos Protegidos'!AY42,PARTIDOS!AZ$5)</f>
        <v>0</v>
      </c>
      <c r="AZ42" s="3">
        <v>0</v>
      </c>
      <c r="BA42" s="3">
        <f>PARTICIPACION('Datos Protegidos'!BA42,PARTIDOS!BB$5)</f>
        <v>2203</v>
      </c>
      <c r="BB42" s="3">
        <v>0</v>
      </c>
      <c r="BC42" s="3">
        <f>PARTICIPACION('Datos Protegidos'!BC42,PARTIDOS!BD$5)</f>
        <v>1989</v>
      </c>
      <c r="BD42" s="3">
        <v>0</v>
      </c>
      <c r="BE42" s="3">
        <f>PARTICIPACION('Datos Protegidos'!BE42,PARTIDOS!BF$5)</f>
        <v>0</v>
      </c>
      <c r="BF42" s="3">
        <v>0</v>
      </c>
      <c r="BG42" s="3">
        <f>PARTICIPACION('Datos Protegidos'!BG42,PARTIDOS!BH$5)</f>
        <v>0</v>
      </c>
      <c r="BH42" s="3">
        <v>0</v>
      </c>
      <c r="BI42" s="3">
        <f>PARTICIPACION('Datos Protegidos'!BI42,PARTIDOS!BJ$5)</f>
        <v>0</v>
      </c>
      <c r="BJ42" s="3">
        <v>0</v>
      </c>
      <c r="BK42" s="3">
        <f>PARTICIPACION('Datos Protegidos'!BK42,PARTIDOS!BL$5)</f>
        <v>0</v>
      </c>
      <c r="BL42" s="3">
        <v>0</v>
      </c>
      <c r="BM42" s="3">
        <f>PARTICIPACION('Datos Protegidos'!BM42,PARTIDOS!BN$5)</f>
        <v>0</v>
      </c>
      <c r="BN42" s="3">
        <v>0</v>
      </c>
      <c r="BO42" s="3">
        <f>PARTICIPACION('Datos Protegidos'!BO42,PARTIDOS!BP$5)</f>
        <v>0</v>
      </c>
      <c r="BP42" s="3">
        <v>0</v>
      </c>
      <c r="BQ42" s="3">
        <f>PARTICIPACION('Datos Protegidos'!BQ42,PARTIDOS!BR$5)</f>
        <v>0</v>
      </c>
      <c r="BR42" s="3">
        <v>0</v>
      </c>
      <c r="BS42" s="3">
        <f>PARTICIPACION('Datos Protegidos'!BS42,PARTIDOS!BT$5)</f>
        <v>0</v>
      </c>
      <c r="BT42" s="3">
        <v>0</v>
      </c>
      <c r="BU42" s="3">
        <f>PARTICIPACION('Datos Protegidos'!BU42,PARTIDOS!BV$5)</f>
        <v>0</v>
      </c>
      <c r="BV42" s="3">
        <v>0</v>
      </c>
      <c r="BW42" s="3">
        <f>PARTICIPACION('Datos Protegidos'!BW42,PARTIDOS!BX$5)</f>
        <v>2495</v>
      </c>
      <c r="BX42" s="3">
        <v>0</v>
      </c>
      <c r="BY42" s="3">
        <f>PARTICIPACION('Datos Protegidos'!BY42,PARTIDOS!BZ$5)</f>
        <v>0</v>
      </c>
      <c r="BZ42" s="3">
        <v>0</v>
      </c>
      <c r="CA42" s="3">
        <f>PARTICIPACION('Datos Protegidos'!CA42,PARTIDOS!CB$5)</f>
        <v>0</v>
      </c>
      <c r="CB42" s="3">
        <v>0</v>
      </c>
      <c r="CC42" s="3">
        <f>PARTICIPACION('Datos Protegidos'!CC42,PARTIDOS!CD$5)</f>
        <v>0</v>
      </c>
      <c r="CD42" s="3">
        <v>0</v>
      </c>
      <c r="CE42" s="3">
        <f>PARTICIPACION('Datos Protegidos'!CE42,PARTIDOS!CF$5)</f>
        <v>0</v>
      </c>
      <c r="CF42" s="3">
        <v>0</v>
      </c>
      <c r="CG42" s="3">
        <f>PARTICIPACION('Datos Protegidos'!CG42,PARTIDOS!CH$5)</f>
        <v>0</v>
      </c>
      <c r="CH42" s="3">
        <v>0</v>
      </c>
      <c r="CI42" s="3">
        <f>PARTICIPACION('Datos Protegidos'!CI42,PARTIDOS!CJ$5)</f>
        <v>0</v>
      </c>
      <c r="CJ42" s="3">
        <v>0</v>
      </c>
      <c r="CK42" s="3">
        <f>PARTICIPACION('Datos Protegidos'!CK42,PARTIDOS!CL$5)</f>
        <v>0</v>
      </c>
      <c r="CL42" s="3">
        <v>0</v>
      </c>
      <c r="CM42" s="3">
        <f>PARTICIPACION('Datos Protegidos'!CM42,PARTIDOS!CN$5)</f>
        <v>0</v>
      </c>
      <c r="CN42" s="3">
        <v>0</v>
      </c>
      <c r="CO42" s="3">
        <f>PARTICIPACION('Datos Protegidos'!CO42,PARTIDOS!CP$5)</f>
        <v>0</v>
      </c>
      <c r="CP42" s="3">
        <v>0</v>
      </c>
      <c r="CQ42" s="3">
        <f>PARTICIPACION('Datos Protegidos'!CQ42,PARTIDOS!CR$5)</f>
        <v>0</v>
      </c>
      <c r="CR42" s="3">
        <v>0</v>
      </c>
      <c r="CS42" s="3">
        <f>PARTICIPACION('Datos Protegidos'!CS42,PARTIDOS!CT$5)</f>
        <v>0</v>
      </c>
      <c r="CT42" s="3">
        <v>0</v>
      </c>
      <c r="CU42" s="3">
        <f>PARTICIPACION('Datos Protegidos'!CU42,PARTIDOS!CV$5)</f>
        <v>0</v>
      </c>
      <c r="CV42" s="3">
        <v>0</v>
      </c>
      <c r="CW42" s="3">
        <f>PARTICIPACION('Datos Protegidos'!CW42,PARTIDOS!CX$5)</f>
        <v>0</v>
      </c>
      <c r="CX42" s="3">
        <v>0</v>
      </c>
      <c r="CY42" s="3">
        <f>PARTICIPACION('Datos Protegidos'!CY42,PARTIDOS!CZ$5)</f>
        <v>0</v>
      </c>
      <c r="CZ42" s="3">
        <v>0</v>
      </c>
      <c r="DA42" s="3">
        <f>PARTICIPACION('Datos Protegidos'!DA42,PARTIDOS!DB$5)</f>
        <v>0</v>
      </c>
      <c r="DB42" s="3">
        <v>0</v>
      </c>
      <c r="DC42" s="3">
        <f>PARTICIPACION('Datos Protegidos'!DC42,PARTIDOS!DD$5)</f>
        <v>0</v>
      </c>
      <c r="DD42" s="3">
        <v>0</v>
      </c>
      <c r="DE42" s="3">
        <f>PARTICIPACION('Datos Protegidos'!DE42,PARTIDOS!DF$5)</f>
        <v>0</v>
      </c>
      <c r="DF42" s="3">
        <v>0</v>
      </c>
      <c r="DG42" s="3">
        <f>PARTICIPACION('Datos Protegidos'!DG42,PARTIDOS!DH$5)</f>
        <v>0</v>
      </c>
      <c r="DH42" s="3">
        <v>0</v>
      </c>
      <c r="DI42" s="3">
        <f>PARTICIPACION('Datos Protegidos'!DI42,PARTIDOS!DJ$5)</f>
        <v>0</v>
      </c>
      <c r="DJ42" s="3">
        <v>0</v>
      </c>
      <c r="DK42" s="3">
        <f>PARTICIPACION('Datos Protegidos'!DK42,PARTIDOS!DL$5)</f>
        <v>0</v>
      </c>
      <c r="DL42" s="3">
        <v>0</v>
      </c>
      <c r="DM42" s="3">
        <f>PARTICIPACION('Datos Protegidos'!DM42,PARTIDOS!DN$5)</f>
        <v>0</v>
      </c>
      <c r="DN42" s="3">
        <v>0</v>
      </c>
      <c r="DO42" s="3">
        <f>PARTICIPACION('Datos Protegidos'!DO42,PARTIDOS!DP$5)</f>
        <v>0</v>
      </c>
      <c r="DP42" s="3">
        <v>0</v>
      </c>
      <c r="DQ42" s="3">
        <f>PARTICIPACION('Datos Protegidos'!DQ42,PARTIDOS!DR$5)</f>
        <v>0</v>
      </c>
      <c r="DR42" s="3">
        <v>0</v>
      </c>
      <c r="DS42" s="3">
        <f>PARTICIPACION('Datos Protegidos'!DS42,PARTIDOS!DT$5)</f>
        <v>0</v>
      </c>
      <c r="DT42" s="3">
        <v>0</v>
      </c>
      <c r="DU42" s="3">
        <f>PARTICIPACION('Datos Protegidos'!DU42,PARTIDOS!DV$5)</f>
        <v>0</v>
      </c>
      <c r="DV42" s="3">
        <v>0</v>
      </c>
      <c r="DW42" s="3">
        <f>PARTICIPACION('Datos Protegidos'!DW42,PARTIDOS!DX$5)</f>
        <v>0</v>
      </c>
      <c r="DX42" s="3">
        <v>0</v>
      </c>
      <c r="DY42" s="3">
        <f>PARTICIPACION('Datos Protegidos'!DY42,PARTIDOS!DZ$5)</f>
        <v>0</v>
      </c>
      <c r="DZ42" s="3">
        <v>0</v>
      </c>
      <c r="EA42" s="3">
        <f>PARTICIPACION('Datos Protegidos'!EA42,PARTIDOS!EB$5)</f>
        <v>0</v>
      </c>
      <c r="EB42" s="3">
        <v>0</v>
      </c>
      <c r="EC42" s="3">
        <f>PARTICIPACION('Datos Protegidos'!EC42,PARTIDOS!ED$5)</f>
        <v>0</v>
      </c>
      <c r="ED42" s="3">
        <v>0</v>
      </c>
    </row>
    <row r="43" spans="1:134" x14ac:dyDescent="0.25">
      <c r="A43" s="3">
        <f>PARTICIPACION('Datos Protegidos'!A43,PARTIDOS!B$5)</f>
        <v>87920</v>
      </c>
      <c r="B43" s="3">
        <v>1</v>
      </c>
      <c r="C43" s="3">
        <f>PARTICIPACION('Datos Protegidos'!C43,PARTIDOS!D$5)</f>
        <v>0</v>
      </c>
      <c r="D43" s="3">
        <v>0</v>
      </c>
      <c r="E43" s="3">
        <f>PARTICIPACION('Datos Protegidos'!E43,PARTIDOS!F$5)</f>
        <v>19828</v>
      </c>
      <c r="F43" s="3">
        <v>0</v>
      </c>
      <c r="G43" s="3">
        <f>PARTICIPACION('Datos Protegidos'!G43,PARTIDOS!H$5)</f>
        <v>58272</v>
      </c>
      <c r="H43" s="3">
        <v>1</v>
      </c>
      <c r="I43" s="3">
        <f>PARTICIPACION('Datos Protegidos'!I43,PARTIDOS!J$5)</f>
        <v>0</v>
      </c>
      <c r="J43" s="3">
        <v>0</v>
      </c>
      <c r="K43" s="3">
        <f>PARTICIPACION('Datos Protegidos'!K43,PARTIDOS!L$5)</f>
        <v>0</v>
      </c>
      <c r="L43" s="3">
        <v>0</v>
      </c>
      <c r="M43" s="3">
        <f>PARTICIPACION('Datos Protegidos'!M43,PARTIDOS!N$5)</f>
        <v>0</v>
      </c>
      <c r="N43" s="3">
        <v>0</v>
      </c>
      <c r="O43" s="3">
        <f>PARTICIPACION('Datos Protegidos'!O43,PARTIDOS!P$5)</f>
        <v>0</v>
      </c>
      <c r="P43" s="3">
        <v>0</v>
      </c>
      <c r="Q43" s="3">
        <f>PARTICIPACION('Datos Protegidos'!Q43,PARTIDOS!R$5)</f>
        <v>0</v>
      </c>
      <c r="R43" s="3">
        <v>0</v>
      </c>
      <c r="S43" s="3">
        <f>PARTICIPACION('Datos Protegidos'!S43,PARTIDOS!T$5)</f>
        <v>55134</v>
      </c>
      <c r="T43" s="3">
        <v>1</v>
      </c>
      <c r="U43" s="3">
        <f>PARTICIPACION('Datos Protegidos'!U43,PARTIDOS!V$5)</f>
        <v>0</v>
      </c>
      <c r="V43" s="3">
        <v>0</v>
      </c>
      <c r="W43" s="3">
        <f>PARTICIPACION('Datos Protegidos'!W43,PARTIDOS!X$5)</f>
        <v>0</v>
      </c>
      <c r="X43" s="3">
        <v>0</v>
      </c>
      <c r="Y43" s="3">
        <f>PARTICIPACION('Datos Protegidos'!Y43,PARTIDOS!Z$5)</f>
        <v>0</v>
      </c>
      <c r="Z43" s="3">
        <v>0</v>
      </c>
      <c r="AA43" s="3">
        <f>PARTICIPACION('Datos Protegidos'!AA43,PARTIDOS!AB$5)</f>
        <v>0</v>
      </c>
      <c r="AB43" s="3">
        <v>0</v>
      </c>
      <c r="AC43" s="3">
        <f>PARTICIPACION('Datos Protegidos'!AC43,PARTIDOS!AD$5)</f>
        <v>101059</v>
      </c>
      <c r="AD43" s="3">
        <v>2</v>
      </c>
      <c r="AE43" s="3">
        <f>PARTICIPACION('Datos Protegidos'!AE43,PARTIDOS!AF$5)</f>
        <v>0</v>
      </c>
      <c r="AF43" s="3">
        <v>0</v>
      </c>
      <c r="AG43" s="3">
        <f>PARTICIPACION('Datos Protegidos'!AG43,PARTIDOS!AH$5)</f>
        <v>0</v>
      </c>
      <c r="AH43" s="3">
        <v>0</v>
      </c>
      <c r="AI43" s="3">
        <f>PARTICIPACION('Datos Protegidos'!AI43,PARTIDOS!AJ$5)</f>
        <v>0</v>
      </c>
      <c r="AJ43" s="3">
        <v>0</v>
      </c>
      <c r="AK43" s="3">
        <f>PARTICIPACION('Datos Protegidos'!AK43,PARTIDOS!AL$5)</f>
        <v>0</v>
      </c>
      <c r="AL43" s="3">
        <v>0</v>
      </c>
      <c r="AM43" s="3">
        <f>PARTICIPACION('Datos Protegidos'!AM43,PARTIDOS!AN$5)</f>
        <v>2238</v>
      </c>
      <c r="AN43" s="3">
        <v>0</v>
      </c>
      <c r="AO43" s="3">
        <f>PARTICIPACION('Datos Protegidos'!AO43,PARTIDOS!AP$5)</f>
        <v>0</v>
      </c>
      <c r="AP43" s="3">
        <v>0</v>
      </c>
      <c r="AQ43" s="3">
        <f>PARTICIPACION('Datos Protegidos'!AQ43,PARTIDOS!AR$5)</f>
        <v>960</v>
      </c>
      <c r="AR43" s="3">
        <v>0</v>
      </c>
      <c r="AS43" s="3">
        <f>PARTICIPACION('Datos Protegidos'!AS43,PARTIDOS!AT$5)</f>
        <v>923</v>
      </c>
      <c r="AT43" s="3">
        <v>0</v>
      </c>
      <c r="AU43" s="3">
        <f>PARTICIPACION('Datos Protegidos'!AU43,PARTIDOS!AV$5)</f>
        <v>0</v>
      </c>
      <c r="AV43" s="3">
        <v>0</v>
      </c>
      <c r="AW43" s="3">
        <f>PARTICIPACION('Datos Protegidos'!AW43,PARTIDOS!AX$5)</f>
        <v>0</v>
      </c>
      <c r="AX43" s="3">
        <v>0</v>
      </c>
      <c r="AY43" s="3">
        <f>PARTICIPACION('Datos Protegidos'!AY43,PARTIDOS!AZ$5)</f>
        <v>0</v>
      </c>
      <c r="AZ43" s="3">
        <v>0</v>
      </c>
      <c r="BA43" s="3">
        <f>PARTICIPACION('Datos Protegidos'!BA43,PARTIDOS!BB$5)</f>
        <v>0</v>
      </c>
      <c r="BB43" s="3">
        <v>0</v>
      </c>
      <c r="BC43" s="3">
        <f>PARTICIPACION('Datos Protegidos'!BC43,PARTIDOS!BD$5)</f>
        <v>400</v>
      </c>
      <c r="BD43" s="3">
        <v>0</v>
      </c>
      <c r="BE43" s="3">
        <f>PARTICIPACION('Datos Protegidos'!BE43,PARTIDOS!BF$5)</f>
        <v>13344</v>
      </c>
      <c r="BF43" s="3">
        <v>0</v>
      </c>
      <c r="BG43" s="3">
        <f>PARTICIPACION('Datos Protegidos'!BG43,PARTIDOS!BH$5)</f>
        <v>0</v>
      </c>
      <c r="BH43" s="3">
        <v>0</v>
      </c>
      <c r="BI43" s="3">
        <f>PARTICIPACION('Datos Protegidos'!BI43,PARTIDOS!BJ$5)</f>
        <v>0</v>
      </c>
      <c r="BJ43" s="3">
        <v>0</v>
      </c>
      <c r="BK43" s="3">
        <f>PARTICIPACION('Datos Protegidos'!BK43,PARTIDOS!BL$5)</f>
        <v>0</v>
      </c>
      <c r="BL43" s="3">
        <v>0</v>
      </c>
      <c r="BM43" s="3">
        <f>PARTICIPACION('Datos Protegidos'!BM43,PARTIDOS!BN$5)</f>
        <v>0</v>
      </c>
      <c r="BN43" s="3">
        <v>0</v>
      </c>
      <c r="BO43" s="3">
        <f>PARTICIPACION('Datos Protegidos'!BO43,PARTIDOS!BP$5)</f>
        <v>0</v>
      </c>
      <c r="BP43" s="3">
        <v>0</v>
      </c>
      <c r="BQ43" s="3">
        <f>PARTICIPACION('Datos Protegidos'!BQ43,PARTIDOS!BR$5)</f>
        <v>0</v>
      </c>
      <c r="BR43" s="3">
        <v>0</v>
      </c>
      <c r="BS43" s="3">
        <f>PARTICIPACION('Datos Protegidos'!BS43,PARTIDOS!BT$5)</f>
        <v>0</v>
      </c>
      <c r="BT43" s="3">
        <v>0</v>
      </c>
      <c r="BU43" s="3">
        <f>PARTICIPACION('Datos Protegidos'!BU43,PARTIDOS!BV$5)</f>
        <v>0</v>
      </c>
      <c r="BV43" s="3">
        <v>0</v>
      </c>
      <c r="BW43" s="3">
        <f>PARTICIPACION('Datos Protegidos'!BW43,PARTIDOS!BX$5)</f>
        <v>0</v>
      </c>
      <c r="BX43" s="3">
        <v>0</v>
      </c>
      <c r="BY43" s="3">
        <f>PARTICIPACION('Datos Protegidos'!BY43,PARTIDOS!BZ$5)</f>
        <v>0</v>
      </c>
      <c r="BZ43" s="3">
        <v>0</v>
      </c>
      <c r="CA43" s="3">
        <f>PARTICIPACION('Datos Protegidos'!CA43,PARTIDOS!CB$5)</f>
        <v>0</v>
      </c>
      <c r="CB43" s="3">
        <v>0</v>
      </c>
      <c r="CC43" s="3">
        <f>PARTICIPACION('Datos Protegidos'!CC43,PARTIDOS!CD$5)</f>
        <v>0</v>
      </c>
      <c r="CD43" s="3">
        <v>0</v>
      </c>
      <c r="CE43" s="3">
        <f>PARTICIPACION('Datos Protegidos'!CE43,PARTIDOS!CF$5)</f>
        <v>0</v>
      </c>
      <c r="CF43" s="3">
        <v>0</v>
      </c>
      <c r="CG43" s="3">
        <f>PARTICIPACION('Datos Protegidos'!CG43,PARTIDOS!CH$5)</f>
        <v>0</v>
      </c>
      <c r="CH43" s="3">
        <v>0</v>
      </c>
      <c r="CI43" s="3">
        <f>PARTICIPACION('Datos Protegidos'!CI43,PARTIDOS!CJ$5)</f>
        <v>0</v>
      </c>
      <c r="CJ43" s="3">
        <v>0</v>
      </c>
      <c r="CK43" s="3">
        <f>PARTICIPACION('Datos Protegidos'!CK43,PARTIDOS!CL$5)</f>
        <v>0</v>
      </c>
      <c r="CL43" s="3">
        <v>0</v>
      </c>
      <c r="CM43" s="3">
        <f>PARTICIPACION('Datos Protegidos'!CM43,PARTIDOS!CN$5)</f>
        <v>0</v>
      </c>
      <c r="CN43" s="3">
        <v>0</v>
      </c>
      <c r="CO43" s="3">
        <f>PARTICIPACION('Datos Protegidos'!CO43,PARTIDOS!CP$5)</f>
        <v>0</v>
      </c>
      <c r="CP43" s="3">
        <v>0</v>
      </c>
      <c r="CQ43" s="3">
        <f>PARTICIPACION('Datos Protegidos'!CQ43,PARTIDOS!CR$5)</f>
        <v>0</v>
      </c>
      <c r="CR43" s="3">
        <v>0</v>
      </c>
      <c r="CS43" s="3">
        <f>PARTICIPACION('Datos Protegidos'!CS43,PARTIDOS!CT$5)</f>
        <v>0</v>
      </c>
      <c r="CT43" s="3">
        <v>0</v>
      </c>
      <c r="CU43" s="3">
        <f>PARTICIPACION('Datos Protegidos'!CU43,PARTIDOS!CV$5)</f>
        <v>0</v>
      </c>
      <c r="CV43" s="3">
        <v>0</v>
      </c>
      <c r="CW43" s="3">
        <f>PARTICIPACION('Datos Protegidos'!CW43,PARTIDOS!CX$5)</f>
        <v>0</v>
      </c>
      <c r="CX43" s="3">
        <v>0</v>
      </c>
      <c r="CY43" s="3">
        <f>PARTICIPACION('Datos Protegidos'!CY43,PARTIDOS!CZ$5)</f>
        <v>0</v>
      </c>
      <c r="CZ43" s="3">
        <v>0</v>
      </c>
      <c r="DA43" s="3">
        <f>PARTICIPACION('Datos Protegidos'!DA43,PARTIDOS!DB$5)</f>
        <v>0</v>
      </c>
      <c r="DB43" s="3">
        <v>0</v>
      </c>
      <c r="DC43" s="3">
        <f>PARTICIPACION('Datos Protegidos'!DC43,PARTIDOS!DD$5)</f>
        <v>0</v>
      </c>
      <c r="DD43" s="3">
        <v>0</v>
      </c>
      <c r="DE43" s="3">
        <f>PARTICIPACION('Datos Protegidos'!DE43,PARTIDOS!DF$5)</f>
        <v>0</v>
      </c>
      <c r="DF43" s="3">
        <v>0</v>
      </c>
      <c r="DG43" s="3">
        <f>PARTICIPACION('Datos Protegidos'!DG43,PARTIDOS!DH$5)</f>
        <v>0</v>
      </c>
      <c r="DH43" s="3">
        <v>0</v>
      </c>
      <c r="DI43" s="3">
        <f>PARTICIPACION('Datos Protegidos'!DI43,PARTIDOS!DJ$5)</f>
        <v>0</v>
      </c>
      <c r="DJ43" s="3">
        <v>0</v>
      </c>
      <c r="DK43" s="3">
        <f>PARTICIPACION('Datos Protegidos'!DK43,PARTIDOS!DL$5)</f>
        <v>0</v>
      </c>
      <c r="DL43" s="3">
        <v>0</v>
      </c>
      <c r="DM43" s="3">
        <f>PARTICIPACION('Datos Protegidos'!DM43,PARTIDOS!DN$5)</f>
        <v>0</v>
      </c>
      <c r="DN43" s="3">
        <v>0</v>
      </c>
      <c r="DO43" s="3">
        <f>PARTICIPACION('Datos Protegidos'!DO43,PARTIDOS!DP$5)</f>
        <v>0</v>
      </c>
      <c r="DP43" s="3">
        <v>0</v>
      </c>
      <c r="DQ43" s="3">
        <f>PARTICIPACION('Datos Protegidos'!DQ43,PARTIDOS!DR$5)</f>
        <v>0</v>
      </c>
      <c r="DR43" s="3">
        <v>0</v>
      </c>
      <c r="DS43" s="3">
        <f>PARTICIPACION('Datos Protegidos'!DS43,PARTIDOS!DT$5)</f>
        <v>0</v>
      </c>
      <c r="DT43" s="3">
        <v>0</v>
      </c>
      <c r="DU43" s="3">
        <f>PARTICIPACION('Datos Protegidos'!DU43,PARTIDOS!DV$5)</f>
        <v>0</v>
      </c>
      <c r="DV43" s="3">
        <v>0</v>
      </c>
      <c r="DW43" s="3">
        <f>PARTICIPACION('Datos Protegidos'!DW43,PARTIDOS!DX$5)</f>
        <v>0</v>
      </c>
      <c r="DX43" s="3">
        <v>0</v>
      </c>
      <c r="DY43" s="3">
        <f>PARTICIPACION('Datos Protegidos'!DY43,PARTIDOS!DZ$5)</f>
        <v>0</v>
      </c>
      <c r="DZ43" s="3">
        <v>0</v>
      </c>
      <c r="EA43" s="3">
        <f>PARTICIPACION('Datos Protegidos'!EA43,PARTIDOS!EB$5)</f>
        <v>0</v>
      </c>
      <c r="EB43" s="3">
        <v>0</v>
      </c>
      <c r="EC43" s="3">
        <f>PARTICIPACION('Datos Protegidos'!EC43,PARTIDOS!ED$5)</f>
        <v>0</v>
      </c>
      <c r="ED43" s="3">
        <v>0</v>
      </c>
    </row>
    <row r="44" spans="1:134" x14ac:dyDescent="0.25">
      <c r="A44" s="3">
        <f>PARTICIPACION('Datos Protegidos'!A44,PARTIDOS!B$5)</f>
        <v>39362</v>
      </c>
      <c r="B44" s="3">
        <v>1</v>
      </c>
      <c r="C44" s="3">
        <f>PARTICIPACION('Datos Protegidos'!C44,PARTIDOS!D$5)</f>
        <v>26016</v>
      </c>
      <c r="D44" s="3">
        <v>0</v>
      </c>
      <c r="E44" s="3">
        <f>PARTICIPACION('Datos Protegidos'!E44,PARTIDOS!F$5)</f>
        <v>6549</v>
      </c>
      <c r="F44" s="3">
        <v>0</v>
      </c>
      <c r="G44" s="3">
        <f>PARTICIPACION('Datos Protegidos'!G44,PARTIDOS!H$5)</f>
        <v>29595</v>
      </c>
      <c r="H44" s="3">
        <v>1</v>
      </c>
      <c r="I44" s="3">
        <f>PARTICIPACION('Datos Protegidos'!I44,PARTIDOS!J$5)</f>
        <v>0</v>
      </c>
      <c r="J44" s="3">
        <v>0</v>
      </c>
      <c r="K44" s="3">
        <f>PARTICIPACION('Datos Protegidos'!K44,PARTIDOS!L$5)</f>
        <v>2526</v>
      </c>
      <c r="L44" s="3">
        <v>0</v>
      </c>
      <c r="M44" s="3">
        <f>PARTICIPACION('Datos Protegidos'!M44,PARTIDOS!N$5)</f>
        <v>0</v>
      </c>
      <c r="N44" s="3">
        <v>0</v>
      </c>
      <c r="O44" s="3">
        <f>PARTICIPACION('Datos Protegidos'!O44,PARTIDOS!P$5)</f>
        <v>0</v>
      </c>
      <c r="P44" s="3">
        <v>0</v>
      </c>
      <c r="Q44" s="3">
        <f>PARTICIPACION('Datos Protegidos'!Q44,PARTIDOS!R$5)</f>
        <v>39255</v>
      </c>
      <c r="R44" s="3">
        <v>1</v>
      </c>
      <c r="S44" s="3">
        <f>PARTICIPACION('Datos Protegidos'!S44,PARTIDOS!T$5)</f>
        <v>26766</v>
      </c>
      <c r="T44" s="3">
        <v>1</v>
      </c>
      <c r="U44" s="3">
        <f>PARTICIPACION('Datos Protegidos'!U44,PARTIDOS!V$5)</f>
        <v>0</v>
      </c>
      <c r="V44" s="3">
        <v>0</v>
      </c>
      <c r="W44" s="3">
        <f>PARTICIPACION('Datos Protegidos'!W44,PARTIDOS!X$5)</f>
        <v>0</v>
      </c>
      <c r="X44" s="3">
        <v>0</v>
      </c>
      <c r="Y44" s="3">
        <f>PARTICIPACION('Datos Protegidos'!Y44,PARTIDOS!Z$5)</f>
        <v>0</v>
      </c>
      <c r="Z44" s="3">
        <v>0</v>
      </c>
      <c r="AA44" s="3">
        <f>PARTICIPACION('Datos Protegidos'!AA44,PARTIDOS!AB$5)</f>
        <v>0</v>
      </c>
      <c r="AB44" s="3">
        <v>0</v>
      </c>
      <c r="AC44" s="3">
        <f>PARTICIPACION('Datos Protegidos'!AC44,PARTIDOS!AD$5)</f>
        <v>0</v>
      </c>
      <c r="AD44" s="3">
        <v>0</v>
      </c>
      <c r="AE44" s="3">
        <f>PARTICIPACION('Datos Protegidos'!AE44,PARTIDOS!AF$5)</f>
        <v>0</v>
      </c>
      <c r="AF44" s="3">
        <v>0</v>
      </c>
      <c r="AG44" s="3">
        <f>PARTICIPACION('Datos Protegidos'!AG44,PARTIDOS!AH$5)</f>
        <v>0</v>
      </c>
      <c r="AH44" s="3">
        <v>0</v>
      </c>
      <c r="AI44" s="3">
        <f>PARTICIPACION('Datos Protegidos'!AI44,PARTIDOS!AJ$5)</f>
        <v>0</v>
      </c>
      <c r="AJ44" s="3">
        <v>0</v>
      </c>
      <c r="AK44" s="3">
        <f>PARTICIPACION('Datos Protegidos'!AK44,PARTIDOS!AL$5)</f>
        <v>0</v>
      </c>
      <c r="AL44" s="3">
        <v>0</v>
      </c>
      <c r="AM44" s="3">
        <f>PARTICIPACION('Datos Protegidos'!AM44,PARTIDOS!AN$5)</f>
        <v>1146</v>
      </c>
      <c r="AN44" s="3">
        <v>0</v>
      </c>
      <c r="AO44" s="3">
        <f>PARTICIPACION('Datos Protegidos'!AO44,PARTIDOS!AP$5)</f>
        <v>0</v>
      </c>
      <c r="AP44" s="3">
        <v>0</v>
      </c>
      <c r="AQ44" s="3">
        <f>PARTICIPACION('Datos Protegidos'!AQ44,PARTIDOS!AR$5)</f>
        <v>406</v>
      </c>
      <c r="AR44" s="3">
        <v>0</v>
      </c>
      <c r="AS44" s="3">
        <f>PARTICIPACION('Datos Protegidos'!AS44,PARTIDOS!AT$5)</f>
        <v>324</v>
      </c>
      <c r="AT44" s="3">
        <v>0</v>
      </c>
      <c r="AU44" s="3">
        <f>PARTICIPACION('Datos Protegidos'!AU44,PARTIDOS!AV$5)</f>
        <v>0</v>
      </c>
      <c r="AV44" s="3">
        <v>0</v>
      </c>
      <c r="AW44" s="3">
        <f>PARTICIPACION('Datos Protegidos'!AW44,PARTIDOS!AX$5)</f>
        <v>0</v>
      </c>
      <c r="AX44" s="3">
        <v>0</v>
      </c>
      <c r="AY44" s="3">
        <f>PARTICIPACION('Datos Protegidos'!AY44,PARTIDOS!AZ$5)</f>
        <v>0</v>
      </c>
      <c r="AZ44" s="3">
        <v>0</v>
      </c>
      <c r="BA44" s="3">
        <f>PARTICIPACION('Datos Protegidos'!BA44,PARTIDOS!BB$5)</f>
        <v>0</v>
      </c>
      <c r="BB44" s="3">
        <v>0</v>
      </c>
      <c r="BC44" s="3">
        <f>PARTICIPACION('Datos Protegidos'!BC44,PARTIDOS!BD$5)</f>
        <v>225</v>
      </c>
      <c r="BD44" s="3">
        <v>0</v>
      </c>
      <c r="BE44" s="3">
        <f>PARTICIPACION('Datos Protegidos'!BE44,PARTIDOS!BF$5)</f>
        <v>0</v>
      </c>
      <c r="BF44" s="3">
        <v>0</v>
      </c>
      <c r="BG44" s="3">
        <f>PARTICIPACION('Datos Protegidos'!BG44,PARTIDOS!BH$5)</f>
        <v>0</v>
      </c>
      <c r="BH44" s="3">
        <v>0</v>
      </c>
      <c r="BI44" s="3">
        <f>PARTICIPACION('Datos Protegidos'!BI44,PARTIDOS!BJ$5)</f>
        <v>0</v>
      </c>
      <c r="BJ44" s="3">
        <v>0</v>
      </c>
      <c r="BK44" s="3">
        <f>PARTICIPACION('Datos Protegidos'!BK44,PARTIDOS!BL$5)</f>
        <v>0</v>
      </c>
      <c r="BL44" s="3">
        <v>0</v>
      </c>
      <c r="BM44" s="3">
        <f>PARTICIPACION('Datos Protegidos'!BM44,PARTIDOS!BN$5)</f>
        <v>0</v>
      </c>
      <c r="BN44" s="3">
        <v>0</v>
      </c>
      <c r="BO44" s="3">
        <f>PARTICIPACION('Datos Protegidos'!BO44,PARTIDOS!BP$5)</f>
        <v>0</v>
      </c>
      <c r="BP44" s="3">
        <v>0</v>
      </c>
      <c r="BQ44" s="3">
        <f>PARTICIPACION('Datos Protegidos'!BQ44,PARTIDOS!BR$5)</f>
        <v>0</v>
      </c>
      <c r="BR44" s="3">
        <v>0</v>
      </c>
      <c r="BS44" s="3">
        <f>PARTICIPACION('Datos Protegidos'!BS44,PARTIDOS!BT$5)</f>
        <v>0</v>
      </c>
      <c r="BT44" s="3">
        <v>0</v>
      </c>
      <c r="BU44" s="3">
        <f>PARTICIPACION('Datos Protegidos'!BU44,PARTIDOS!BV$5)</f>
        <v>0</v>
      </c>
      <c r="BV44" s="3">
        <v>0</v>
      </c>
      <c r="BW44" s="3">
        <f>PARTICIPACION('Datos Protegidos'!BW44,PARTIDOS!BX$5)</f>
        <v>0</v>
      </c>
      <c r="BX44" s="3">
        <v>0</v>
      </c>
      <c r="BY44" s="3">
        <f>PARTICIPACION('Datos Protegidos'!BY44,PARTIDOS!BZ$5)</f>
        <v>0</v>
      </c>
      <c r="BZ44" s="3">
        <v>0</v>
      </c>
      <c r="CA44" s="3">
        <f>PARTICIPACION('Datos Protegidos'!CA44,PARTIDOS!CB$5)</f>
        <v>0</v>
      </c>
      <c r="CB44" s="3">
        <v>0</v>
      </c>
      <c r="CC44" s="3">
        <f>PARTICIPACION('Datos Protegidos'!CC44,PARTIDOS!CD$5)</f>
        <v>0</v>
      </c>
      <c r="CD44" s="3">
        <v>0</v>
      </c>
      <c r="CE44" s="3">
        <f>PARTICIPACION('Datos Protegidos'!CE44,PARTIDOS!CF$5)</f>
        <v>0</v>
      </c>
      <c r="CF44" s="3">
        <v>0</v>
      </c>
      <c r="CG44" s="3">
        <f>PARTICIPACION('Datos Protegidos'!CG44,PARTIDOS!CH$5)</f>
        <v>0</v>
      </c>
      <c r="CH44" s="3">
        <v>0</v>
      </c>
      <c r="CI44" s="3">
        <f>PARTICIPACION('Datos Protegidos'!CI44,PARTIDOS!CJ$5)</f>
        <v>0</v>
      </c>
      <c r="CJ44" s="3">
        <v>0</v>
      </c>
      <c r="CK44" s="3">
        <f>PARTICIPACION('Datos Protegidos'!CK44,PARTIDOS!CL$5)</f>
        <v>0</v>
      </c>
      <c r="CL44" s="3">
        <v>0</v>
      </c>
      <c r="CM44" s="3">
        <f>PARTICIPACION('Datos Protegidos'!CM44,PARTIDOS!CN$5)</f>
        <v>0</v>
      </c>
      <c r="CN44" s="3">
        <v>0</v>
      </c>
      <c r="CO44" s="3">
        <f>PARTICIPACION('Datos Protegidos'!CO44,PARTIDOS!CP$5)</f>
        <v>0</v>
      </c>
      <c r="CP44" s="3">
        <v>0</v>
      </c>
      <c r="CQ44" s="3">
        <f>PARTICIPACION('Datos Protegidos'!CQ44,PARTIDOS!CR$5)</f>
        <v>0</v>
      </c>
      <c r="CR44" s="3">
        <v>0</v>
      </c>
      <c r="CS44" s="3">
        <f>PARTICIPACION('Datos Protegidos'!CS44,PARTIDOS!CT$5)</f>
        <v>0</v>
      </c>
      <c r="CT44" s="3">
        <v>0</v>
      </c>
      <c r="CU44" s="3">
        <f>PARTICIPACION('Datos Protegidos'!CU44,PARTIDOS!CV$5)</f>
        <v>0</v>
      </c>
      <c r="CV44" s="3">
        <v>0</v>
      </c>
      <c r="CW44" s="3">
        <f>PARTICIPACION('Datos Protegidos'!CW44,PARTIDOS!CX$5)</f>
        <v>0</v>
      </c>
      <c r="CX44" s="3">
        <v>0</v>
      </c>
      <c r="CY44" s="3">
        <f>PARTICIPACION('Datos Protegidos'!CY44,PARTIDOS!CZ$5)</f>
        <v>0</v>
      </c>
      <c r="CZ44" s="3">
        <v>0</v>
      </c>
      <c r="DA44" s="3">
        <f>PARTICIPACION('Datos Protegidos'!DA44,PARTIDOS!DB$5)</f>
        <v>0</v>
      </c>
      <c r="DB44" s="3">
        <v>0</v>
      </c>
      <c r="DC44" s="3">
        <f>PARTICIPACION('Datos Protegidos'!DC44,PARTIDOS!DD$5)</f>
        <v>0</v>
      </c>
      <c r="DD44" s="3">
        <v>0</v>
      </c>
      <c r="DE44" s="3">
        <f>PARTICIPACION('Datos Protegidos'!DE44,PARTIDOS!DF$5)</f>
        <v>0</v>
      </c>
      <c r="DF44" s="3">
        <v>0</v>
      </c>
      <c r="DG44" s="3">
        <f>PARTICIPACION('Datos Protegidos'!DG44,PARTIDOS!DH$5)</f>
        <v>0</v>
      </c>
      <c r="DH44" s="3">
        <v>0</v>
      </c>
      <c r="DI44" s="3">
        <f>PARTICIPACION('Datos Protegidos'!DI44,PARTIDOS!DJ$5)</f>
        <v>0</v>
      </c>
      <c r="DJ44" s="3">
        <v>0</v>
      </c>
      <c r="DK44" s="3">
        <f>PARTICIPACION('Datos Protegidos'!DK44,PARTIDOS!DL$5)</f>
        <v>0</v>
      </c>
      <c r="DL44" s="3">
        <v>0</v>
      </c>
      <c r="DM44" s="3">
        <f>PARTICIPACION('Datos Protegidos'!DM44,PARTIDOS!DN$5)</f>
        <v>0</v>
      </c>
      <c r="DN44" s="3">
        <v>0</v>
      </c>
      <c r="DO44" s="3">
        <f>PARTICIPACION('Datos Protegidos'!DO44,PARTIDOS!DP$5)</f>
        <v>0</v>
      </c>
      <c r="DP44" s="3">
        <v>0</v>
      </c>
      <c r="DQ44" s="3">
        <f>PARTICIPACION('Datos Protegidos'!DQ44,PARTIDOS!DR$5)</f>
        <v>0</v>
      </c>
      <c r="DR44" s="3">
        <v>0</v>
      </c>
      <c r="DS44" s="3">
        <f>PARTICIPACION('Datos Protegidos'!DS44,PARTIDOS!DT$5)</f>
        <v>0</v>
      </c>
      <c r="DT44" s="3">
        <v>0</v>
      </c>
      <c r="DU44" s="3">
        <f>PARTICIPACION('Datos Protegidos'!DU44,PARTIDOS!DV$5)</f>
        <v>0</v>
      </c>
      <c r="DV44" s="3">
        <v>0</v>
      </c>
      <c r="DW44" s="3">
        <f>PARTICIPACION('Datos Protegidos'!DW44,PARTIDOS!DX$5)</f>
        <v>0</v>
      </c>
      <c r="DX44" s="3">
        <v>0</v>
      </c>
      <c r="DY44" s="3">
        <f>PARTICIPACION('Datos Protegidos'!DY44,PARTIDOS!DZ$5)</f>
        <v>0</v>
      </c>
      <c r="DZ44" s="3">
        <v>0</v>
      </c>
      <c r="EA44" s="3">
        <f>PARTICIPACION('Datos Protegidos'!EA44,PARTIDOS!EB$5)</f>
        <v>0</v>
      </c>
      <c r="EB44" s="3">
        <v>0</v>
      </c>
      <c r="EC44" s="3">
        <f>PARTICIPACION('Datos Protegidos'!EC44,PARTIDOS!ED$5)</f>
        <v>0</v>
      </c>
      <c r="ED44" s="3">
        <v>0</v>
      </c>
    </row>
    <row r="45" spans="1:134" x14ac:dyDescent="0.25">
      <c r="A45" s="3">
        <f>PARTICIPACION('Datos Protegidos'!A45,PARTIDOS!B$5)</f>
        <v>72809</v>
      </c>
      <c r="B45" s="3">
        <v>1</v>
      </c>
      <c r="C45" s="3">
        <f>PARTICIPACION('Datos Protegidos'!C45,PARTIDOS!D$5)</f>
        <v>24091</v>
      </c>
      <c r="D45" s="3">
        <v>0</v>
      </c>
      <c r="E45" s="3">
        <f>PARTICIPACION('Datos Protegidos'!E45,PARTIDOS!F$5)</f>
        <v>7419</v>
      </c>
      <c r="F45" s="3">
        <v>0</v>
      </c>
      <c r="G45" s="3">
        <f>PARTICIPACION('Datos Protegidos'!G45,PARTIDOS!H$5)</f>
        <v>60231</v>
      </c>
      <c r="H45" s="3">
        <v>1</v>
      </c>
      <c r="I45" s="3">
        <f>PARTICIPACION('Datos Protegidos'!I45,PARTIDOS!J$5)</f>
        <v>0</v>
      </c>
      <c r="J45" s="3">
        <v>0</v>
      </c>
      <c r="K45" s="3">
        <f>PARTICIPACION('Datos Protegidos'!K45,PARTIDOS!L$5)</f>
        <v>3824</v>
      </c>
      <c r="L45" s="3">
        <v>0</v>
      </c>
      <c r="M45" s="3">
        <f>PARTICIPACION('Datos Protegidos'!M45,PARTIDOS!N$5)</f>
        <v>0</v>
      </c>
      <c r="N45" s="3">
        <v>0</v>
      </c>
      <c r="O45" s="3">
        <f>PARTICIPACION('Datos Protegidos'!O45,PARTIDOS!P$5)</f>
        <v>0</v>
      </c>
      <c r="P45" s="3">
        <v>0</v>
      </c>
      <c r="Q45" s="3">
        <f>PARTICIPACION('Datos Protegidos'!Q45,PARTIDOS!R$5)</f>
        <v>113841</v>
      </c>
      <c r="R45" s="3">
        <v>2</v>
      </c>
      <c r="S45" s="3">
        <f>PARTICIPACION('Datos Protegidos'!S45,PARTIDOS!T$5)</f>
        <v>96477</v>
      </c>
      <c r="T45" s="3">
        <v>2</v>
      </c>
      <c r="U45" s="3">
        <f>PARTICIPACION('Datos Protegidos'!U45,PARTIDOS!V$5)</f>
        <v>0</v>
      </c>
      <c r="V45" s="3">
        <v>0</v>
      </c>
      <c r="W45" s="3">
        <f>PARTICIPACION('Datos Protegidos'!W45,PARTIDOS!X$5)</f>
        <v>0</v>
      </c>
      <c r="X45" s="3">
        <v>0</v>
      </c>
      <c r="Y45" s="3">
        <f>PARTICIPACION('Datos Protegidos'!Y45,PARTIDOS!Z$5)</f>
        <v>0</v>
      </c>
      <c r="Z45" s="3">
        <v>0</v>
      </c>
      <c r="AA45" s="3">
        <f>PARTICIPACION('Datos Protegidos'!AA45,PARTIDOS!AB$5)</f>
        <v>0</v>
      </c>
      <c r="AB45" s="3">
        <v>0</v>
      </c>
      <c r="AC45" s="3">
        <f>PARTICIPACION('Datos Protegidos'!AC45,PARTIDOS!AD$5)</f>
        <v>0</v>
      </c>
      <c r="AD45" s="3">
        <v>0</v>
      </c>
      <c r="AE45" s="3">
        <f>PARTICIPACION('Datos Protegidos'!AE45,PARTIDOS!AF$5)</f>
        <v>0</v>
      </c>
      <c r="AF45" s="3">
        <v>0</v>
      </c>
      <c r="AG45" s="3">
        <f>PARTICIPACION('Datos Protegidos'!AG45,PARTIDOS!AH$5)</f>
        <v>0</v>
      </c>
      <c r="AH45" s="3">
        <v>0</v>
      </c>
      <c r="AI45" s="3">
        <f>PARTICIPACION('Datos Protegidos'!AI45,PARTIDOS!AJ$5)</f>
        <v>0</v>
      </c>
      <c r="AJ45" s="3">
        <v>0</v>
      </c>
      <c r="AK45" s="3">
        <f>PARTICIPACION('Datos Protegidos'!AK45,PARTIDOS!AL$5)</f>
        <v>0</v>
      </c>
      <c r="AL45" s="3">
        <v>0</v>
      </c>
      <c r="AM45" s="3">
        <f>PARTICIPACION('Datos Protegidos'!AM45,PARTIDOS!AN$5)</f>
        <v>2059</v>
      </c>
      <c r="AN45" s="3">
        <v>0</v>
      </c>
      <c r="AO45" s="3">
        <f>PARTICIPACION('Datos Protegidos'!AO45,PARTIDOS!AP$5)</f>
        <v>0</v>
      </c>
      <c r="AP45" s="3">
        <v>0</v>
      </c>
      <c r="AQ45" s="3">
        <f>PARTICIPACION('Datos Protegidos'!AQ45,PARTIDOS!AR$5)</f>
        <v>507</v>
      </c>
      <c r="AR45" s="3">
        <v>0</v>
      </c>
      <c r="AS45" s="3">
        <f>PARTICIPACION('Datos Protegidos'!AS45,PARTIDOS!AT$5)</f>
        <v>398</v>
      </c>
      <c r="AT45" s="3">
        <v>0</v>
      </c>
      <c r="AU45" s="3">
        <f>PARTICIPACION('Datos Protegidos'!AU45,PARTIDOS!AV$5)</f>
        <v>0</v>
      </c>
      <c r="AV45" s="3">
        <v>0</v>
      </c>
      <c r="AW45" s="3">
        <f>PARTICIPACION('Datos Protegidos'!AW45,PARTIDOS!AX$5)</f>
        <v>0</v>
      </c>
      <c r="AX45" s="3">
        <v>0</v>
      </c>
      <c r="AY45" s="3">
        <f>PARTICIPACION('Datos Protegidos'!AY45,PARTIDOS!AZ$5)</f>
        <v>0</v>
      </c>
      <c r="AZ45" s="3">
        <v>0</v>
      </c>
      <c r="BA45" s="3">
        <f>PARTICIPACION('Datos Protegidos'!BA45,PARTIDOS!BB$5)</f>
        <v>0</v>
      </c>
      <c r="BB45" s="3">
        <v>0</v>
      </c>
      <c r="BC45" s="3">
        <f>PARTICIPACION('Datos Protegidos'!BC45,PARTIDOS!BD$5)</f>
        <v>289</v>
      </c>
      <c r="BD45" s="3">
        <v>0</v>
      </c>
      <c r="BE45" s="3">
        <f>PARTICIPACION('Datos Protegidos'!BE45,PARTIDOS!BF$5)</f>
        <v>0</v>
      </c>
      <c r="BF45" s="3">
        <v>0</v>
      </c>
      <c r="BG45" s="3">
        <f>PARTICIPACION('Datos Protegidos'!BG45,PARTIDOS!BH$5)</f>
        <v>0</v>
      </c>
      <c r="BH45" s="3">
        <v>0</v>
      </c>
      <c r="BI45" s="3">
        <f>PARTICIPACION('Datos Protegidos'!BI45,PARTIDOS!BJ$5)</f>
        <v>0</v>
      </c>
      <c r="BJ45" s="3">
        <v>0</v>
      </c>
      <c r="BK45" s="3">
        <f>PARTICIPACION('Datos Protegidos'!BK45,PARTIDOS!BL$5)</f>
        <v>0</v>
      </c>
      <c r="BL45" s="3">
        <v>0</v>
      </c>
      <c r="BM45" s="3">
        <f>PARTICIPACION('Datos Protegidos'!BM45,PARTIDOS!BN$5)</f>
        <v>567</v>
      </c>
      <c r="BN45" s="3">
        <v>0</v>
      </c>
      <c r="BO45" s="3">
        <f>PARTICIPACION('Datos Protegidos'!BO45,PARTIDOS!BP$5)</f>
        <v>0</v>
      </c>
      <c r="BP45" s="3">
        <v>0</v>
      </c>
      <c r="BQ45" s="3">
        <f>PARTICIPACION('Datos Protegidos'!BQ45,PARTIDOS!BR$5)</f>
        <v>0</v>
      </c>
      <c r="BR45" s="3">
        <v>0</v>
      </c>
      <c r="BS45" s="3">
        <f>PARTICIPACION('Datos Protegidos'!BS45,PARTIDOS!BT$5)</f>
        <v>0</v>
      </c>
      <c r="BT45" s="3">
        <v>0</v>
      </c>
      <c r="BU45" s="3">
        <f>PARTICIPACION('Datos Protegidos'!BU45,PARTIDOS!BV$5)</f>
        <v>0</v>
      </c>
      <c r="BV45" s="3">
        <v>0</v>
      </c>
      <c r="BW45" s="3">
        <f>PARTICIPACION('Datos Protegidos'!BW45,PARTIDOS!BX$5)</f>
        <v>0</v>
      </c>
      <c r="BX45" s="3">
        <v>0</v>
      </c>
      <c r="BY45" s="3">
        <f>PARTICIPACION('Datos Protegidos'!BY45,PARTIDOS!BZ$5)</f>
        <v>0</v>
      </c>
      <c r="BZ45" s="3">
        <v>0</v>
      </c>
      <c r="CA45" s="3">
        <f>PARTICIPACION('Datos Protegidos'!CA45,PARTIDOS!CB$5)</f>
        <v>0</v>
      </c>
      <c r="CB45" s="3">
        <v>0</v>
      </c>
      <c r="CC45" s="3">
        <f>PARTICIPACION('Datos Protegidos'!CC45,PARTIDOS!CD$5)</f>
        <v>0</v>
      </c>
      <c r="CD45" s="3">
        <v>0</v>
      </c>
      <c r="CE45" s="3">
        <f>PARTICIPACION('Datos Protegidos'!CE45,PARTIDOS!CF$5)</f>
        <v>0</v>
      </c>
      <c r="CF45" s="3">
        <v>0</v>
      </c>
      <c r="CG45" s="3">
        <f>PARTICIPACION('Datos Protegidos'!CG45,PARTIDOS!CH$5)</f>
        <v>0</v>
      </c>
      <c r="CH45" s="3">
        <v>0</v>
      </c>
      <c r="CI45" s="3">
        <f>PARTICIPACION('Datos Protegidos'!CI45,PARTIDOS!CJ$5)</f>
        <v>0</v>
      </c>
      <c r="CJ45" s="3">
        <v>0</v>
      </c>
      <c r="CK45" s="3">
        <f>PARTICIPACION('Datos Protegidos'!CK45,PARTIDOS!CL$5)</f>
        <v>0</v>
      </c>
      <c r="CL45" s="3">
        <v>0</v>
      </c>
      <c r="CM45" s="3">
        <f>PARTICIPACION('Datos Protegidos'!CM45,PARTIDOS!CN$5)</f>
        <v>0</v>
      </c>
      <c r="CN45" s="3">
        <v>0</v>
      </c>
      <c r="CO45" s="3">
        <f>PARTICIPACION('Datos Protegidos'!CO45,PARTIDOS!CP$5)</f>
        <v>0</v>
      </c>
      <c r="CP45" s="3">
        <v>0</v>
      </c>
      <c r="CQ45" s="3">
        <f>PARTICIPACION('Datos Protegidos'!CQ45,PARTIDOS!CR$5)</f>
        <v>0</v>
      </c>
      <c r="CR45" s="3">
        <v>0</v>
      </c>
      <c r="CS45" s="3">
        <f>PARTICIPACION('Datos Protegidos'!CS45,PARTIDOS!CT$5)</f>
        <v>0</v>
      </c>
      <c r="CT45" s="3">
        <v>0</v>
      </c>
      <c r="CU45" s="3">
        <f>PARTICIPACION('Datos Protegidos'!CU45,PARTIDOS!CV$5)</f>
        <v>0</v>
      </c>
      <c r="CV45" s="3">
        <v>0</v>
      </c>
      <c r="CW45" s="3">
        <f>PARTICIPACION('Datos Protegidos'!CW45,PARTIDOS!CX$5)</f>
        <v>0</v>
      </c>
      <c r="CX45" s="3">
        <v>0</v>
      </c>
      <c r="CY45" s="3">
        <f>PARTICIPACION('Datos Protegidos'!CY45,PARTIDOS!CZ$5)</f>
        <v>0</v>
      </c>
      <c r="CZ45" s="3">
        <v>0</v>
      </c>
      <c r="DA45" s="3">
        <f>PARTICIPACION('Datos Protegidos'!DA45,PARTIDOS!DB$5)</f>
        <v>0</v>
      </c>
      <c r="DB45" s="3">
        <v>0</v>
      </c>
      <c r="DC45" s="3">
        <f>PARTICIPACION('Datos Protegidos'!DC45,PARTIDOS!DD$5)</f>
        <v>0</v>
      </c>
      <c r="DD45" s="3">
        <v>0</v>
      </c>
      <c r="DE45" s="3">
        <f>PARTICIPACION('Datos Protegidos'!DE45,PARTIDOS!DF$5)</f>
        <v>0</v>
      </c>
      <c r="DF45" s="3">
        <v>0</v>
      </c>
      <c r="DG45" s="3">
        <f>PARTICIPACION('Datos Protegidos'!DG45,PARTIDOS!DH$5)</f>
        <v>0</v>
      </c>
      <c r="DH45" s="3">
        <v>0</v>
      </c>
      <c r="DI45" s="3">
        <f>PARTICIPACION('Datos Protegidos'!DI45,PARTIDOS!DJ$5)</f>
        <v>0</v>
      </c>
      <c r="DJ45" s="3">
        <v>0</v>
      </c>
      <c r="DK45" s="3">
        <f>PARTICIPACION('Datos Protegidos'!DK45,PARTIDOS!DL$5)</f>
        <v>0</v>
      </c>
      <c r="DL45" s="3">
        <v>0</v>
      </c>
      <c r="DM45" s="3">
        <f>PARTICIPACION('Datos Protegidos'!DM45,PARTIDOS!DN$5)</f>
        <v>0</v>
      </c>
      <c r="DN45" s="3">
        <v>0</v>
      </c>
      <c r="DO45" s="3">
        <f>PARTICIPACION('Datos Protegidos'!DO45,PARTIDOS!DP$5)</f>
        <v>0</v>
      </c>
      <c r="DP45" s="3">
        <v>0</v>
      </c>
      <c r="DQ45" s="3">
        <f>PARTICIPACION('Datos Protegidos'!DQ45,PARTIDOS!DR$5)</f>
        <v>0</v>
      </c>
      <c r="DR45" s="3">
        <v>0</v>
      </c>
      <c r="DS45" s="3">
        <f>PARTICIPACION('Datos Protegidos'!DS45,PARTIDOS!DT$5)</f>
        <v>0</v>
      </c>
      <c r="DT45" s="3">
        <v>0</v>
      </c>
      <c r="DU45" s="3">
        <f>PARTICIPACION('Datos Protegidos'!DU45,PARTIDOS!DV$5)</f>
        <v>0</v>
      </c>
      <c r="DV45" s="3">
        <v>0</v>
      </c>
      <c r="DW45" s="3">
        <f>PARTICIPACION('Datos Protegidos'!DW45,PARTIDOS!DX$5)</f>
        <v>0</v>
      </c>
      <c r="DX45" s="3">
        <v>0</v>
      </c>
      <c r="DY45" s="3">
        <f>PARTICIPACION('Datos Protegidos'!DY45,PARTIDOS!DZ$5)</f>
        <v>0</v>
      </c>
      <c r="DZ45" s="3">
        <v>0</v>
      </c>
      <c r="EA45" s="3">
        <f>PARTICIPACION('Datos Protegidos'!EA45,PARTIDOS!EB$5)</f>
        <v>0</v>
      </c>
      <c r="EB45" s="3">
        <v>0</v>
      </c>
      <c r="EC45" s="3">
        <f>PARTICIPACION('Datos Protegidos'!EC45,PARTIDOS!ED$5)</f>
        <v>0</v>
      </c>
      <c r="ED45" s="3">
        <v>0</v>
      </c>
    </row>
    <row r="46" spans="1:134" x14ac:dyDescent="0.25">
      <c r="A46" s="3">
        <f>PARTICIPACION('Datos Protegidos'!A46,PARTIDOS!B$5)</f>
        <v>126594</v>
      </c>
      <c r="B46" s="3">
        <v>2</v>
      </c>
      <c r="C46" s="3">
        <f>PARTICIPACION('Datos Protegidos'!C46,PARTIDOS!D$5)</f>
        <v>56733</v>
      </c>
      <c r="D46" s="3">
        <v>1</v>
      </c>
      <c r="E46" s="3">
        <f>PARTICIPACION('Datos Protegidos'!E46,PARTIDOS!F$5)</f>
        <v>15589</v>
      </c>
      <c r="F46" s="3">
        <v>0</v>
      </c>
      <c r="G46" s="3">
        <f>PARTICIPACION('Datos Protegidos'!G46,PARTIDOS!H$5)</f>
        <v>101981</v>
      </c>
      <c r="H46" s="3">
        <v>1</v>
      </c>
      <c r="I46" s="3">
        <f>PARTICIPACION('Datos Protegidos'!I46,PARTIDOS!J$5)</f>
        <v>0</v>
      </c>
      <c r="J46" s="3">
        <v>0</v>
      </c>
      <c r="K46" s="3">
        <f>PARTICIPACION('Datos Protegidos'!K46,PARTIDOS!L$5)</f>
        <v>6929</v>
      </c>
      <c r="L46" s="3">
        <v>0</v>
      </c>
      <c r="M46" s="3">
        <f>PARTICIPACION('Datos Protegidos'!M46,PARTIDOS!N$5)</f>
        <v>0</v>
      </c>
      <c r="N46" s="3">
        <v>0</v>
      </c>
      <c r="O46" s="3">
        <f>PARTICIPACION('Datos Protegidos'!O46,PARTIDOS!P$5)</f>
        <v>0</v>
      </c>
      <c r="P46" s="3">
        <v>0</v>
      </c>
      <c r="Q46" s="3">
        <f>PARTICIPACION('Datos Protegidos'!Q46,PARTIDOS!R$5)</f>
        <v>216429</v>
      </c>
      <c r="R46" s="3">
        <v>3</v>
      </c>
      <c r="S46" s="3">
        <f>PARTICIPACION('Datos Protegidos'!S46,PARTIDOS!T$5)</f>
        <v>92302</v>
      </c>
      <c r="T46" s="3">
        <v>1</v>
      </c>
      <c r="U46" s="3">
        <f>PARTICIPACION('Datos Protegidos'!U46,PARTIDOS!V$5)</f>
        <v>8969</v>
      </c>
      <c r="V46" s="3">
        <v>0</v>
      </c>
      <c r="W46" s="3">
        <f>PARTICIPACION('Datos Protegidos'!W46,PARTIDOS!X$5)</f>
        <v>0</v>
      </c>
      <c r="X46" s="3">
        <v>0</v>
      </c>
      <c r="Y46" s="3">
        <f>PARTICIPACION('Datos Protegidos'!Y46,PARTIDOS!Z$5)</f>
        <v>0</v>
      </c>
      <c r="Z46" s="3">
        <v>0</v>
      </c>
      <c r="AA46" s="3">
        <f>PARTICIPACION('Datos Protegidos'!AA46,PARTIDOS!AB$5)</f>
        <v>0</v>
      </c>
      <c r="AB46" s="3">
        <v>0</v>
      </c>
      <c r="AC46" s="3">
        <f>PARTICIPACION('Datos Protegidos'!AC46,PARTIDOS!AD$5)</f>
        <v>0</v>
      </c>
      <c r="AD46" s="3">
        <v>0</v>
      </c>
      <c r="AE46" s="3">
        <f>PARTICIPACION('Datos Protegidos'!AE46,PARTIDOS!AF$5)</f>
        <v>0</v>
      </c>
      <c r="AF46" s="3">
        <v>0</v>
      </c>
      <c r="AG46" s="3">
        <f>PARTICIPACION('Datos Protegidos'!AG46,PARTIDOS!AH$5)</f>
        <v>0</v>
      </c>
      <c r="AH46" s="3">
        <v>0</v>
      </c>
      <c r="AI46" s="3">
        <f>PARTICIPACION('Datos Protegidos'!AI46,PARTIDOS!AJ$5)</f>
        <v>0</v>
      </c>
      <c r="AJ46" s="3">
        <v>0</v>
      </c>
      <c r="AK46" s="3">
        <f>PARTICIPACION('Datos Protegidos'!AK46,PARTIDOS!AL$5)</f>
        <v>0</v>
      </c>
      <c r="AL46" s="3">
        <v>0</v>
      </c>
      <c r="AM46" s="3">
        <f>PARTICIPACION('Datos Protegidos'!AM46,PARTIDOS!AN$5)</f>
        <v>3764</v>
      </c>
      <c r="AN46" s="3">
        <v>0</v>
      </c>
      <c r="AO46" s="3">
        <f>PARTICIPACION('Datos Protegidos'!AO46,PARTIDOS!AP$5)</f>
        <v>0</v>
      </c>
      <c r="AP46" s="3">
        <v>0</v>
      </c>
      <c r="AQ46" s="3">
        <f>PARTICIPACION('Datos Protegidos'!AQ46,PARTIDOS!AR$5)</f>
        <v>749</v>
      </c>
      <c r="AR46" s="3">
        <v>0</v>
      </c>
      <c r="AS46" s="3">
        <f>PARTICIPACION('Datos Protegidos'!AS46,PARTIDOS!AT$5)</f>
        <v>491</v>
      </c>
      <c r="AT46" s="3">
        <v>0</v>
      </c>
      <c r="AU46" s="3">
        <f>PARTICIPACION('Datos Protegidos'!AU46,PARTIDOS!AV$5)</f>
        <v>0</v>
      </c>
      <c r="AV46" s="3">
        <v>0</v>
      </c>
      <c r="AW46" s="3">
        <f>PARTICIPACION('Datos Protegidos'!AW46,PARTIDOS!AX$5)</f>
        <v>0</v>
      </c>
      <c r="AX46" s="3">
        <v>0</v>
      </c>
      <c r="AY46" s="3">
        <f>PARTICIPACION('Datos Protegidos'!AY46,PARTIDOS!AZ$5)</f>
        <v>0</v>
      </c>
      <c r="AZ46" s="3">
        <v>0</v>
      </c>
      <c r="BA46" s="3">
        <f>PARTICIPACION('Datos Protegidos'!BA46,PARTIDOS!BB$5)</f>
        <v>0</v>
      </c>
      <c r="BB46" s="3">
        <v>0</v>
      </c>
      <c r="BC46" s="3">
        <f>PARTICIPACION('Datos Protegidos'!BC46,PARTIDOS!BD$5)</f>
        <v>515</v>
      </c>
      <c r="BD46" s="3">
        <v>0</v>
      </c>
      <c r="BE46" s="3">
        <f>PARTICIPACION('Datos Protegidos'!BE46,PARTIDOS!BF$5)</f>
        <v>0</v>
      </c>
      <c r="BF46" s="3">
        <v>0</v>
      </c>
      <c r="BG46" s="3">
        <f>PARTICIPACION('Datos Protegidos'!BG46,PARTIDOS!BH$5)</f>
        <v>0</v>
      </c>
      <c r="BH46" s="3">
        <v>0</v>
      </c>
      <c r="BI46" s="3">
        <f>PARTICIPACION('Datos Protegidos'!BI46,PARTIDOS!BJ$5)</f>
        <v>0</v>
      </c>
      <c r="BJ46" s="3">
        <v>0</v>
      </c>
      <c r="BK46" s="3">
        <f>PARTICIPACION('Datos Protegidos'!BK46,PARTIDOS!BL$5)</f>
        <v>0</v>
      </c>
      <c r="BL46" s="3">
        <v>0</v>
      </c>
      <c r="BM46" s="3">
        <f>PARTICIPACION('Datos Protegidos'!BM46,PARTIDOS!BN$5)</f>
        <v>0</v>
      </c>
      <c r="BN46" s="3">
        <v>0</v>
      </c>
      <c r="BO46" s="3">
        <f>PARTICIPACION('Datos Protegidos'!BO46,PARTIDOS!BP$5)</f>
        <v>0</v>
      </c>
      <c r="BP46" s="3">
        <v>0</v>
      </c>
      <c r="BQ46" s="3">
        <f>PARTICIPACION('Datos Protegidos'!BQ46,PARTIDOS!BR$5)</f>
        <v>0</v>
      </c>
      <c r="BR46" s="3">
        <v>0</v>
      </c>
      <c r="BS46" s="3">
        <f>PARTICIPACION('Datos Protegidos'!BS46,PARTIDOS!BT$5)</f>
        <v>0</v>
      </c>
      <c r="BT46" s="3">
        <v>0</v>
      </c>
      <c r="BU46" s="3">
        <f>PARTICIPACION('Datos Protegidos'!BU46,PARTIDOS!BV$5)</f>
        <v>0</v>
      </c>
      <c r="BV46" s="3">
        <v>0</v>
      </c>
      <c r="BW46" s="3">
        <f>PARTICIPACION('Datos Protegidos'!BW46,PARTIDOS!BX$5)</f>
        <v>0</v>
      </c>
      <c r="BX46" s="3">
        <v>0</v>
      </c>
      <c r="BY46" s="3">
        <f>PARTICIPACION('Datos Protegidos'!BY46,PARTIDOS!BZ$5)</f>
        <v>0</v>
      </c>
      <c r="BZ46" s="3">
        <v>0</v>
      </c>
      <c r="CA46" s="3">
        <f>PARTICIPACION('Datos Protegidos'!CA46,PARTIDOS!CB$5)</f>
        <v>0</v>
      </c>
      <c r="CB46" s="3">
        <v>0</v>
      </c>
      <c r="CC46" s="3">
        <f>PARTICIPACION('Datos Protegidos'!CC46,PARTIDOS!CD$5)</f>
        <v>0</v>
      </c>
      <c r="CD46" s="3">
        <v>0</v>
      </c>
      <c r="CE46" s="3">
        <f>PARTICIPACION('Datos Protegidos'!CE46,PARTIDOS!CF$5)</f>
        <v>0</v>
      </c>
      <c r="CF46" s="3">
        <v>0</v>
      </c>
      <c r="CG46" s="3">
        <f>PARTICIPACION('Datos Protegidos'!CG46,PARTIDOS!CH$5)</f>
        <v>0</v>
      </c>
      <c r="CH46" s="3">
        <v>0</v>
      </c>
      <c r="CI46" s="3">
        <f>PARTICIPACION('Datos Protegidos'!CI46,PARTIDOS!CJ$5)</f>
        <v>0</v>
      </c>
      <c r="CJ46" s="3">
        <v>0</v>
      </c>
      <c r="CK46" s="3">
        <f>PARTICIPACION('Datos Protegidos'!CK46,PARTIDOS!CL$5)</f>
        <v>0</v>
      </c>
      <c r="CL46" s="3">
        <v>0</v>
      </c>
      <c r="CM46" s="3">
        <f>PARTICIPACION('Datos Protegidos'!CM46,PARTIDOS!CN$5)</f>
        <v>0</v>
      </c>
      <c r="CN46" s="3">
        <v>0</v>
      </c>
      <c r="CO46" s="3">
        <f>PARTICIPACION('Datos Protegidos'!CO46,PARTIDOS!CP$5)</f>
        <v>0</v>
      </c>
      <c r="CP46" s="3">
        <v>0</v>
      </c>
      <c r="CQ46" s="3">
        <f>PARTICIPACION('Datos Protegidos'!CQ46,PARTIDOS!CR$5)</f>
        <v>0</v>
      </c>
      <c r="CR46" s="3">
        <v>0</v>
      </c>
      <c r="CS46" s="3">
        <f>PARTICIPACION('Datos Protegidos'!CS46,PARTIDOS!CT$5)</f>
        <v>0</v>
      </c>
      <c r="CT46" s="3">
        <v>0</v>
      </c>
      <c r="CU46" s="3">
        <f>PARTICIPACION('Datos Protegidos'!CU46,PARTIDOS!CV$5)</f>
        <v>0</v>
      </c>
      <c r="CV46" s="3">
        <v>0</v>
      </c>
      <c r="CW46" s="3">
        <f>PARTICIPACION('Datos Protegidos'!CW46,PARTIDOS!CX$5)</f>
        <v>0</v>
      </c>
      <c r="CX46" s="3">
        <v>0</v>
      </c>
      <c r="CY46" s="3">
        <f>PARTICIPACION('Datos Protegidos'!CY46,PARTIDOS!CZ$5)</f>
        <v>0</v>
      </c>
      <c r="CZ46" s="3">
        <v>0</v>
      </c>
      <c r="DA46" s="3">
        <f>PARTICIPACION('Datos Protegidos'!DA46,PARTIDOS!DB$5)</f>
        <v>0</v>
      </c>
      <c r="DB46" s="3">
        <v>0</v>
      </c>
      <c r="DC46" s="3">
        <f>PARTICIPACION('Datos Protegidos'!DC46,PARTIDOS!DD$5)</f>
        <v>0</v>
      </c>
      <c r="DD46" s="3">
        <v>0</v>
      </c>
      <c r="DE46" s="3">
        <f>PARTICIPACION('Datos Protegidos'!DE46,PARTIDOS!DF$5)</f>
        <v>0</v>
      </c>
      <c r="DF46" s="3">
        <v>0</v>
      </c>
      <c r="DG46" s="3">
        <f>PARTICIPACION('Datos Protegidos'!DG46,PARTIDOS!DH$5)</f>
        <v>0</v>
      </c>
      <c r="DH46" s="3">
        <v>0</v>
      </c>
      <c r="DI46" s="3">
        <f>PARTICIPACION('Datos Protegidos'!DI46,PARTIDOS!DJ$5)</f>
        <v>0</v>
      </c>
      <c r="DJ46" s="3">
        <v>0</v>
      </c>
      <c r="DK46" s="3">
        <f>PARTICIPACION('Datos Protegidos'!DK46,PARTIDOS!DL$5)</f>
        <v>0</v>
      </c>
      <c r="DL46" s="3">
        <v>0</v>
      </c>
      <c r="DM46" s="3">
        <f>PARTICIPACION('Datos Protegidos'!DM46,PARTIDOS!DN$5)</f>
        <v>0</v>
      </c>
      <c r="DN46" s="3">
        <v>0</v>
      </c>
      <c r="DO46" s="3">
        <f>PARTICIPACION('Datos Protegidos'!DO46,PARTIDOS!DP$5)</f>
        <v>0</v>
      </c>
      <c r="DP46" s="3">
        <v>0</v>
      </c>
      <c r="DQ46" s="3">
        <f>PARTICIPACION('Datos Protegidos'!DQ46,PARTIDOS!DR$5)</f>
        <v>268</v>
      </c>
      <c r="DR46" s="3">
        <v>0</v>
      </c>
      <c r="DS46" s="3">
        <f>PARTICIPACION('Datos Protegidos'!DS46,PARTIDOS!DT$5)</f>
        <v>0</v>
      </c>
      <c r="DT46" s="3">
        <v>0</v>
      </c>
      <c r="DU46" s="3">
        <f>PARTICIPACION('Datos Protegidos'!DU46,PARTIDOS!DV$5)</f>
        <v>0</v>
      </c>
      <c r="DV46" s="3">
        <v>0</v>
      </c>
      <c r="DW46" s="3">
        <f>PARTICIPACION('Datos Protegidos'!DW46,PARTIDOS!DX$5)</f>
        <v>0</v>
      </c>
      <c r="DX46" s="3">
        <v>0</v>
      </c>
      <c r="DY46" s="3">
        <f>PARTICIPACION('Datos Protegidos'!DY46,PARTIDOS!DZ$5)</f>
        <v>0</v>
      </c>
      <c r="DZ46" s="3">
        <v>0</v>
      </c>
      <c r="EA46" s="3">
        <f>PARTICIPACION('Datos Protegidos'!EA46,PARTIDOS!EB$5)</f>
        <v>0</v>
      </c>
      <c r="EB46" s="3">
        <v>0</v>
      </c>
      <c r="EC46" s="3">
        <f>PARTICIPACION('Datos Protegidos'!EC46,PARTIDOS!ED$5)</f>
        <v>0</v>
      </c>
      <c r="ED46" s="3">
        <v>0</v>
      </c>
    </row>
    <row r="47" spans="1:134" x14ac:dyDescent="0.25">
      <c r="A47" s="3">
        <f>PARTICIPACION('Datos Protegidos'!A47,PARTIDOS!B$5)</f>
        <v>186011</v>
      </c>
      <c r="B47" s="3">
        <v>3</v>
      </c>
      <c r="C47" s="3">
        <f>PARTICIPACION('Datos Protegidos'!C47,PARTIDOS!D$5)</f>
        <v>193290</v>
      </c>
      <c r="D47" s="3">
        <v>3</v>
      </c>
      <c r="E47" s="3">
        <f>PARTICIPACION('Datos Protegidos'!E47,PARTIDOS!F$5)</f>
        <v>203825</v>
      </c>
      <c r="F47" s="3">
        <v>3</v>
      </c>
      <c r="G47" s="3">
        <f>PARTICIPACION('Datos Protegidos'!G47,PARTIDOS!H$5)</f>
        <v>66634</v>
      </c>
      <c r="H47" s="3">
        <v>1</v>
      </c>
      <c r="I47" s="3">
        <f>PARTICIPACION('Datos Protegidos'!I47,PARTIDOS!J$5)</f>
        <v>0</v>
      </c>
      <c r="J47" s="3">
        <v>0</v>
      </c>
      <c r="K47" s="3">
        <f>PARTICIPACION('Datos Protegidos'!K47,PARTIDOS!L$5)</f>
        <v>53201</v>
      </c>
      <c r="L47" s="3">
        <v>0</v>
      </c>
      <c r="M47" s="3">
        <f>PARTICIPACION('Datos Protegidos'!M47,PARTIDOS!N$5)</f>
        <v>0</v>
      </c>
      <c r="N47" s="3">
        <v>0</v>
      </c>
      <c r="O47" s="3">
        <f>PARTICIPACION('Datos Protegidos'!O47,PARTIDOS!P$5)</f>
        <v>0</v>
      </c>
      <c r="P47" s="3">
        <v>0</v>
      </c>
      <c r="Q47" s="3">
        <f>PARTICIPACION('Datos Protegidos'!Q47,PARTIDOS!R$5)</f>
        <v>0</v>
      </c>
      <c r="R47" s="3">
        <v>0</v>
      </c>
      <c r="S47" s="3">
        <f>PARTICIPACION('Datos Protegidos'!S47,PARTIDOS!T$5)</f>
        <v>0</v>
      </c>
      <c r="T47" s="3">
        <v>0</v>
      </c>
      <c r="U47" s="3">
        <f>PARTICIPACION('Datos Protegidos'!U47,PARTIDOS!V$5)</f>
        <v>14110</v>
      </c>
      <c r="V47" s="3">
        <v>0</v>
      </c>
      <c r="W47" s="3">
        <f>PARTICIPACION('Datos Protegidos'!W47,PARTIDOS!X$5)</f>
        <v>0</v>
      </c>
      <c r="X47" s="3">
        <v>0</v>
      </c>
      <c r="Y47" s="3">
        <f>PARTICIPACION('Datos Protegidos'!Y47,PARTIDOS!Z$5)</f>
        <v>0</v>
      </c>
      <c r="Z47" s="3">
        <v>0</v>
      </c>
      <c r="AA47" s="3">
        <f>PARTICIPACION('Datos Protegidos'!AA47,PARTIDOS!AB$5)</f>
        <v>0</v>
      </c>
      <c r="AB47" s="3">
        <v>0</v>
      </c>
      <c r="AC47" s="3">
        <f>PARTICIPACION('Datos Protegidos'!AC47,PARTIDOS!AD$5)</f>
        <v>0</v>
      </c>
      <c r="AD47" s="3">
        <v>0</v>
      </c>
      <c r="AE47" s="3">
        <f>PARTICIPACION('Datos Protegidos'!AE47,PARTIDOS!AF$5)</f>
        <v>0</v>
      </c>
      <c r="AF47" s="3">
        <v>0</v>
      </c>
      <c r="AG47" s="3">
        <f>PARTICIPACION('Datos Protegidos'!AG47,PARTIDOS!AH$5)</f>
        <v>0</v>
      </c>
      <c r="AH47" s="3">
        <v>0</v>
      </c>
      <c r="AI47" s="3">
        <f>PARTICIPACION('Datos Protegidos'!AI47,PARTIDOS!AJ$5)</f>
        <v>0</v>
      </c>
      <c r="AJ47" s="3">
        <v>0</v>
      </c>
      <c r="AK47" s="3">
        <f>PARTICIPACION('Datos Protegidos'!AK47,PARTIDOS!AL$5)</f>
        <v>0</v>
      </c>
      <c r="AL47" s="3">
        <v>0</v>
      </c>
      <c r="AM47" s="3">
        <f>PARTICIPACION('Datos Protegidos'!AM47,PARTIDOS!AN$5)</f>
        <v>6969</v>
      </c>
      <c r="AN47" s="3">
        <v>0</v>
      </c>
      <c r="AO47" s="3">
        <f>PARTICIPACION('Datos Protegidos'!AO47,PARTIDOS!AP$5)</f>
        <v>0</v>
      </c>
      <c r="AP47" s="3">
        <v>0</v>
      </c>
      <c r="AQ47" s="3">
        <f>PARTICIPACION('Datos Protegidos'!AQ47,PARTIDOS!AR$5)</f>
        <v>876</v>
      </c>
      <c r="AR47" s="3">
        <v>0</v>
      </c>
      <c r="AS47" s="3">
        <f>PARTICIPACION('Datos Protegidos'!AS47,PARTIDOS!AT$5)</f>
        <v>428</v>
      </c>
      <c r="AT47" s="3">
        <v>0</v>
      </c>
      <c r="AU47" s="3">
        <f>PARTICIPACION('Datos Protegidos'!AU47,PARTIDOS!AV$5)</f>
        <v>0</v>
      </c>
      <c r="AV47" s="3">
        <v>0</v>
      </c>
      <c r="AW47" s="3">
        <f>PARTICIPACION('Datos Protegidos'!AW47,PARTIDOS!AX$5)</f>
        <v>0</v>
      </c>
      <c r="AX47" s="3">
        <v>0</v>
      </c>
      <c r="AY47" s="3">
        <f>PARTICIPACION('Datos Protegidos'!AY47,PARTIDOS!AZ$5)</f>
        <v>0</v>
      </c>
      <c r="AZ47" s="3">
        <v>0</v>
      </c>
      <c r="BA47" s="3">
        <f>PARTICIPACION('Datos Protegidos'!BA47,PARTIDOS!BB$5)</f>
        <v>514</v>
      </c>
      <c r="BB47" s="3">
        <v>0</v>
      </c>
      <c r="BC47" s="3">
        <f>PARTICIPACION('Datos Protegidos'!BC47,PARTIDOS!BD$5)</f>
        <v>0</v>
      </c>
      <c r="BD47" s="3">
        <v>0</v>
      </c>
      <c r="BE47" s="3">
        <f>PARTICIPACION('Datos Protegidos'!BE47,PARTIDOS!BF$5)</f>
        <v>0</v>
      </c>
      <c r="BF47" s="3">
        <v>0</v>
      </c>
      <c r="BG47" s="3">
        <f>PARTICIPACION('Datos Protegidos'!BG47,PARTIDOS!BH$5)</f>
        <v>0</v>
      </c>
      <c r="BH47" s="3">
        <v>0</v>
      </c>
      <c r="BI47" s="3">
        <f>PARTICIPACION('Datos Protegidos'!BI47,PARTIDOS!BJ$5)</f>
        <v>1039</v>
      </c>
      <c r="BJ47" s="3">
        <v>0</v>
      </c>
      <c r="BK47" s="3">
        <f>PARTICIPACION('Datos Protegidos'!BK47,PARTIDOS!BL$5)</f>
        <v>0</v>
      </c>
      <c r="BL47" s="3">
        <v>0</v>
      </c>
      <c r="BM47" s="3">
        <f>PARTICIPACION('Datos Protegidos'!BM47,PARTIDOS!BN$5)</f>
        <v>0</v>
      </c>
      <c r="BN47" s="3">
        <v>0</v>
      </c>
      <c r="BO47" s="3">
        <f>PARTICIPACION('Datos Protegidos'!BO47,PARTIDOS!BP$5)</f>
        <v>0</v>
      </c>
      <c r="BP47" s="3">
        <v>0</v>
      </c>
      <c r="BQ47" s="3">
        <f>PARTICIPACION('Datos Protegidos'!BQ47,PARTIDOS!BR$5)</f>
        <v>0</v>
      </c>
      <c r="BR47" s="3">
        <v>0</v>
      </c>
      <c r="BS47" s="3">
        <f>PARTICIPACION('Datos Protegidos'!BS47,PARTIDOS!BT$5)</f>
        <v>0</v>
      </c>
      <c r="BT47" s="3">
        <v>0</v>
      </c>
      <c r="BU47" s="3">
        <f>PARTICIPACION('Datos Protegidos'!BU47,PARTIDOS!BV$5)</f>
        <v>0</v>
      </c>
      <c r="BV47" s="3">
        <v>0</v>
      </c>
      <c r="BW47" s="3">
        <f>PARTICIPACION('Datos Protegidos'!BW47,PARTIDOS!BX$5)</f>
        <v>0</v>
      </c>
      <c r="BX47" s="3">
        <v>0</v>
      </c>
      <c r="BY47" s="3">
        <f>PARTICIPACION('Datos Protegidos'!BY47,PARTIDOS!BZ$5)</f>
        <v>0</v>
      </c>
      <c r="BZ47" s="3">
        <v>0</v>
      </c>
      <c r="CA47" s="3">
        <f>PARTICIPACION('Datos Protegidos'!CA47,PARTIDOS!CB$5)</f>
        <v>0</v>
      </c>
      <c r="CB47" s="3">
        <v>0</v>
      </c>
      <c r="CC47" s="3">
        <f>PARTICIPACION('Datos Protegidos'!CC47,PARTIDOS!CD$5)</f>
        <v>2316</v>
      </c>
      <c r="CD47" s="3">
        <v>0</v>
      </c>
      <c r="CE47" s="3">
        <f>PARTICIPACION('Datos Protegidos'!CE47,PARTIDOS!CF$5)</f>
        <v>455</v>
      </c>
      <c r="CF47" s="3">
        <v>0</v>
      </c>
      <c r="CG47" s="3">
        <f>PARTICIPACION('Datos Protegidos'!CG47,PARTIDOS!CH$5)</f>
        <v>0</v>
      </c>
      <c r="CH47" s="3">
        <v>0</v>
      </c>
      <c r="CI47" s="3">
        <f>PARTICIPACION('Datos Protegidos'!CI47,PARTIDOS!CJ$5)</f>
        <v>317</v>
      </c>
      <c r="CJ47" s="3">
        <v>0</v>
      </c>
      <c r="CK47" s="3">
        <f>PARTICIPACION('Datos Protegidos'!CK47,PARTIDOS!CL$5)</f>
        <v>0</v>
      </c>
      <c r="CL47" s="3">
        <v>0</v>
      </c>
      <c r="CM47" s="3">
        <f>PARTICIPACION('Datos Protegidos'!CM47,PARTIDOS!CN$5)</f>
        <v>0</v>
      </c>
      <c r="CN47" s="3">
        <v>0</v>
      </c>
      <c r="CO47" s="3">
        <f>PARTICIPACION('Datos Protegidos'!CO47,PARTIDOS!CP$5)</f>
        <v>0</v>
      </c>
      <c r="CP47" s="3">
        <v>0</v>
      </c>
      <c r="CQ47" s="3">
        <f>PARTICIPACION('Datos Protegidos'!CQ47,PARTIDOS!CR$5)</f>
        <v>0</v>
      </c>
      <c r="CR47" s="3">
        <v>0</v>
      </c>
      <c r="CS47" s="3">
        <f>PARTICIPACION('Datos Protegidos'!CS47,PARTIDOS!CT$5)</f>
        <v>0</v>
      </c>
      <c r="CT47" s="3">
        <v>0</v>
      </c>
      <c r="CU47" s="3">
        <f>PARTICIPACION('Datos Protegidos'!CU47,PARTIDOS!CV$5)</f>
        <v>0</v>
      </c>
      <c r="CV47" s="3">
        <v>0</v>
      </c>
      <c r="CW47" s="3">
        <f>PARTICIPACION('Datos Protegidos'!CW47,PARTIDOS!CX$5)</f>
        <v>0</v>
      </c>
      <c r="CX47" s="3">
        <v>0</v>
      </c>
      <c r="CY47" s="3">
        <f>PARTICIPACION('Datos Protegidos'!CY47,PARTIDOS!CZ$5)</f>
        <v>0</v>
      </c>
      <c r="CZ47" s="3">
        <v>0</v>
      </c>
      <c r="DA47" s="3">
        <f>PARTICIPACION('Datos Protegidos'!DA47,PARTIDOS!DB$5)</f>
        <v>0</v>
      </c>
      <c r="DB47" s="3">
        <v>0</v>
      </c>
      <c r="DC47" s="3">
        <f>PARTICIPACION('Datos Protegidos'!DC47,PARTIDOS!DD$5)</f>
        <v>0</v>
      </c>
      <c r="DD47" s="3">
        <v>0</v>
      </c>
      <c r="DE47" s="3">
        <f>PARTICIPACION('Datos Protegidos'!DE47,PARTIDOS!DF$5)</f>
        <v>0</v>
      </c>
      <c r="DF47" s="3">
        <v>0</v>
      </c>
      <c r="DG47" s="3">
        <f>PARTICIPACION('Datos Protegidos'!DG47,PARTIDOS!DH$5)</f>
        <v>0</v>
      </c>
      <c r="DH47" s="3">
        <v>0</v>
      </c>
      <c r="DI47" s="3">
        <f>PARTICIPACION('Datos Protegidos'!DI47,PARTIDOS!DJ$5)</f>
        <v>0</v>
      </c>
      <c r="DJ47" s="3">
        <v>0</v>
      </c>
      <c r="DK47" s="3">
        <f>PARTICIPACION('Datos Protegidos'!DK47,PARTIDOS!DL$5)</f>
        <v>0</v>
      </c>
      <c r="DL47" s="3">
        <v>0</v>
      </c>
      <c r="DM47" s="3">
        <f>PARTICIPACION('Datos Protegidos'!DM47,PARTIDOS!DN$5)</f>
        <v>0</v>
      </c>
      <c r="DN47" s="3">
        <v>0</v>
      </c>
      <c r="DO47" s="3">
        <f>PARTICIPACION('Datos Protegidos'!DO47,PARTIDOS!DP$5)</f>
        <v>0</v>
      </c>
      <c r="DP47" s="3">
        <v>0</v>
      </c>
      <c r="DQ47" s="3">
        <f>PARTICIPACION('Datos Protegidos'!DQ47,PARTIDOS!DR$5)</f>
        <v>0</v>
      </c>
      <c r="DR47" s="3">
        <v>0</v>
      </c>
      <c r="DS47" s="3">
        <f>PARTICIPACION('Datos Protegidos'!DS47,PARTIDOS!DT$5)</f>
        <v>0</v>
      </c>
      <c r="DT47" s="3">
        <v>0</v>
      </c>
      <c r="DU47" s="3">
        <f>PARTICIPACION('Datos Protegidos'!DU47,PARTIDOS!DV$5)</f>
        <v>0</v>
      </c>
      <c r="DV47" s="3">
        <v>0</v>
      </c>
      <c r="DW47" s="3">
        <f>PARTICIPACION('Datos Protegidos'!DW47,PARTIDOS!DX$5)</f>
        <v>218</v>
      </c>
      <c r="DX47" s="3">
        <v>0</v>
      </c>
      <c r="DY47" s="3">
        <f>PARTICIPACION('Datos Protegidos'!DY47,PARTIDOS!DZ$5)</f>
        <v>0</v>
      </c>
      <c r="DZ47" s="3">
        <v>0</v>
      </c>
      <c r="EA47" s="3">
        <f>PARTICIPACION('Datos Protegidos'!EA47,PARTIDOS!EB$5)</f>
        <v>0</v>
      </c>
      <c r="EB47" s="3">
        <v>0</v>
      </c>
      <c r="EC47" s="3">
        <f>PARTICIPACION('Datos Protegidos'!EC47,PARTIDOS!ED$5)</f>
        <v>0</v>
      </c>
      <c r="ED47" s="3">
        <v>0</v>
      </c>
    </row>
    <row r="48" spans="1:134" x14ac:dyDescent="0.25">
      <c r="A48" s="3">
        <f>PARTICIPACION('Datos Protegidos'!A48,PARTIDOS!B$5)</f>
        <v>60359</v>
      </c>
      <c r="B48" s="3">
        <v>2</v>
      </c>
      <c r="C48" s="3">
        <f>PARTICIPACION('Datos Protegidos'!C48,PARTIDOS!D$5)</f>
        <v>57579</v>
      </c>
      <c r="D48" s="3">
        <v>2</v>
      </c>
      <c r="E48" s="3">
        <f>PARTICIPACION('Datos Protegidos'!E48,PARTIDOS!F$5)</f>
        <v>19286</v>
      </c>
      <c r="F48" s="3">
        <v>0</v>
      </c>
      <c r="G48" s="3">
        <f>PARTICIPACION('Datos Protegidos'!G48,PARTIDOS!H$5)</f>
        <v>17086</v>
      </c>
      <c r="H48" s="3">
        <v>0</v>
      </c>
      <c r="I48" s="3">
        <f>PARTICIPACION('Datos Protegidos'!I48,PARTIDOS!J$5)</f>
        <v>0</v>
      </c>
      <c r="J48" s="3">
        <v>0</v>
      </c>
      <c r="K48" s="3">
        <f>PARTICIPACION('Datos Protegidos'!K48,PARTIDOS!L$5)</f>
        <v>11673</v>
      </c>
      <c r="L48" s="3">
        <v>0</v>
      </c>
      <c r="M48" s="3">
        <f>PARTICIPACION('Datos Protegidos'!M48,PARTIDOS!N$5)</f>
        <v>0</v>
      </c>
      <c r="N48" s="3">
        <v>0</v>
      </c>
      <c r="O48" s="3">
        <f>PARTICIPACION('Datos Protegidos'!O48,PARTIDOS!P$5)</f>
        <v>0</v>
      </c>
      <c r="P48" s="3">
        <v>0</v>
      </c>
      <c r="Q48" s="3">
        <f>PARTICIPACION('Datos Protegidos'!Q48,PARTIDOS!R$5)</f>
        <v>0</v>
      </c>
      <c r="R48" s="3">
        <v>0</v>
      </c>
      <c r="S48" s="3">
        <f>PARTICIPACION('Datos Protegidos'!S48,PARTIDOS!T$5)</f>
        <v>0</v>
      </c>
      <c r="T48" s="3">
        <v>0</v>
      </c>
      <c r="U48" s="3">
        <f>PARTICIPACION('Datos Protegidos'!U48,PARTIDOS!V$5)</f>
        <v>0</v>
      </c>
      <c r="V48" s="3">
        <v>0</v>
      </c>
      <c r="W48" s="3">
        <f>PARTICIPACION('Datos Protegidos'!W48,PARTIDOS!X$5)</f>
        <v>0</v>
      </c>
      <c r="X48" s="3">
        <v>0</v>
      </c>
      <c r="Y48" s="3">
        <f>PARTICIPACION('Datos Protegidos'!Y48,PARTIDOS!Z$5)</f>
        <v>0</v>
      </c>
      <c r="Z48" s="3">
        <v>0</v>
      </c>
      <c r="AA48" s="3">
        <f>PARTICIPACION('Datos Protegidos'!AA48,PARTIDOS!AB$5)</f>
        <v>0</v>
      </c>
      <c r="AB48" s="3">
        <v>0</v>
      </c>
      <c r="AC48" s="3">
        <f>PARTICIPACION('Datos Protegidos'!AC48,PARTIDOS!AD$5)</f>
        <v>0</v>
      </c>
      <c r="AD48" s="3">
        <v>0</v>
      </c>
      <c r="AE48" s="3">
        <f>PARTICIPACION('Datos Protegidos'!AE48,PARTIDOS!AF$5)</f>
        <v>0</v>
      </c>
      <c r="AF48" s="3">
        <v>0</v>
      </c>
      <c r="AG48" s="3">
        <f>PARTICIPACION('Datos Protegidos'!AG48,PARTIDOS!AH$5)</f>
        <v>0</v>
      </c>
      <c r="AH48" s="3">
        <v>0</v>
      </c>
      <c r="AI48" s="3">
        <f>PARTICIPACION('Datos Protegidos'!AI48,PARTIDOS!AJ$5)</f>
        <v>0</v>
      </c>
      <c r="AJ48" s="3">
        <v>0</v>
      </c>
      <c r="AK48" s="3">
        <f>PARTICIPACION('Datos Protegidos'!AK48,PARTIDOS!AL$5)</f>
        <v>0</v>
      </c>
      <c r="AL48" s="3">
        <v>0</v>
      </c>
      <c r="AM48" s="3">
        <f>PARTICIPACION('Datos Protegidos'!AM48,PARTIDOS!AN$5)</f>
        <v>1090</v>
      </c>
      <c r="AN48" s="3">
        <v>0</v>
      </c>
      <c r="AO48" s="3">
        <f>PARTICIPACION('Datos Protegidos'!AO48,PARTIDOS!AP$5)</f>
        <v>0</v>
      </c>
      <c r="AP48" s="3">
        <v>0</v>
      </c>
      <c r="AQ48" s="3">
        <f>PARTICIPACION('Datos Protegidos'!AQ48,PARTIDOS!AR$5)</f>
        <v>305</v>
      </c>
      <c r="AR48" s="3">
        <v>0</v>
      </c>
      <c r="AS48" s="3">
        <f>PARTICIPACION('Datos Protegidos'!AS48,PARTIDOS!AT$5)</f>
        <v>295</v>
      </c>
      <c r="AT48" s="3">
        <v>0</v>
      </c>
      <c r="AU48" s="3">
        <f>PARTICIPACION('Datos Protegidos'!AU48,PARTIDOS!AV$5)</f>
        <v>0</v>
      </c>
      <c r="AV48" s="3">
        <v>0</v>
      </c>
      <c r="AW48" s="3">
        <f>PARTICIPACION('Datos Protegidos'!AW48,PARTIDOS!AX$5)</f>
        <v>0</v>
      </c>
      <c r="AX48" s="3">
        <v>0</v>
      </c>
      <c r="AY48" s="3">
        <f>PARTICIPACION('Datos Protegidos'!AY48,PARTIDOS!AZ$5)</f>
        <v>0</v>
      </c>
      <c r="AZ48" s="3">
        <v>0</v>
      </c>
      <c r="BA48" s="3">
        <f>PARTICIPACION('Datos Protegidos'!BA48,PARTIDOS!BB$5)</f>
        <v>0</v>
      </c>
      <c r="BB48" s="3">
        <v>0</v>
      </c>
      <c r="BC48" s="3">
        <f>PARTICIPACION('Datos Protegidos'!BC48,PARTIDOS!BD$5)</f>
        <v>276</v>
      </c>
      <c r="BD48" s="3">
        <v>0</v>
      </c>
      <c r="BE48" s="3">
        <f>PARTICIPACION('Datos Protegidos'!BE48,PARTIDOS!BF$5)</f>
        <v>0</v>
      </c>
      <c r="BF48" s="3">
        <v>0</v>
      </c>
      <c r="BG48" s="3">
        <f>PARTICIPACION('Datos Protegidos'!BG48,PARTIDOS!BH$5)</f>
        <v>0</v>
      </c>
      <c r="BH48" s="3">
        <v>0</v>
      </c>
      <c r="BI48" s="3">
        <f>PARTICIPACION('Datos Protegidos'!BI48,PARTIDOS!BJ$5)</f>
        <v>0</v>
      </c>
      <c r="BJ48" s="3">
        <v>0</v>
      </c>
      <c r="BK48" s="3">
        <f>PARTICIPACION('Datos Protegidos'!BK48,PARTIDOS!BL$5)</f>
        <v>0</v>
      </c>
      <c r="BL48" s="3">
        <v>0</v>
      </c>
      <c r="BM48" s="3">
        <f>PARTICIPACION('Datos Protegidos'!BM48,PARTIDOS!BN$5)</f>
        <v>422</v>
      </c>
      <c r="BN48" s="3">
        <v>0</v>
      </c>
      <c r="BO48" s="3">
        <f>PARTICIPACION('Datos Protegidos'!BO48,PARTIDOS!BP$5)</f>
        <v>0</v>
      </c>
      <c r="BP48" s="3">
        <v>0</v>
      </c>
      <c r="BQ48" s="3">
        <f>PARTICIPACION('Datos Protegidos'!BQ48,PARTIDOS!BR$5)</f>
        <v>0</v>
      </c>
      <c r="BR48" s="3">
        <v>0</v>
      </c>
      <c r="BS48" s="3">
        <f>PARTICIPACION('Datos Protegidos'!BS48,PARTIDOS!BT$5)</f>
        <v>0</v>
      </c>
      <c r="BT48" s="3">
        <v>0</v>
      </c>
      <c r="BU48" s="3">
        <f>PARTICIPACION('Datos Protegidos'!BU48,PARTIDOS!BV$5)</f>
        <v>0</v>
      </c>
      <c r="BV48" s="3">
        <v>0</v>
      </c>
      <c r="BW48" s="3">
        <f>PARTICIPACION('Datos Protegidos'!BW48,PARTIDOS!BX$5)</f>
        <v>0</v>
      </c>
      <c r="BX48" s="3">
        <v>0</v>
      </c>
      <c r="BY48" s="3">
        <f>PARTICIPACION('Datos Protegidos'!BY48,PARTIDOS!BZ$5)</f>
        <v>0</v>
      </c>
      <c r="BZ48" s="3">
        <v>0</v>
      </c>
      <c r="CA48" s="3">
        <f>PARTICIPACION('Datos Protegidos'!CA48,PARTIDOS!CB$5)</f>
        <v>0</v>
      </c>
      <c r="CB48" s="3">
        <v>0</v>
      </c>
      <c r="CC48" s="3">
        <f>PARTICIPACION('Datos Protegidos'!CC48,PARTIDOS!CD$5)</f>
        <v>0</v>
      </c>
      <c r="CD48" s="3">
        <v>0</v>
      </c>
      <c r="CE48" s="3">
        <f>PARTICIPACION('Datos Protegidos'!CE48,PARTIDOS!CF$5)</f>
        <v>0</v>
      </c>
      <c r="CF48" s="3">
        <v>0</v>
      </c>
      <c r="CG48" s="3">
        <f>PARTICIPACION('Datos Protegidos'!CG48,PARTIDOS!CH$5)</f>
        <v>0</v>
      </c>
      <c r="CH48" s="3">
        <v>0</v>
      </c>
      <c r="CI48" s="3">
        <f>PARTICIPACION('Datos Protegidos'!CI48,PARTIDOS!CJ$5)</f>
        <v>0</v>
      </c>
      <c r="CJ48" s="3">
        <v>0</v>
      </c>
      <c r="CK48" s="3">
        <f>PARTICIPACION('Datos Protegidos'!CK48,PARTIDOS!CL$5)</f>
        <v>0</v>
      </c>
      <c r="CL48" s="3">
        <v>0</v>
      </c>
      <c r="CM48" s="3">
        <f>PARTICIPACION('Datos Protegidos'!CM48,PARTIDOS!CN$5)</f>
        <v>0</v>
      </c>
      <c r="CN48" s="3">
        <v>0</v>
      </c>
      <c r="CO48" s="3">
        <f>PARTICIPACION('Datos Protegidos'!CO48,PARTIDOS!CP$5)</f>
        <v>0</v>
      </c>
      <c r="CP48" s="3">
        <v>0</v>
      </c>
      <c r="CQ48" s="3">
        <f>PARTICIPACION('Datos Protegidos'!CQ48,PARTIDOS!CR$5)</f>
        <v>0</v>
      </c>
      <c r="CR48" s="3">
        <v>0</v>
      </c>
      <c r="CS48" s="3">
        <f>PARTICIPACION('Datos Protegidos'!CS48,PARTIDOS!CT$5)</f>
        <v>0</v>
      </c>
      <c r="CT48" s="3">
        <v>0</v>
      </c>
      <c r="CU48" s="3">
        <f>PARTICIPACION('Datos Protegidos'!CU48,PARTIDOS!CV$5)</f>
        <v>0</v>
      </c>
      <c r="CV48" s="3">
        <v>0</v>
      </c>
      <c r="CW48" s="3">
        <f>PARTICIPACION('Datos Protegidos'!CW48,PARTIDOS!CX$5)</f>
        <v>0</v>
      </c>
      <c r="CX48" s="3">
        <v>0</v>
      </c>
      <c r="CY48" s="3">
        <f>PARTICIPACION('Datos Protegidos'!CY48,PARTIDOS!CZ$5)</f>
        <v>0</v>
      </c>
      <c r="CZ48" s="3">
        <v>0</v>
      </c>
      <c r="DA48" s="3">
        <f>PARTICIPACION('Datos Protegidos'!DA48,PARTIDOS!DB$5)</f>
        <v>0</v>
      </c>
      <c r="DB48" s="3">
        <v>0</v>
      </c>
      <c r="DC48" s="3">
        <f>PARTICIPACION('Datos Protegidos'!DC48,PARTIDOS!DD$5)</f>
        <v>0</v>
      </c>
      <c r="DD48" s="3">
        <v>0</v>
      </c>
      <c r="DE48" s="3">
        <f>PARTICIPACION('Datos Protegidos'!DE48,PARTIDOS!DF$5)</f>
        <v>0</v>
      </c>
      <c r="DF48" s="3">
        <v>0</v>
      </c>
      <c r="DG48" s="3">
        <f>PARTICIPACION('Datos Protegidos'!DG48,PARTIDOS!DH$5)</f>
        <v>0</v>
      </c>
      <c r="DH48" s="3">
        <v>0</v>
      </c>
      <c r="DI48" s="3">
        <f>PARTICIPACION('Datos Protegidos'!DI48,PARTIDOS!DJ$5)</f>
        <v>0</v>
      </c>
      <c r="DJ48" s="3">
        <v>0</v>
      </c>
      <c r="DK48" s="3">
        <f>PARTICIPACION('Datos Protegidos'!DK48,PARTIDOS!DL$5)</f>
        <v>0</v>
      </c>
      <c r="DL48" s="3">
        <v>0</v>
      </c>
      <c r="DM48" s="3">
        <f>PARTICIPACION('Datos Protegidos'!DM48,PARTIDOS!DN$5)</f>
        <v>0</v>
      </c>
      <c r="DN48" s="3">
        <v>0</v>
      </c>
      <c r="DO48" s="3">
        <f>PARTICIPACION('Datos Protegidos'!DO48,PARTIDOS!DP$5)</f>
        <v>0</v>
      </c>
      <c r="DP48" s="3">
        <v>0</v>
      </c>
      <c r="DQ48" s="3">
        <f>PARTICIPACION('Datos Protegidos'!DQ48,PARTIDOS!DR$5)</f>
        <v>0</v>
      </c>
      <c r="DR48" s="3">
        <v>0</v>
      </c>
      <c r="DS48" s="3">
        <f>PARTICIPACION('Datos Protegidos'!DS48,PARTIDOS!DT$5)</f>
        <v>0</v>
      </c>
      <c r="DT48" s="3">
        <v>0</v>
      </c>
      <c r="DU48" s="3">
        <f>PARTICIPACION('Datos Protegidos'!DU48,PARTIDOS!DV$5)</f>
        <v>0</v>
      </c>
      <c r="DV48" s="3">
        <v>0</v>
      </c>
      <c r="DW48" s="3">
        <f>PARTICIPACION('Datos Protegidos'!DW48,PARTIDOS!DX$5)</f>
        <v>0</v>
      </c>
      <c r="DX48" s="3">
        <v>0</v>
      </c>
      <c r="DY48" s="3">
        <f>PARTICIPACION('Datos Protegidos'!DY48,PARTIDOS!DZ$5)</f>
        <v>0</v>
      </c>
      <c r="DZ48" s="3">
        <v>0</v>
      </c>
      <c r="EA48" s="3">
        <f>PARTICIPACION('Datos Protegidos'!EA48,PARTIDOS!EB$5)</f>
        <v>0</v>
      </c>
      <c r="EB48" s="3">
        <v>0</v>
      </c>
      <c r="EC48" s="3">
        <f>PARTICIPACION('Datos Protegidos'!EC48,PARTIDOS!ED$5)</f>
        <v>0</v>
      </c>
      <c r="ED48" s="3">
        <v>0</v>
      </c>
    </row>
    <row r="49" spans="1:134" x14ac:dyDescent="0.25">
      <c r="A49" s="3">
        <f>PARTICIPACION('Datos Protegidos'!A49,PARTIDOS!B$5)</f>
        <v>252212</v>
      </c>
      <c r="B49" s="3">
        <v>4</v>
      </c>
      <c r="C49" s="3">
        <f>PARTICIPACION('Datos Protegidos'!C49,PARTIDOS!D$5)</f>
        <v>211456</v>
      </c>
      <c r="D49" s="3">
        <v>3</v>
      </c>
      <c r="E49" s="3">
        <f>PARTICIPACION('Datos Protegidos'!E49,PARTIDOS!F$5)</f>
        <v>170742</v>
      </c>
      <c r="F49" s="3">
        <v>3</v>
      </c>
      <c r="G49" s="3">
        <f>PARTICIPACION('Datos Protegidos'!G49,PARTIDOS!H$5)</f>
        <v>113959</v>
      </c>
      <c r="H49" s="3">
        <v>1</v>
      </c>
      <c r="I49" s="3">
        <f>PARTICIPACION('Datos Protegidos'!I49,PARTIDOS!J$5)</f>
        <v>0</v>
      </c>
      <c r="J49" s="3">
        <v>0</v>
      </c>
      <c r="K49" s="3">
        <f>PARTICIPACION('Datos Protegidos'!K49,PARTIDOS!L$5)</f>
        <v>69143</v>
      </c>
      <c r="L49" s="3">
        <v>1</v>
      </c>
      <c r="M49" s="3">
        <f>PARTICIPACION('Datos Protegidos'!M49,PARTIDOS!N$5)</f>
        <v>0</v>
      </c>
      <c r="N49" s="3">
        <v>0</v>
      </c>
      <c r="O49" s="3">
        <f>PARTICIPACION('Datos Protegidos'!O49,PARTIDOS!P$5)</f>
        <v>0</v>
      </c>
      <c r="P49" s="3">
        <v>0</v>
      </c>
      <c r="Q49" s="3">
        <f>PARTICIPACION('Datos Protegidos'!Q49,PARTIDOS!R$5)</f>
        <v>0</v>
      </c>
      <c r="R49" s="3">
        <v>0</v>
      </c>
      <c r="S49" s="3">
        <f>PARTICIPACION('Datos Protegidos'!S49,PARTIDOS!T$5)</f>
        <v>0</v>
      </c>
      <c r="T49" s="3">
        <v>0</v>
      </c>
      <c r="U49" s="3">
        <f>PARTICIPACION('Datos Protegidos'!U49,PARTIDOS!V$5)</f>
        <v>0</v>
      </c>
      <c r="V49" s="3">
        <v>0</v>
      </c>
      <c r="W49" s="3">
        <f>PARTICIPACION('Datos Protegidos'!W49,PARTIDOS!X$5)</f>
        <v>0</v>
      </c>
      <c r="X49" s="3">
        <v>0</v>
      </c>
      <c r="Y49" s="3">
        <f>PARTICIPACION('Datos Protegidos'!Y49,PARTIDOS!Z$5)</f>
        <v>0</v>
      </c>
      <c r="Z49" s="3">
        <v>0</v>
      </c>
      <c r="AA49" s="3">
        <f>PARTICIPACION('Datos Protegidos'!AA49,PARTIDOS!AB$5)</f>
        <v>0</v>
      </c>
      <c r="AB49" s="3">
        <v>0</v>
      </c>
      <c r="AC49" s="3">
        <f>PARTICIPACION('Datos Protegidos'!AC49,PARTIDOS!AD$5)</f>
        <v>0</v>
      </c>
      <c r="AD49" s="3">
        <v>0</v>
      </c>
      <c r="AE49" s="3">
        <f>PARTICIPACION('Datos Protegidos'!AE49,PARTIDOS!AF$5)</f>
        <v>34721</v>
      </c>
      <c r="AF49" s="3">
        <v>0</v>
      </c>
      <c r="AG49" s="3">
        <f>PARTICIPACION('Datos Protegidos'!AG49,PARTIDOS!AH$5)</f>
        <v>0</v>
      </c>
      <c r="AH49" s="3">
        <v>0</v>
      </c>
      <c r="AI49" s="3">
        <f>PARTICIPACION('Datos Protegidos'!AI49,PARTIDOS!AJ$5)</f>
        <v>0</v>
      </c>
      <c r="AJ49" s="3">
        <v>0</v>
      </c>
      <c r="AK49" s="3">
        <f>PARTICIPACION('Datos Protegidos'!AK49,PARTIDOS!AL$5)</f>
        <v>0</v>
      </c>
      <c r="AL49" s="3">
        <v>0</v>
      </c>
      <c r="AM49" s="3">
        <f>PARTICIPACION('Datos Protegidos'!AM49,PARTIDOS!AN$5)</f>
        <v>9369</v>
      </c>
      <c r="AN49" s="3">
        <v>0</v>
      </c>
      <c r="AO49" s="3">
        <f>PARTICIPACION('Datos Protegidos'!AO49,PARTIDOS!AP$5)</f>
        <v>0</v>
      </c>
      <c r="AP49" s="3">
        <v>0</v>
      </c>
      <c r="AQ49" s="3">
        <f>PARTICIPACION('Datos Protegidos'!AQ49,PARTIDOS!AR$5)</f>
        <v>886</v>
      </c>
      <c r="AR49" s="3">
        <v>0</v>
      </c>
      <c r="AS49" s="3">
        <f>PARTICIPACION('Datos Protegidos'!AS49,PARTIDOS!AT$5)</f>
        <v>943</v>
      </c>
      <c r="AT49" s="3">
        <v>0</v>
      </c>
      <c r="AU49" s="3">
        <f>PARTICIPACION('Datos Protegidos'!AU49,PARTIDOS!AV$5)</f>
        <v>0</v>
      </c>
      <c r="AV49" s="3">
        <v>0</v>
      </c>
      <c r="AW49" s="3">
        <f>PARTICIPACION('Datos Protegidos'!AW49,PARTIDOS!AX$5)</f>
        <v>0</v>
      </c>
      <c r="AX49" s="3">
        <v>0</v>
      </c>
      <c r="AY49" s="3">
        <f>PARTICIPACION('Datos Protegidos'!AY49,PARTIDOS!AZ$5)</f>
        <v>0</v>
      </c>
      <c r="AZ49" s="3">
        <v>0</v>
      </c>
      <c r="BA49" s="3">
        <f>PARTICIPACION('Datos Protegidos'!BA49,PARTIDOS!BB$5)</f>
        <v>956</v>
      </c>
      <c r="BB49" s="3">
        <v>0</v>
      </c>
      <c r="BC49" s="3">
        <f>PARTICIPACION('Datos Protegidos'!BC49,PARTIDOS!BD$5)</f>
        <v>0</v>
      </c>
      <c r="BD49" s="3">
        <v>0</v>
      </c>
      <c r="BE49" s="3">
        <f>PARTICIPACION('Datos Protegidos'!BE49,PARTIDOS!BF$5)</f>
        <v>0</v>
      </c>
      <c r="BF49" s="3">
        <v>0</v>
      </c>
      <c r="BG49" s="3">
        <f>PARTICIPACION('Datos Protegidos'!BG49,PARTIDOS!BH$5)</f>
        <v>0</v>
      </c>
      <c r="BH49" s="3">
        <v>0</v>
      </c>
      <c r="BI49" s="3">
        <f>PARTICIPACION('Datos Protegidos'!BI49,PARTIDOS!BJ$5)</f>
        <v>0</v>
      </c>
      <c r="BJ49" s="3">
        <v>0</v>
      </c>
      <c r="BK49" s="3">
        <f>PARTICIPACION('Datos Protegidos'!BK49,PARTIDOS!BL$5)</f>
        <v>0</v>
      </c>
      <c r="BL49" s="3">
        <v>0</v>
      </c>
      <c r="BM49" s="3">
        <f>PARTICIPACION('Datos Protegidos'!BM49,PARTIDOS!BN$5)</f>
        <v>0</v>
      </c>
      <c r="BN49" s="3">
        <v>0</v>
      </c>
      <c r="BO49" s="3">
        <f>PARTICIPACION('Datos Protegidos'!BO49,PARTIDOS!BP$5)</f>
        <v>1640</v>
      </c>
      <c r="BP49" s="3">
        <v>0</v>
      </c>
      <c r="BQ49" s="3">
        <f>PARTICIPACION('Datos Protegidos'!BQ49,PARTIDOS!BR$5)</f>
        <v>0</v>
      </c>
      <c r="BR49" s="3">
        <v>0</v>
      </c>
      <c r="BS49" s="3">
        <f>PARTICIPACION('Datos Protegidos'!BS49,PARTIDOS!BT$5)</f>
        <v>2325</v>
      </c>
      <c r="BT49" s="3">
        <v>0</v>
      </c>
      <c r="BU49" s="3">
        <f>PARTICIPACION('Datos Protegidos'!BU49,PARTIDOS!BV$5)</f>
        <v>0</v>
      </c>
      <c r="BV49" s="3">
        <v>0</v>
      </c>
      <c r="BW49" s="3">
        <f>PARTICIPACION('Datos Protegidos'!BW49,PARTIDOS!BX$5)</f>
        <v>0</v>
      </c>
      <c r="BX49" s="3">
        <v>0</v>
      </c>
      <c r="BY49" s="3">
        <f>PARTICIPACION('Datos Protegidos'!BY49,PARTIDOS!BZ$5)</f>
        <v>0</v>
      </c>
      <c r="BZ49" s="3">
        <v>0</v>
      </c>
      <c r="CA49" s="3">
        <f>PARTICIPACION('Datos Protegidos'!CA49,PARTIDOS!CB$5)</f>
        <v>0</v>
      </c>
      <c r="CB49" s="3">
        <v>0</v>
      </c>
      <c r="CC49" s="3">
        <f>PARTICIPACION('Datos Protegidos'!CC49,PARTIDOS!CD$5)</f>
        <v>0</v>
      </c>
      <c r="CD49" s="3">
        <v>0</v>
      </c>
      <c r="CE49" s="3">
        <f>PARTICIPACION('Datos Protegidos'!CE49,PARTIDOS!CF$5)</f>
        <v>0</v>
      </c>
      <c r="CF49" s="3">
        <v>0</v>
      </c>
      <c r="CG49" s="3">
        <f>PARTICIPACION('Datos Protegidos'!CG49,PARTIDOS!CH$5)</f>
        <v>0</v>
      </c>
      <c r="CH49" s="3">
        <v>0</v>
      </c>
      <c r="CI49" s="3">
        <f>PARTICIPACION('Datos Protegidos'!CI49,PARTIDOS!CJ$5)</f>
        <v>0</v>
      </c>
      <c r="CJ49" s="3">
        <v>0</v>
      </c>
      <c r="CK49" s="3">
        <f>PARTICIPACION('Datos Protegidos'!CK49,PARTIDOS!CL$5)</f>
        <v>0</v>
      </c>
      <c r="CL49" s="3">
        <v>0</v>
      </c>
      <c r="CM49" s="3">
        <f>PARTICIPACION('Datos Protegidos'!CM49,PARTIDOS!CN$5)</f>
        <v>0</v>
      </c>
      <c r="CN49" s="3">
        <v>0</v>
      </c>
      <c r="CO49" s="3">
        <f>PARTICIPACION('Datos Protegidos'!CO49,PARTIDOS!CP$5)</f>
        <v>0</v>
      </c>
      <c r="CP49" s="3">
        <v>0</v>
      </c>
      <c r="CQ49" s="3">
        <f>PARTICIPACION('Datos Protegidos'!CQ49,PARTIDOS!CR$5)</f>
        <v>0</v>
      </c>
      <c r="CR49" s="3">
        <v>0</v>
      </c>
      <c r="CS49" s="3">
        <f>PARTICIPACION('Datos Protegidos'!CS49,PARTIDOS!CT$5)</f>
        <v>553</v>
      </c>
      <c r="CT49" s="3">
        <v>0</v>
      </c>
      <c r="CU49" s="3">
        <f>PARTICIPACION('Datos Protegidos'!CU49,PARTIDOS!CV$5)</f>
        <v>0</v>
      </c>
      <c r="CV49" s="3">
        <v>0</v>
      </c>
      <c r="CW49" s="3">
        <f>PARTICIPACION('Datos Protegidos'!CW49,PARTIDOS!CX$5)</f>
        <v>0</v>
      </c>
      <c r="CX49" s="3">
        <v>0</v>
      </c>
      <c r="CY49" s="3">
        <f>PARTICIPACION('Datos Protegidos'!CY49,PARTIDOS!CZ$5)</f>
        <v>0</v>
      </c>
      <c r="CZ49" s="3">
        <v>0</v>
      </c>
      <c r="DA49" s="3">
        <f>PARTICIPACION('Datos Protegidos'!DA49,PARTIDOS!DB$5)</f>
        <v>0</v>
      </c>
      <c r="DB49" s="3">
        <v>0</v>
      </c>
      <c r="DC49" s="3">
        <f>PARTICIPACION('Datos Protegidos'!DC49,PARTIDOS!DD$5)</f>
        <v>0</v>
      </c>
      <c r="DD49" s="3">
        <v>0</v>
      </c>
      <c r="DE49" s="3">
        <f>PARTICIPACION('Datos Protegidos'!DE49,PARTIDOS!DF$5)</f>
        <v>0</v>
      </c>
      <c r="DF49" s="3">
        <v>0</v>
      </c>
      <c r="DG49" s="3">
        <f>PARTICIPACION('Datos Protegidos'!DG49,PARTIDOS!DH$5)</f>
        <v>0</v>
      </c>
      <c r="DH49" s="3">
        <v>0</v>
      </c>
      <c r="DI49" s="3">
        <f>PARTICIPACION('Datos Protegidos'!DI49,PARTIDOS!DJ$5)</f>
        <v>0</v>
      </c>
      <c r="DJ49" s="3">
        <v>0</v>
      </c>
      <c r="DK49" s="3">
        <f>PARTICIPACION('Datos Protegidos'!DK49,PARTIDOS!DL$5)</f>
        <v>0</v>
      </c>
      <c r="DL49" s="3">
        <v>0</v>
      </c>
      <c r="DM49" s="3">
        <f>PARTICIPACION('Datos Protegidos'!DM49,PARTIDOS!DN$5)</f>
        <v>0</v>
      </c>
      <c r="DN49" s="3">
        <v>0</v>
      </c>
      <c r="DO49" s="3">
        <f>PARTICIPACION('Datos Protegidos'!DO49,PARTIDOS!DP$5)</f>
        <v>0</v>
      </c>
      <c r="DP49" s="3">
        <v>0</v>
      </c>
      <c r="DQ49" s="3">
        <f>PARTICIPACION('Datos Protegidos'!DQ49,PARTIDOS!DR$5)</f>
        <v>0</v>
      </c>
      <c r="DR49" s="3">
        <v>0</v>
      </c>
      <c r="DS49" s="3">
        <f>PARTICIPACION('Datos Protegidos'!DS49,PARTIDOS!DT$5)</f>
        <v>0</v>
      </c>
      <c r="DT49" s="3">
        <v>0</v>
      </c>
      <c r="DU49" s="3">
        <f>PARTICIPACION('Datos Protegidos'!DU49,PARTIDOS!DV$5)</f>
        <v>0</v>
      </c>
      <c r="DV49" s="3">
        <v>0</v>
      </c>
      <c r="DW49" s="3">
        <f>PARTICIPACION('Datos Protegidos'!DW49,PARTIDOS!DX$5)</f>
        <v>0</v>
      </c>
      <c r="DX49" s="3">
        <v>0</v>
      </c>
      <c r="DY49" s="3">
        <f>PARTICIPACION('Datos Protegidos'!DY49,PARTIDOS!DZ$5)</f>
        <v>0</v>
      </c>
      <c r="DZ49" s="3">
        <v>0</v>
      </c>
      <c r="EA49" s="3">
        <f>PARTICIPACION('Datos Protegidos'!EA49,PARTIDOS!EB$5)</f>
        <v>0</v>
      </c>
      <c r="EB49" s="3">
        <v>0</v>
      </c>
      <c r="EC49" s="3">
        <f>PARTICIPACION('Datos Protegidos'!EC49,PARTIDOS!ED$5)</f>
        <v>0</v>
      </c>
      <c r="ED49" s="3">
        <v>0</v>
      </c>
    </row>
    <row r="50" spans="1:134" x14ac:dyDescent="0.25">
      <c r="A50" s="3">
        <f>PARTICIPACION('Datos Protegidos'!A50,PARTIDOS!B$5)</f>
        <v>88281</v>
      </c>
      <c r="B50" s="3">
        <v>2</v>
      </c>
      <c r="C50" s="3">
        <f>PARTICIPACION('Datos Protegidos'!C50,PARTIDOS!D$5)</f>
        <v>71579</v>
      </c>
      <c r="D50" s="3">
        <v>1</v>
      </c>
      <c r="E50" s="3">
        <f>PARTICIPACION('Datos Protegidos'!E50,PARTIDOS!F$5)</f>
        <v>55945</v>
      </c>
      <c r="F50" s="3">
        <v>1</v>
      </c>
      <c r="G50" s="3">
        <f>PARTICIPACION('Datos Protegidos'!G50,PARTIDOS!H$5)</f>
        <v>41213</v>
      </c>
      <c r="H50" s="3">
        <v>1</v>
      </c>
      <c r="I50" s="3">
        <f>PARTICIPACION('Datos Protegidos'!I50,PARTIDOS!J$5)</f>
        <v>0</v>
      </c>
      <c r="J50" s="3">
        <v>0</v>
      </c>
      <c r="K50" s="3">
        <f>PARTICIPACION('Datos Protegidos'!K50,PARTIDOS!L$5)</f>
        <v>20302</v>
      </c>
      <c r="L50" s="3">
        <v>0</v>
      </c>
      <c r="M50" s="3">
        <f>PARTICIPACION('Datos Protegidos'!M50,PARTIDOS!N$5)</f>
        <v>0</v>
      </c>
      <c r="N50" s="3">
        <v>0</v>
      </c>
      <c r="O50" s="3">
        <f>PARTICIPACION('Datos Protegidos'!O50,PARTIDOS!P$5)</f>
        <v>0</v>
      </c>
      <c r="P50" s="3">
        <v>0</v>
      </c>
      <c r="Q50" s="3">
        <f>PARTICIPACION('Datos Protegidos'!Q50,PARTIDOS!R$5)</f>
        <v>0</v>
      </c>
      <c r="R50" s="3">
        <v>0</v>
      </c>
      <c r="S50" s="3">
        <f>PARTICIPACION('Datos Protegidos'!S50,PARTIDOS!T$5)</f>
        <v>0</v>
      </c>
      <c r="T50" s="3">
        <v>0</v>
      </c>
      <c r="U50" s="3">
        <f>PARTICIPACION('Datos Protegidos'!U50,PARTIDOS!V$5)</f>
        <v>0</v>
      </c>
      <c r="V50" s="3">
        <v>0</v>
      </c>
      <c r="W50" s="3">
        <f>PARTICIPACION('Datos Protegidos'!W50,PARTIDOS!X$5)</f>
        <v>0</v>
      </c>
      <c r="X50" s="3">
        <v>0</v>
      </c>
      <c r="Y50" s="3">
        <f>PARTICIPACION('Datos Protegidos'!Y50,PARTIDOS!Z$5)</f>
        <v>0</v>
      </c>
      <c r="Z50" s="3">
        <v>0</v>
      </c>
      <c r="AA50" s="3">
        <f>PARTICIPACION('Datos Protegidos'!AA50,PARTIDOS!AB$5)</f>
        <v>0</v>
      </c>
      <c r="AB50" s="3">
        <v>0</v>
      </c>
      <c r="AC50" s="3">
        <f>PARTICIPACION('Datos Protegidos'!AC50,PARTIDOS!AD$5)</f>
        <v>0</v>
      </c>
      <c r="AD50" s="3">
        <v>0</v>
      </c>
      <c r="AE50" s="3">
        <f>PARTICIPACION('Datos Protegidos'!AE50,PARTIDOS!AF$5)</f>
        <v>17686</v>
      </c>
      <c r="AF50" s="3">
        <v>0</v>
      </c>
      <c r="AG50" s="3">
        <f>PARTICIPACION('Datos Protegidos'!AG50,PARTIDOS!AH$5)</f>
        <v>0</v>
      </c>
      <c r="AH50" s="3">
        <v>0</v>
      </c>
      <c r="AI50" s="3">
        <f>PARTICIPACION('Datos Protegidos'!AI50,PARTIDOS!AJ$5)</f>
        <v>0</v>
      </c>
      <c r="AJ50" s="3">
        <v>0</v>
      </c>
      <c r="AK50" s="3">
        <f>PARTICIPACION('Datos Protegidos'!AK50,PARTIDOS!AL$5)</f>
        <v>0</v>
      </c>
      <c r="AL50" s="3">
        <v>0</v>
      </c>
      <c r="AM50" s="3">
        <f>PARTICIPACION('Datos Protegidos'!AM50,PARTIDOS!AN$5)</f>
        <v>2470</v>
      </c>
      <c r="AN50" s="3">
        <v>0</v>
      </c>
      <c r="AO50" s="3">
        <f>PARTICIPACION('Datos Protegidos'!AO50,PARTIDOS!AP$5)</f>
        <v>0</v>
      </c>
      <c r="AP50" s="3">
        <v>0</v>
      </c>
      <c r="AQ50" s="3">
        <f>PARTICIPACION('Datos Protegidos'!AQ50,PARTIDOS!AR$5)</f>
        <v>255</v>
      </c>
      <c r="AR50" s="3">
        <v>0</v>
      </c>
      <c r="AS50" s="3">
        <f>PARTICIPACION('Datos Protegidos'!AS50,PARTIDOS!AT$5)</f>
        <v>368</v>
      </c>
      <c r="AT50" s="3">
        <v>0</v>
      </c>
      <c r="AU50" s="3">
        <f>PARTICIPACION('Datos Protegidos'!AU50,PARTIDOS!AV$5)</f>
        <v>0</v>
      </c>
      <c r="AV50" s="3">
        <v>0</v>
      </c>
      <c r="AW50" s="3">
        <f>PARTICIPACION('Datos Protegidos'!AW50,PARTIDOS!AX$5)</f>
        <v>0</v>
      </c>
      <c r="AX50" s="3">
        <v>0</v>
      </c>
      <c r="AY50" s="3">
        <f>PARTICIPACION('Datos Protegidos'!AY50,PARTIDOS!AZ$5)</f>
        <v>0</v>
      </c>
      <c r="AZ50" s="3">
        <v>0</v>
      </c>
      <c r="BA50" s="3">
        <f>PARTICIPACION('Datos Protegidos'!BA50,PARTIDOS!BB$5)</f>
        <v>203</v>
      </c>
      <c r="BB50" s="3">
        <v>0</v>
      </c>
      <c r="BC50" s="3">
        <f>PARTICIPACION('Datos Protegidos'!BC50,PARTIDOS!BD$5)</f>
        <v>0</v>
      </c>
      <c r="BD50" s="3">
        <v>0</v>
      </c>
      <c r="BE50" s="3">
        <f>PARTICIPACION('Datos Protegidos'!BE50,PARTIDOS!BF$5)</f>
        <v>0</v>
      </c>
      <c r="BF50" s="3">
        <v>0</v>
      </c>
      <c r="BG50" s="3">
        <f>PARTICIPACION('Datos Protegidos'!BG50,PARTIDOS!BH$5)</f>
        <v>0</v>
      </c>
      <c r="BH50" s="3">
        <v>0</v>
      </c>
      <c r="BI50" s="3">
        <f>PARTICIPACION('Datos Protegidos'!BI50,PARTIDOS!BJ$5)</f>
        <v>397</v>
      </c>
      <c r="BJ50" s="3">
        <v>0</v>
      </c>
      <c r="BK50" s="3">
        <f>PARTICIPACION('Datos Protegidos'!BK50,PARTIDOS!BL$5)</f>
        <v>0</v>
      </c>
      <c r="BL50" s="3">
        <v>0</v>
      </c>
      <c r="BM50" s="3">
        <f>PARTICIPACION('Datos Protegidos'!BM50,PARTIDOS!BN$5)</f>
        <v>0</v>
      </c>
      <c r="BN50" s="3">
        <v>0</v>
      </c>
      <c r="BO50" s="3">
        <f>PARTICIPACION('Datos Protegidos'!BO50,PARTIDOS!BP$5)</f>
        <v>1078</v>
      </c>
      <c r="BP50" s="3">
        <v>0</v>
      </c>
      <c r="BQ50" s="3">
        <f>PARTICIPACION('Datos Protegidos'!BQ50,PARTIDOS!BR$5)</f>
        <v>0</v>
      </c>
      <c r="BR50" s="3">
        <v>0</v>
      </c>
      <c r="BS50" s="3">
        <f>PARTICIPACION('Datos Protegidos'!BS50,PARTIDOS!BT$5)</f>
        <v>402</v>
      </c>
      <c r="BT50" s="3">
        <v>0</v>
      </c>
      <c r="BU50" s="3">
        <f>PARTICIPACION('Datos Protegidos'!BU50,PARTIDOS!BV$5)</f>
        <v>0</v>
      </c>
      <c r="BV50" s="3">
        <v>0</v>
      </c>
      <c r="BW50" s="3">
        <f>PARTICIPACION('Datos Protegidos'!BW50,PARTIDOS!BX$5)</f>
        <v>0</v>
      </c>
      <c r="BX50" s="3">
        <v>0</v>
      </c>
      <c r="BY50" s="3">
        <f>PARTICIPACION('Datos Protegidos'!BY50,PARTIDOS!BZ$5)</f>
        <v>0</v>
      </c>
      <c r="BZ50" s="3">
        <v>0</v>
      </c>
      <c r="CA50" s="3">
        <f>PARTICIPACION('Datos Protegidos'!CA50,PARTIDOS!CB$5)</f>
        <v>0</v>
      </c>
      <c r="CB50" s="3">
        <v>0</v>
      </c>
      <c r="CC50" s="3">
        <f>PARTICIPACION('Datos Protegidos'!CC50,PARTIDOS!CD$5)</f>
        <v>0</v>
      </c>
      <c r="CD50" s="3">
        <v>0</v>
      </c>
      <c r="CE50" s="3">
        <f>PARTICIPACION('Datos Protegidos'!CE50,PARTIDOS!CF$5)</f>
        <v>0</v>
      </c>
      <c r="CF50" s="3">
        <v>0</v>
      </c>
      <c r="CG50" s="3">
        <f>PARTICIPACION('Datos Protegidos'!CG50,PARTIDOS!CH$5)</f>
        <v>0</v>
      </c>
      <c r="CH50" s="3">
        <v>0</v>
      </c>
      <c r="CI50" s="3">
        <f>PARTICIPACION('Datos Protegidos'!CI50,PARTIDOS!CJ$5)</f>
        <v>0</v>
      </c>
      <c r="CJ50" s="3">
        <v>0</v>
      </c>
      <c r="CK50" s="3">
        <f>PARTICIPACION('Datos Protegidos'!CK50,PARTIDOS!CL$5)</f>
        <v>0</v>
      </c>
      <c r="CL50" s="3">
        <v>0</v>
      </c>
      <c r="CM50" s="3">
        <f>PARTICIPACION('Datos Protegidos'!CM50,PARTIDOS!CN$5)</f>
        <v>0</v>
      </c>
      <c r="CN50" s="3">
        <v>0</v>
      </c>
      <c r="CO50" s="3">
        <f>PARTICIPACION('Datos Protegidos'!CO50,PARTIDOS!CP$5)</f>
        <v>0</v>
      </c>
      <c r="CP50" s="3">
        <v>0</v>
      </c>
      <c r="CQ50" s="3">
        <f>PARTICIPACION('Datos Protegidos'!CQ50,PARTIDOS!CR$5)</f>
        <v>0</v>
      </c>
      <c r="CR50" s="3">
        <v>0</v>
      </c>
      <c r="CS50" s="3">
        <f>PARTICIPACION('Datos Protegidos'!CS50,PARTIDOS!CT$5)</f>
        <v>0</v>
      </c>
      <c r="CT50" s="3">
        <v>0</v>
      </c>
      <c r="CU50" s="3">
        <f>PARTICIPACION('Datos Protegidos'!CU50,PARTIDOS!CV$5)</f>
        <v>0</v>
      </c>
      <c r="CV50" s="3">
        <v>0</v>
      </c>
      <c r="CW50" s="3">
        <f>PARTICIPACION('Datos Protegidos'!CW50,PARTIDOS!CX$5)</f>
        <v>0</v>
      </c>
      <c r="CX50" s="3">
        <v>0</v>
      </c>
      <c r="CY50" s="3">
        <f>PARTICIPACION('Datos Protegidos'!CY50,PARTIDOS!CZ$5)</f>
        <v>0</v>
      </c>
      <c r="CZ50" s="3">
        <v>0</v>
      </c>
      <c r="DA50" s="3">
        <f>PARTICIPACION('Datos Protegidos'!DA50,PARTIDOS!DB$5)</f>
        <v>0</v>
      </c>
      <c r="DB50" s="3">
        <v>0</v>
      </c>
      <c r="DC50" s="3">
        <f>PARTICIPACION('Datos Protegidos'!DC50,PARTIDOS!DD$5)</f>
        <v>0</v>
      </c>
      <c r="DD50" s="3">
        <v>0</v>
      </c>
      <c r="DE50" s="3">
        <f>PARTICIPACION('Datos Protegidos'!DE50,PARTIDOS!DF$5)</f>
        <v>0</v>
      </c>
      <c r="DF50" s="3">
        <v>0</v>
      </c>
      <c r="DG50" s="3">
        <f>PARTICIPACION('Datos Protegidos'!DG50,PARTIDOS!DH$5)</f>
        <v>139</v>
      </c>
      <c r="DH50" s="3">
        <v>0</v>
      </c>
      <c r="DI50" s="3">
        <f>PARTICIPACION('Datos Protegidos'!DI50,PARTIDOS!DJ$5)</f>
        <v>104</v>
      </c>
      <c r="DJ50" s="3">
        <v>0</v>
      </c>
      <c r="DK50" s="3">
        <f>PARTICIPACION('Datos Protegidos'!DK50,PARTIDOS!DL$5)</f>
        <v>0</v>
      </c>
      <c r="DL50" s="3">
        <v>0</v>
      </c>
      <c r="DM50" s="3">
        <f>PARTICIPACION('Datos Protegidos'!DM50,PARTIDOS!DN$5)</f>
        <v>0</v>
      </c>
      <c r="DN50" s="3">
        <v>0</v>
      </c>
      <c r="DO50" s="3">
        <f>PARTICIPACION('Datos Protegidos'!DO50,PARTIDOS!DP$5)</f>
        <v>0</v>
      </c>
      <c r="DP50" s="3">
        <v>0</v>
      </c>
      <c r="DQ50" s="3">
        <f>PARTICIPACION('Datos Protegidos'!DQ50,PARTIDOS!DR$5)</f>
        <v>0</v>
      </c>
      <c r="DR50" s="3">
        <v>0</v>
      </c>
      <c r="DS50" s="3">
        <f>PARTICIPACION('Datos Protegidos'!DS50,PARTIDOS!DT$5)</f>
        <v>0</v>
      </c>
      <c r="DT50" s="3">
        <v>0</v>
      </c>
      <c r="DU50" s="3">
        <f>PARTICIPACION('Datos Protegidos'!DU50,PARTIDOS!DV$5)</f>
        <v>0</v>
      </c>
      <c r="DV50" s="3">
        <v>0</v>
      </c>
      <c r="DW50" s="3">
        <f>PARTICIPACION('Datos Protegidos'!DW50,PARTIDOS!DX$5)</f>
        <v>0</v>
      </c>
      <c r="DX50" s="3">
        <v>0</v>
      </c>
      <c r="DY50" s="3">
        <f>PARTICIPACION('Datos Protegidos'!DY50,PARTIDOS!DZ$5)</f>
        <v>0</v>
      </c>
      <c r="DZ50" s="3">
        <v>0</v>
      </c>
      <c r="EA50" s="3">
        <f>PARTICIPACION('Datos Protegidos'!EA50,PARTIDOS!EB$5)</f>
        <v>0</v>
      </c>
      <c r="EB50" s="3">
        <v>0</v>
      </c>
      <c r="EC50" s="3">
        <f>PARTICIPACION('Datos Protegidos'!EC50,PARTIDOS!ED$5)</f>
        <v>0</v>
      </c>
      <c r="ED50" s="3">
        <v>0</v>
      </c>
    </row>
    <row r="51" spans="1:134" x14ac:dyDescent="0.25">
      <c r="A51" s="3">
        <f>PARTICIPACION('Datos Protegidos'!A51,PARTIDOS!B$5)</f>
        <v>394672</v>
      </c>
      <c r="B51" s="3">
        <v>4</v>
      </c>
      <c r="C51" s="3">
        <f>PARTICIPACION('Datos Protegidos'!C51,PARTIDOS!D$5)</f>
        <v>313067</v>
      </c>
      <c r="D51" s="3">
        <v>4</v>
      </c>
      <c r="E51" s="3">
        <f>PARTICIPACION('Datos Protegidos'!E51,PARTIDOS!F$5)</f>
        <v>250807</v>
      </c>
      <c r="F51" s="3">
        <v>3</v>
      </c>
      <c r="G51" s="3">
        <f>PARTICIPACION('Datos Protegidos'!G51,PARTIDOS!H$5)</f>
        <v>201402</v>
      </c>
      <c r="H51" s="3">
        <v>2</v>
      </c>
      <c r="I51" s="3">
        <f>PARTICIPACION('Datos Protegidos'!I51,PARTIDOS!J$5)</f>
        <v>0</v>
      </c>
      <c r="J51" s="3">
        <v>0</v>
      </c>
      <c r="K51" s="3">
        <f>PARTICIPACION('Datos Protegidos'!K51,PARTIDOS!L$5)</f>
        <v>106820</v>
      </c>
      <c r="L51" s="3">
        <v>1</v>
      </c>
      <c r="M51" s="3">
        <f>PARTICIPACION('Datos Protegidos'!M51,PARTIDOS!N$5)</f>
        <v>0</v>
      </c>
      <c r="N51" s="3">
        <v>0</v>
      </c>
      <c r="O51" s="3">
        <f>PARTICIPACION('Datos Protegidos'!O51,PARTIDOS!P$5)</f>
        <v>0</v>
      </c>
      <c r="P51" s="3">
        <v>0</v>
      </c>
      <c r="Q51" s="3">
        <f>PARTICIPACION('Datos Protegidos'!Q51,PARTIDOS!R$5)</f>
        <v>0</v>
      </c>
      <c r="R51" s="3">
        <v>0</v>
      </c>
      <c r="S51" s="3">
        <f>PARTICIPACION('Datos Protegidos'!S51,PARTIDOS!T$5)</f>
        <v>0</v>
      </c>
      <c r="T51" s="3">
        <v>0</v>
      </c>
      <c r="U51" s="3">
        <f>PARTICIPACION('Datos Protegidos'!U51,PARTIDOS!V$5)</f>
        <v>0</v>
      </c>
      <c r="V51" s="3">
        <v>0</v>
      </c>
      <c r="W51" s="3">
        <f>PARTICIPACION('Datos Protegidos'!W51,PARTIDOS!X$5)</f>
        <v>0</v>
      </c>
      <c r="X51" s="3">
        <v>0</v>
      </c>
      <c r="Y51" s="3">
        <f>PARTICIPACION('Datos Protegidos'!Y51,PARTIDOS!Z$5)</f>
        <v>0</v>
      </c>
      <c r="Z51" s="3">
        <v>0</v>
      </c>
      <c r="AA51" s="3">
        <f>PARTICIPACION('Datos Protegidos'!AA51,PARTIDOS!AB$5)</f>
        <v>0</v>
      </c>
      <c r="AB51" s="3">
        <v>0</v>
      </c>
      <c r="AC51" s="3">
        <f>PARTICIPACION('Datos Protegidos'!AC51,PARTIDOS!AD$5)</f>
        <v>0</v>
      </c>
      <c r="AD51" s="3">
        <v>0</v>
      </c>
      <c r="AE51" s="3">
        <f>PARTICIPACION('Datos Protegidos'!AE51,PARTIDOS!AF$5)</f>
        <v>119471</v>
      </c>
      <c r="AF51" s="3">
        <v>1</v>
      </c>
      <c r="AG51" s="3">
        <f>PARTICIPACION('Datos Protegidos'!AG51,PARTIDOS!AH$5)</f>
        <v>0</v>
      </c>
      <c r="AH51" s="3">
        <v>0</v>
      </c>
      <c r="AI51" s="3">
        <f>PARTICIPACION('Datos Protegidos'!AI51,PARTIDOS!AJ$5)</f>
        <v>0</v>
      </c>
      <c r="AJ51" s="3">
        <v>0</v>
      </c>
      <c r="AK51" s="3">
        <f>PARTICIPACION('Datos Protegidos'!AK51,PARTIDOS!AL$5)</f>
        <v>0</v>
      </c>
      <c r="AL51" s="3">
        <v>0</v>
      </c>
      <c r="AM51" s="3">
        <f>PARTICIPACION('Datos Protegidos'!AM51,PARTIDOS!AN$5)</f>
        <v>15318</v>
      </c>
      <c r="AN51" s="3">
        <v>0</v>
      </c>
      <c r="AO51" s="3">
        <f>PARTICIPACION('Datos Protegidos'!AO51,PARTIDOS!AP$5)</f>
        <v>0</v>
      </c>
      <c r="AP51" s="3">
        <v>0</v>
      </c>
      <c r="AQ51" s="3">
        <f>PARTICIPACION('Datos Protegidos'!AQ51,PARTIDOS!AR$5)</f>
        <v>1532</v>
      </c>
      <c r="AR51" s="3">
        <v>0</v>
      </c>
      <c r="AS51" s="3">
        <f>PARTICIPACION('Datos Protegidos'!AS51,PARTIDOS!AT$5)</f>
        <v>1003</v>
      </c>
      <c r="AT51" s="3">
        <v>0</v>
      </c>
      <c r="AU51" s="3">
        <f>PARTICIPACION('Datos Protegidos'!AU51,PARTIDOS!AV$5)</f>
        <v>0</v>
      </c>
      <c r="AV51" s="3">
        <v>0</v>
      </c>
      <c r="AW51" s="3">
        <f>PARTICIPACION('Datos Protegidos'!AW51,PARTIDOS!AX$5)</f>
        <v>0</v>
      </c>
      <c r="AX51" s="3">
        <v>0</v>
      </c>
      <c r="AY51" s="3">
        <f>PARTICIPACION('Datos Protegidos'!AY51,PARTIDOS!AZ$5)</f>
        <v>0</v>
      </c>
      <c r="AZ51" s="3">
        <v>0</v>
      </c>
      <c r="BA51" s="3">
        <f>PARTICIPACION('Datos Protegidos'!BA51,PARTIDOS!BB$5)</f>
        <v>1199</v>
      </c>
      <c r="BB51" s="3">
        <v>0</v>
      </c>
      <c r="BC51" s="3">
        <f>PARTICIPACION('Datos Protegidos'!BC51,PARTIDOS!BD$5)</f>
        <v>0</v>
      </c>
      <c r="BD51" s="3">
        <v>0</v>
      </c>
      <c r="BE51" s="3">
        <f>PARTICIPACION('Datos Protegidos'!BE51,PARTIDOS!BF$5)</f>
        <v>0</v>
      </c>
      <c r="BF51" s="3">
        <v>0</v>
      </c>
      <c r="BG51" s="3">
        <f>PARTICIPACION('Datos Protegidos'!BG51,PARTIDOS!BH$5)</f>
        <v>0</v>
      </c>
      <c r="BH51" s="3">
        <v>0</v>
      </c>
      <c r="BI51" s="3">
        <f>PARTICIPACION('Datos Protegidos'!BI51,PARTIDOS!BJ$5)</f>
        <v>0</v>
      </c>
      <c r="BJ51" s="3">
        <v>0</v>
      </c>
      <c r="BK51" s="3">
        <f>PARTICIPACION('Datos Protegidos'!BK51,PARTIDOS!BL$5)</f>
        <v>0</v>
      </c>
      <c r="BL51" s="3">
        <v>0</v>
      </c>
      <c r="BM51" s="3">
        <f>PARTICIPACION('Datos Protegidos'!BM51,PARTIDOS!BN$5)</f>
        <v>0</v>
      </c>
      <c r="BN51" s="3">
        <v>0</v>
      </c>
      <c r="BO51" s="3">
        <f>PARTICIPACION('Datos Protegidos'!BO51,PARTIDOS!BP$5)</f>
        <v>3008</v>
      </c>
      <c r="BP51" s="3">
        <v>0</v>
      </c>
      <c r="BQ51" s="3">
        <f>PARTICIPACION('Datos Protegidos'!BQ51,PARTIDOS!BR$5)</f>
        <v>0</v>
      </c>
      <c r="BR51" s="3">
        <v>0</v>
      </c>
      <c r="BS51" s="3">
        <f>PARTICIPACION('Datos Protegidos'!BS51,PARTIDOS!BT$5)</f>
        <v>2660</v>
      </c>
      <c r="BT51" s="3">
        <v>0</v>
      </c>
      <c r="BU51" s="3">
        <f>PARTICIPACION('Datos Protegidos'!BU51,PARTIDOS!BV$5)</f>
        <v>0</v>
      </c>
      <c r="BV51" s="3">
        <v>0</v>
      </c>
      <c r="BW51" s="3">
        <f>PARTICIPACION('Datos Protegidos'!BW51,PARTIDOS!BX$5)</f>
        <v>0</v>
      </c>
      <c r="BX51" s="3">
        <v>0</v>
      </c>
      <c r="BY51" s="3">
        <f>PARTICIPACION('Datos Protegidos'!BY51,PARTIDOS!BZ$5)</f>
        <v>0</v>
      </c>
      <c r="BZ51" s="3">
        <v>0</v>
      </c>
      <c r="CA51" s="3">
        <f>PARTICIPACION('Datos Protegidos'!CA51,PARTIDOS!CB$5)</f>
        <v>2280</v>
      </c>
      <c r="CB51" s="3">
        <v>0</v>
      </c>
      <c r="CC51" s="3">
        <f>PARTICIPACION('Datos Protegidos'!CC51,PARTIDOS!CD$5)</f>
        <v>0</v>
      </c>
      <c r="CD51" s="3">
        <v>0</v>
      </c>
      <c r="CE51" s="3">
        <f>PARTICIPACION('Datos Protegidos'!CE51,PARTIDOS!CF$5)</f>
        <v>0</v>
      </c>
      <c r="CF51" s="3">
        <v>0</v>
      </c>
      <c r="CG51" s="3">
        <f>PARTICIPACION('Datos Protegidos'!CG51,PARTIDOS!CH$5)</f>
        <v>0</v>
      </c>
      <c r="CH51" s="3">
        <v>0</v>
      </c>
      <c r="CI51" s="3">
        <f>PARTICIPACION('Datos Protegidos'!CI51,PARTIDOS!CJ$5)</f>
        <v>875</v>
      </c>
      <c r="CJ51" s="3">
        <v>0</v>
      </c>
      <c r="CK51" s="3">
        <f>PARTICIPACION('Datos Protegidos'!CK51,PARTIDOS!CL$5)</f>
        <v>0</v>
      </c>
      <c r="CL51" s="3">
        <v>0</v>
      </c>
      <c r="CM51" s="3">
        <f>PARTICIPACION('Datos Protegidos'!CM51,PARTIDOS!CN$5)</f>
        <v>0</v>
      </c>
      <c r="CN51" s="3">
        <v>0</v>
      </c>
      <c r="CO51" s="3">
        <f>PARTICIPACION('Datos Protegidos'!CO51,PARTIDOS!CP$5)</f>
        <v>0</v>
      </c>
      <c r="CP51" s="3">
        <v>0</v>
      </c>
      <c r="CQ51" s="3">
        <f>PARTICIPACION('Datos Protegidos'!CQ51,PARTIDOS!CR$5)</f>
        <v>0</v>
      </c>
      <c r="CR51" s="3">
        <v>0</v>
      </c>
      <c r="CS51" s="3">
        <f>PARTICIPACION('Datos Protegidos'!CS51,PARTIDOS!CT$5)</f>
        <v>0</v>
      </c>
      <c r="CT51" s="3">
        <v>0</v>
      </c>
      <c r="CU51" s="3">
        <f>PARTICIPACION('Datos Protegidos'!CU51,PARTIDOS!CV$5)</f>
        <v>0</v>
      </c>
      <c r="CV51" s="3">
        <v>0</v>
      </c>
      <c r="CW51" s="3">
        <f>PARTICIPACION('Datos Protegidos'!CW51,PARTIDOS!CX$5)</f>
        <v>1061</v>
      </c>
      <c r="CX51" s="3">
        <v>0</v>
      </c>
      <c r="CY51" s="3">
        <f>PARTICIPACION('Datos Protegidos'!CY51,PARTIDOS!CZ$5)</f>
        <v>0</v>
      </c>
      <c r="CZ51" s="3">
        <v>0</v>
      </c>
      <c r="DA51" s="3">
        <f>PARTICIPACION('Datos Protegidos'!DA51,PARTIDOS!DB$5)</f>
        <v>0</v>
      </c>
      <c r="DB51" s="3">
        <v>0</v>
      </c>
      <c r="DC51" s="3">
        <f>PARTICIPACION('Datos Protegidos'!DC51,PARTIDOS!DD$5)</f>
        <v>0</v>
      </c>
      <c r="DD51" s="3">
        <v>0</v>
      </c>
      <c r="DE51" s="3">
        <f>PARTICIPACION('Datos Protegidos'!DE51,PARTIDOS!DF$5)</f>
        <v>0</v>
      </c>
      <c r="DF51" s="3">
        <v>0</v>
      </c>
      <c r="DG51" s="3">
        <f>PARTICIPACION('Datos Protegidos'!DG51,PARTIDOS!DH$5)</f>
        <v>0</v>
      </c>
      <c r="DH51" s="3">
        <v>0</v>
      </c>
      <c r="DI51" s="3">
        <f>PARTICIPACION('Datos Protegidos'!DI51,PARTIDOS!DJ$5)</f>
        <v>468</v>
      </c>
      <c r="DJ51" s="3">
        <v>0</v>
      </c>
      <c r="DK51" s="3">
        <f>PARTICIPACION('Datos Protegidos'!DK51,PARTIDOS!DL$5)</f>
        <v>0</v>
      </c>
      <c r="DL51" s="3">
        <v>0</v>
      </c>
      <c r="DM51" s="3">
        <f>PARTICIPACION('Datos Protegidos'!DM51,PARTIDOS!DN$5)</f>
        <v>0</v>
      </c>
      <c r="DN51" s="3">
        <v>0</v>
      </c>
      <c r="DO51" s="3">
        <f>PARTICIPACION('Datos Protegidos'!DO51,PARTIDOS!DP$5)</f>
        <v>0</v>
      </c>
      <c r="DP51" s="3">
        <v>0</v>
      </c>
      <c r="DQ51" s="3">
        <f>PARTICIPACION('Datos Protegidos'!DQ51,PARTIDOS!DR$5)</f>
        <v>0</v>
      </c>
      <c r="DR51" s="3">
        <v>0</v>
      </c>
      <c r="DS51" s="3">
        <f>PARTICIPACION('Datos Protegidos'!DS51,PARTIDOS!DT$5)</f>
        <v>0</v>
      </c>
      <c r="DT51" s="3">
        <v>0</v>
      </c>
      <c r="DU51" s="3">
        <f>PARTICIPACION('Datos Protegidos'!DU51,PARTIDOS!DV$5)</f>
        <v>0</v>
      </c>
      <c r="DV51" s="3">
        <v>0</v>
      </c>
      <c r="DW51" s="3">
        <f>PARTICIPACION('Datos Protegidos'!DW51,PARTIDOS!DX$5)</f>
        <v>0</v>
      </c>
      <c r="DX51" s="3">
        <v>0</v>
      </c>
      <c r="DY51" s="3">
        <f>PARTICIPACION('Datos Protegidos'!DY51,PARTIDOS!DZ$5)</f>
        <v>0</v>
      </c>
      <c r="DZ51" s="3">
        <v>0</v>
      </c>
      <c r="EA51" s="3">
        <f>PARTICIPACION('Datos Protegidos'!EA51,PARTIDOS!EB$5)</f>
        <v>0</v>
      </c>
      <c r="EB51" s="3">
        <v>0</v>
      </c>
      <c r="EC51" s="3">
        <f>PARTICIPACION('Datos Protegidos'!EC51,PARTIDOS!ED$5)</f>
        <v>0</v>
      </c>
      <c r="ED51" s="3">
        <v>0</v>
      </c>
    </row>
    <row r="52" spans="1:134" x14ac:dyDescent="0.25">
      <c r="A52" s="3">
        <f>PARTICIPACION('Datos Protegidos'!A52,PARTIDOS!B$5)</f>
        <v>10977</v>
      </c>
      <c r="B52" s="3">
        <v>0</v>
      </c>
      <c r="C52" s="3">
        <f>PARTICIPACION('Datos Protegidos'!C52,PARTIDOS!D$5)</f>
        <v>7587</v>
      </c>
      <c r="D52" s="3">
        <v>0</v>
      </c>
      <c r="E52" s="3">
        <f>PARTICIPACION('Datos Protegidos'!E52,PARTIDOS!F$5)</f>
        <v>11987</v>
      </c>
      <c r="F52" s="3">
        <v>1</v>
      </c>
      <c r="G52" s="3">
        <f>PARTICIPACION('Datos Protegidos'!G52,PARTIDOS!H$5)</f>
        <v>1365</v>
      </c>
      <c r="H52" s="3">
        <v>0</v>
      </c>
      <c r="I52" s="3">
        <f>PARTICIPACION('Datos Protegidos'!I52,PARTIDOS!J$5)</f>
        <v>0</v>
      </c>
      <c r="J52" s="3">
        <v>0</v>
      </c>
      <c r="K52" s="3">
        <f>PARTICIPACION('Datos Protegidos'!K52,PARTIDOS!L$5)</f>
        <v>1138</v>
      </c>
      <c r="L52" s="3">
        <v>0</v>
      </c>
      <c r="M52" s="3">
        <f>PARTICIPACION('Datos Protegidos'!M52,PARTIDOS!N$5)</f>
        <v>0</v>
      </c>
      <c r="N52" s="3">
        <v>0</v>
      </c>
      <c r="O52" s="3">
        <f>PARTICIPACION('Datos Protegidos'!O52,PARTIDOS!P$5)</f>
        <v>0</v>
      </c>
      <c r="P52" s="3">
        <v>0</v>
      </c>
      <c r="Q52" s="3">
        <f>PARTICIPACION('Datos Protegidos'!Q52,PARTIDOS!R$5)</f>
        <v>0</v>
      </c>
      <c r="R52" s="3">
        <v>0</v>
      </c>
      <c r="S52" s="3">
        <f>PARTICIPACION('Datos Protegidos'!S52,PARTIDOS!T$5)</f>
        <v>0</v>
      </c>
      <c r="T52" s="3">
        <v>0</v>
      </c>
      <c r="U52" s="3">
        <f>PARTICIPACION('Datos Protegidos'!U52,PARTIDOS!V$5)</f>
        <v>0</v>
      </c>
      <c r="V52" s="3">
        <v>0</v>
      </c>
      <c r="W52" s="3">
        <f>PARTICIPACION('Datos Protegidos'!W52,PARTIDOS!X$5)</f>
        <v>0</v>
      </c>
      <c r="X52" s="3">
        <v>0</v>
      </c>
      <c r="Y52" s="3">
        <f>PARTICIPACION('Datos Protegidos'!Y52,PARTIDOS!Z$5)</f>
        <v>0</v>
      </c>
      <c r="Z52" s="3">
        <v>0</v>
      </c>
      <c r="AA52" s="3">
        <f>PARTICIPACION('Datos Protegidos'!AA52,PARTIDOS!AB$5)</f>
        <v>0</v>
      </c>
      <c r="AB52" s="3">
        <v>0</v>
      </c>
      <c r="AC52" s="3">
        <f>PARTICIPACION('Datos Protegidos'!AC52,PARTIDOS!AD$5)</f>
        <v>0</v>
      </c>
      <c r="AD52" s="3">
        <v>0</v>
      </c>
      <c r="AE52" s="3">
        <f>PARTICIPACION('Datos Protegidos'!AE52,PARTIDOS!AF$5)</f>
        <v>0</v>
      </c>
      <c r="AF52" s="3">
        <v>0</v>
      </c>
      <c r="AG52" s="3">
        <f>PARTICIPACION('Datos Protegidos'!AG52,PARTIDOS!AH$5)</f>
        <v>0</v>
      </c>
      <c r="AH52" s="3">
        <v>0</v>
      </c>
      <c r="AI52" s="3">
        <f>PARTICIPACION('Datos Protegidos'!AI52,PARTIDOS!AJ$5)</f>
        <v>0</v>
      </c>
      <c r="AJ52" s="3">
        <v>0</v>
      </c>
      <c r="AK52" s="3">
        <f>PARTICIPACION('Datos Protegidos'!AK52,PARTIDOS!AL$5)</f>
        <v>0</v>
      </c>
      <c r="AL52" s="3">
        <v>0</v>
      </c>
      <c r="AM52" s="3">
        <f>PARTICIPACION('Datos Protegidos'!AM52,PARTIDOS!AN$5)</f>
        <v>0</v>
      </c>
      <c r="AN52" s="3">
        <v>0</v>
      </c>
      <c r="AO52" s="3">
        <f>PARTICIPACION('Datos Protegidos'!AO52,PARTIDOS!AP$5)</f>
        <v>0</v>
      </c>
      <c r="AP52" s="3">
        <v>0</v>
      </c>
      <c r="AQ52" s="3">
        <f>PARTICIPACION('Datos Protegidos'!AQ52,PARTIDOS!AR$5)</f>
        <v>124</v>
      </c>
      <c r="AR52" s="3">
        <v>0</v>
      </c>
      <c r="AS52" s="3">
        <f>PARTICIPACION('Datos Protegidos'!AS52,PARTIDOS!AT$5)</f>
        <v>42</v>
      </c>
      <c r="AT52" s="3">
        <v>0</v>
      </c>
      <c r="AU52" s="3">
        <f>PARTICIPACION('Datos Protegidos'!AU52,PARTIDOS!AV$5)</f>
        <v>0</v>
      </c>
      <c r="AV52" s="3">
        <v>0</v>
      </c>
      <c r="AW52" s="3">
        <f>PARTICIPACION('Datos Protegidos'!AW52,PARTIDOS!AX$5)</f>
        <v>0</v>
      </c>
      <c r="AX52" s="3">
        <v>0</v>
      </c>
      <c r="AY52" s="3">
        <f>PARTICIPACION('Datos Protegidos'!AY52,PARTIDOS!AZ$5)</f>
        <v>0</v>
      </c>
      <c r="AZ52" s="3">
        <v>0</v>
      </c>
      <c r="BA52" s="3">
        <f>PARTICIPACION('Datos Protegidos'!BA52,PARTIDOS!BB$5)</f>
        <v>0</v>
      </c>
      <c r="BB52" s="3">
        <v>0</v>
      </c>
      <c r="BC52" s="3">
        <f>PARTICIPACION('Datos Protegidos'!BC52,PARTIDOS!BD$5)</f>
        <v>0</v>
      </c>
      <c r="BD52" s="3">
        <v>0</v>
      </c>
      <c r="BE52" s="3">
        <f>PARTICIPACION('Datos Protegidos'!BE52,PARTIDOS!BF$5)</f>
        <v>0</v>
      </c>
      <c r="BF52" s="3">
        <v>0</v>
      </c>
      <c r="BG52" s="3">
        <f>PARTICIPACION('Datos Protegidos'!BG52,PARTIDOS!BH$5)</f>
        <v>0</v>
      </c>
      <c r="BH52" s="3">
        <v>0</v>
      </c>
      <c r="BI52" s="3">
        <f>PARTICIPACION('Datos Protegidos'!BI52,PARTIDOS!BJ$5)</f>
        <v>0</v>
      </c>
      <c r="BJ52" s="3">
        <v>0</v>
      </c>
      <c r="BK52" s="3">
        <f>PARTICIPACION('Datos Protegidos'!BK52,PARTIDOS!BL$5)</f>
        <v>0</v>
      </c>
      <c r="BL52" s="3">
        <v>0</v>
      </c>
      <c r="BM52" s="3">
        <f>PARTICIPACION('Datos Protegidos'!BM52,PARTIDOS!BN$5)</f>
        <v>0</v>
      </c>
      <c r="BN52" s="3">
        <v>0</v>
      </c>
      <c r="BO52" s="3">
        <f>PARTICIPACION('Datos Protegidos'!BO52,PARTIDOS!BP$5)</f>
        <v>0</v>
      </c>
      <c r="BP52" s="3">
        <v>0</v>
      </c>
      <c r="BQ52" s="3">
        <f>PARTICIPACION('Datos Protegidos'!BQ52,PARTIDOS!BR$5)</f>
        <v>0</v>
      </c>
      <c r="BR52" s="3">
        <v>0</v>
      </c>
      <c r="BS52" s="3">
        <f>PARTICIPACION('Datos Protegidos'!BS52,PARTIDOS!BT$5)</f>
        <v>0</v>
      </c>
      <c r="BT52" s="3">
        <v>0</v>
      </c>
      <c r="BU52" s="3">
        <f>PARTICIPACION('Datos Protegidos'!BU52,PARTIDOS!BV$5)</f>
        <v>0</v>
      </c>
      <c r="BV52" s="3">
        <v>0</v>
      </c>
      <c r="BW52" s="3">
        <f>PARTICIPACION('Datos Protegidos'!BW52,PARTIDOS!BX$5)</f>
        <v>0</v>
      </c>
      <c r="BX52" s="3">
        <v>0</v>
      </c>
      <c r="BY52" s="3">
        <f>PARTICIPACION('Datos Protegidos'!BY52,PARTIDOS!BZ$5)</f>
        <v>0</v>
      </c>
      <c r="BZ52" s="3">
        <v>0</v>
      </c>
      <c r="CA52" s="3">
        <f>PARTICIPACION('Datos Protegidos'!CA52,PARTIDOS!CB$5)</f>
        <v>0</v>
      </c>
      <c r="CB52" s="3">
        <v>0</v>
      </c>
      <c r="CC52" s="3">
        <f>PARTICIPACION('Datos Protegidos'!CC52,PARTIDOS!CD$5)</f>
        <v>0</v>
      </c>
      <c r="CD52" s="3">
        <v>0</v>
      </c>
      <c r="CE52" s="3">
        <f>PARTICIPACION('Datos Protegidos'!CE52,PARTIDOS!CF$5)</f>
        <v>0</v>
      </c>
      <c r="CF52" s="3">
        <v>0</v>
      </c>
      <c r="CG52" s="3">
        <f>PARTICIPACION('Datos Protegidos'!CG52,PARTIDOS!CH$5)</f>
        <v>0</v>
      </c>
      <c r="CH52" s="3">
        <v>0</v>
      </c>
      <c r="CI52" s="3">
        <f>PARTICIPACION('Datos Protegidos'!CI52,PARTIDOS!CJ$5)</f>
        <v>0</v>
      </c>
      <c r="CJ52" s="3">
        <v>0</v>
      </c>
      <c r="CK52" s="3">
        <f>PARTICIPACION('Datos Protegidos'!CK52,PARTIDOS!CL$5)</f>
        <v>0</v>
      </c>
      <c r="CL52" s="3">
        <v>0</v>
      </c>
      <c r="CM52" s="3">
        <f>PARTICIPACION('Datos Protegidos'!CM52,PARTIDOS!CN$5)</f>
        <v>0</v>
      </c>
      <c r="CN52" s="3">
        <v>0</v>
      </c>
      <c r="CO52" s="3">
        <f>PARTICIPACION('Datos Protegidos'!CO52,PARTIDOS!CP$5)</f>
        <v>0</v>
      </c>
      <c r="CP52" s="3">
        <v>0</v>
      </c>
      <c r="CQ52" s="3">
        <f>PARTICIPACION('Datos Protegidos'!CQ52,PARTIDOS!CR$5)</f>
        <v>0</v>
      </c>
      <c r="CR52" s="3">
        <v>0</v>
      </c>
      <c r="CS52" s="3">
        <f>PARTICIPACION('Datos Protegidos'!CS52,PARTIDOS!CT$5)</f>
        <v>0</v>
      </c>
      <c r="CT52" s="3">
        <v>0</v>
      </c>
      <c r="CU52" s="3">
        <f>PARTICIPACION('Datos Protegidos'!CU52,PARTIDOS!CV$5)</f>
        <v>0</v>
      </c>
      <c r="CV52" s="3">
        <v>0</v>
      </c>
      <c r="CW52" s="3">
        <f>PARTICIPACION('Datos Protegidos'!CW52,PARTIDOS!CX$5)</f>
        <v>0</v>
      </c>
      <c r="CX52" s="3">
        <v>0</v>
      </c>
      <c r="CY52" s="3">
        <f>PARTICIPACION('Datos Protegidos'!CY52,PARTIDOS!CZ$5)</f>
        <v>0</v>
      </c>
      <c r="CZ52" s="3">
        <v>0</v>
      </c>
      <c r="DA52" s="3">
        <f>PARTICIPACION('Datos Protegidos'!DA52,PARTIDOS!DB$5)</f>
        <v>0</v>
      </c>
      <c r="DB52" s="3">
        <v>0</v>
      </c>
      <c r="DC52" s="3">
        <f>PARTICIPACION('Datos Protegidos'!DC52,PARTIDOS!DD$5)</f>
        <v>814</v>
      </c>
      <c r="DD52" s="3">
        <v>0</v>
      </c>
      <c r="DE52" s="3">
        <f>PARTICIPACION('Datos Protegidos'!DE52,PARTIDOS!DF$5)</f>
        <v>0</v>
      </c>
      <c r="DF52" s="3">
        <v>0</v>
      </c>
      <c r="DG52" s="3">
        <f>PARTICIPACION('Datos Protegidos'!DG52,PARTIDOS!DH$5)</f>
        <v>0</v>
      </c>
      <c r="DH52" s="3">
        <v>0</v>
      </c>
      <c r="DI52" s="3">
        <f>PARTICIPACION('Datos Protegidos'!DI52,PARTIDOS!DJ$5)</f>
        <v>0</v>
      </c>
      <c r="DJ52" s="3">
        <v>0</v>
      </c>
      <c r="DK52" s="3">
        <f>PARTICIPACION('Datos Protegidos'!DK52,PARTIDOS!DL$5)</f>
        <v>0</v>
      </c>
      <c r="DL52" s="3">
        <v>0</v>
      </c>
      <c r="DM52" s="3">
        <f>PARTICIPACION('Datos Protegidos'!DM52,PARTIDOS!DN$5)</f>
        <v>0</v>
      </c>
      <c r="DN52" s="3">
        <v>0</v>
      </c>
      <c r="DO52" s="3">
        <f>PARTICIPACION('Datos Protegidos'!DO52,PARTIDOS!DP$5)</f>
        <v>0</v>
      </c>
      <c r="DP52" s="3">
        <v>0</v>
      </c>
      <c r="DQ52" s="3">
        <f>PARTICIPACION('Datos Protegidos'!DQ52,PARTIDOS!DR$5)</f>
        <v>0</v>
      </c>
      <c r="DR52" s="3">
        <v>0</v>
      </c>
      <c r="DS52" s="3">
        <f>PARTICIPACION('Datos Protegidos'!DS52,PARTIDOS!DT$5)</f>
        <v>0</v>
      </c>
      <c r="DT52" s="3">
        <v>0</v>
      </c>
      <c r="DU52" s="3">
        <f>PARTICIPACION('Datos Protegidos'!DU52,PARTIDOS!DV$5)</f>
        <v>0</v>
      </c>
      <c r="DV52" s="3">
        <v>0</v>
      </c>
      <c r="DW52" s="3">
        <f>PARTICIPACION('Datos Protegidos'!DW52,PARTIDOS!DX$5)</f>
        <v>0</v>
      </c>
      <c r="DX52" s="3">
        <v>0</v>
      </c>
      <c r="DY52" s="3">
        <f>PARTICIPACION('Datos Protegidos'!DY52,PARTIDOS!DZ$5)</f>
        <v>0</v>
      </c>
      <c r="DZ52" s="3">
        <v>0</v>
      </c>
      <c r="EA52" s="3">
        <f>PARTICIPACION('Datos Protegidos'!EA52,PARTIDOS!EB$5)</f>
        <v>0</v>
      </c>
      <c r="EB52" s="3">
        <v>0</v>
      </c>
      <c r="EC52" s="3">
        <f>PARTICIPACION('Datos Protegidos'!EC52,PARTIDOS!ED$5)</f>
        <v>0</v>
      </c>
      <c r="ED52" s="3">
        <v>0</v>
      </c>
    </row>
    <row r="53" spans="1:134" x14ac:dyDescent="0.25">
      <c r="A53" s="3">
        <f>PARTICIPACION('Datos Protegidos'!A53,PARTIDOS!B$5)</f>
        <v>5341</v>
      </c>
      <c r="B53" s="3">
        <v>0</v>
      </c>
      <c r="C53" s="3">
        <f>PARTICIPACION('Datos Protegidos'!C53,PARTIDOS!D$5)</f>
        <v>9318</v>
      </c>
      <c r="D53" s="3">
        <v>1</v>
      </c>
      <c r="E53" s="3">
        <f>PARTICIPACION('Datos Protegidos'!E53,PARTIDOS!F$5)</f>
        <v>5805</v>
      </c>
      <c r="F53" s="3">
        <v>0</v>
      </c>
      <c r="G53" s="3">
        <f>PARTICIPACION('Datos Protegidos'!G53,PARTIDOS!H$5)</f>
        <v>849</v>
      </c>
      <c r="H53" s="3">
        <v>0</v>
      </c>
      <c r="I53" s="3">
        <f>PARTICIPACION('Datos Protegidos'!I53,PARTIDOS!J$5)</f>
        <v>0</v>
      </c>
      <c r="J53" s="3">
        <v>0</v>
      </c>
      <c r="K53" s="3">
        <f>PARTICIPACION('Datos Protegidos'!K53,PARTIDOS!L$5)</f>
        <v>917</v>
      </c>
      <c r="L53" s="3">
        <v>0</v>
      </c>
      <c r="M53" s="3">
        <f>PARTICIPACION('Datos Protegidos'!M53,PARTIDOS!N$5)</f>
        <v>0</v>
      </c>
      <c r="N53" s="3">
        <v>0</v>
      </c>
      <c r="O53" s="3">
        <f>PARTICIPACION('Datos Protegidos'!O53,PARTIDOS!P$5)</f>
        <v>0</v>
      </c>
      <c r="P53" s="3">
        <v>0</v>
      </c>
      <c r="Q53" s="3">
        <f>PARTICIPACION('Datos Protegidos'!Q53,PARTIDOS!R$5)</f>
        <v>0</v>
      </c>
      <c r="R53" s="3">
        <v>0</v>
      </c>
      <c r="S53" s="3">
        <f>PARTICIPACION('Datos Protegidos'!S53,PARTIDOS!T$5)</f>
        <v>0</v>
      </c>
      <c r="T53" s="3">
        <v>0</v>
      </c>
      <c r="U53" s="3">
        <f>PARTICIPACION('Datos Protegidos'!U53,PARTIDOS!V$5)</f>
        <v>0</v>
      </c>
      <c r="V53" s="3">
        <v>0</v>
      </c>
      <c r="W53" s="3">
        <f>PARTICIPACION('Datos Protegidos'!W53,PARTIDOS!X$5)</f>
        <v>0</v>
      </c>
      <c r="X53" s="3">
        <v>0</v>
      </c>
      <c r="Y53" s="3">
        <f>PARTICIPACION('Datos Protegidos'!Y53,PARTIDOS!Z$5)</f>
        <v>0</v>
      </c>
      <c r="Z53" s="3">
        <v>0</v>
      </c>
      <c r="AA53" s="3">
        <f>PARTICIPACION('Datos Protegidos'!AA53,PARTIDOS!AB$5)</f>
        <v>0</v>
      </c>
      <c r="AB53" s="3">
        <v>0</v>
      </c>
      <c r="AC53" s="3">
        <f>PARTICIPACION('Datos Protegidos'!AC53,PARTIDOS!AD$5)</f>
        <v>0</v>
      </c>
      <c r="AD53" s="3">
        <v>0</v>
      </c>
      <c r="AE53" s="3">
        <f>PARTICIPACION('Datos Protegidos'!AE53,PARTIDOS!AF$5)</f>
        <v>0</v>
      </c>
      <c r="AF53" s="3">
        <v>0</v>
      </c>
      <c r="AG53" s="3">
        <f>PARTICIPACION('Datos Protegidos'!AG53,PARTIDOS!AH$5)</f>
        <v>0</v>
      </c>
      <c r="AH53" s="3">
        <v>0</v>
      </c>
      <c r="AI53" s="3">
        <f>PARTICIPACION('Datos Protegidos'!AI53,PARTIDOS!AJ$5)</f>
        <v>0</v>
      </c>
      <c r="AJ53" s="3">
        <v>0</v>
      </c>
      <c r="AK53" s="3">
        <f>PARTICIPACION('Datos Protegidos'!AK53,PARTIDOS!AL$5)</f>
        <v>0</v>
      </c>
      <c r="AL53" s="3">
        <v>0</v>
      </c>
      <c r="AM53" s="3">
        <f>PARTICIPACION('Datos Protegidos'!AM53,PARTIDOS!AN$5)</f>
        <v>0</v>
      </c>
      <c r="AN53" s="3">
        <v>0</v>
      </c>
      <c r="AO53" s="3">
        <f>PARTICIPACION('Datos Protegidos'!AO53,PARTIDOS!AP$5)</f>
        <v>0</v>
      </c>
      <c r="AP53" s="3">
        <v>0</v>
      </c>
      <c r="AQ53" s="3">
        <f>PARTICIPACION('Datos Protegidos'!AQ53,PARTIDOS!AR$5)</f>
        <v>18</v>
      </c>
      <c r="AR53" s="3">
        <v>0</v>
      </c>
      <c r="AS53" s="3">
        <f>PARTICIPACION('Datos Protegidos'!AS53,PARTIDOS!AT$5)</f>
        <v>30</v>
      </c>
      <c r="AT53" s="3">
        <v>0</v>
      </c>
      <c r="AU53" s="3">
        <f>PARTICIPACION('Datos Protegidos'!AU53,PARTIDOS!AV$5)</f>
        <v>0</v>
      </c>
      <c r="AV53" s="3">
        <v>0</v>
      </c>
      <c r="AW53" s="3">
        <f>PARTICIPACION('Datos Protegidos'!AW53,PARTIDOS!AX$5)</f>
        <v>0</v>
      </c>
      <c r="AX53" s="3">
        <v>0</v>
      </c>
      <c r="AY53" s="3">
        <f>PARTICIPACION('Datos Protegidos'!AY53,PARTIDOS!AZ$5)</f>
        <v>0</v>
      </c>
      <c r="AZ53" s="3">
        <v>0</v>
      </c>
      <c r="BA53" s="3">
        <f>PARTICIPACION('Datos Protegidos'!BA53,PARTIDOS!BB$5)</f>
        <v>0</v>
      </c>
      <c r="BB53" s="3">
        <v>0</v>
      </c>
      <c r="BC53" s="3">
        <f>PARTICIPACION('Datos Protegidos'!BC53,PARTIDOS!BD$5)</f>
        <v>0</v>
      </c>
      <c r="BD53" s="3">
        <v>0</v>
      </c>
      <c r="BE53" s="3">
        <f>PARTICIPACION('Datos Protegidos'!BE53,PARTIDOS!BF$5)</f>
        <v>0</v>
      </c>
      <c r="BF53" s="3">
        <v>0</v>
      </c>
      <c r="BG53" s="3">
        <f>PARTICIPACION('Datos Protegidos'!BG53,PARTIDOS!BH$5)</f>
        <v>0</v>
      </c>
      <c r="BH53" s="3">
        <v>0</v>
      </c>
      <c r="BI53" s="3">
        <f>PARTICIPACION('Datos Protegidos'!BI53,PARTIDOS!BJ$5)</f>
        <v>0</v>
      </c>
      <c r="BJ53" s="3">
        <v>0</v>
      </c>
      <c r="BK53" s="3">
        <f>PARTICIPACION('Datos Protegidos'!BK53,PARTIDOS!BL$5)</f>
        <v>9402</v>
      </c>
      <c r="BL53" s="3">
        <v>0</v>
      </c>
      <c r="BM53" s="3">
        <f>PARTICIPACION('Datos Protegidos'!BM53,PARTIDOS!BN$5)</f>
        <v>0</v>
      </c>
      <c r="BN53" s="3">
        <v>0</v>
      </c>
      <c r="BO53" s="3">
        <f>PARTICIPACION('Datos Protegidos'!BO53,PARTIDOS!BP$5)</f>
        <v>0</v>
      </c>
      <c r="BP53" s="3">
        <v>0</v>
      </c>
      <c r="BQ53" s="3">
        <f>PARTICIPACION('Datos Protegidos'!BQ53,PARTIDOS!BR$5)</f>
        <v>0</v>
      </c>
      <c r="BR53" s="3">
        <v>0</v>
      </c>
      <c r="BS53" s="3">
        <f>PARTICIPACION('Datos Protegidos'!BS53,PARTIDOS!BT$5)</f>
        <v>0</v>
      </c>
      <c r="BT53" s="3">
        <v>0</v>
      </c>
      <c r="BU53" s="3">
        <f>PARTICIPACION('Datos Protegidos'!BU53,PARTIDOS!BV$5)</f>
        <v>100</v>
      </c>
      <c r="BV53" s="3">
        <v>0</v>
      </c>
      <c r="BW53" s="3">
        <f>PARTICIPACION('Datos Protegidos'!BW53,PARTIDOS!BX$5)</f>
        <v>0</v>
      </c>
      <c r="BX53" s="3">
        <v>0</v>
      </c>
      <c r="BY53" s="3">
        <f>PARTICIPACION('Datos Protegidos'!BY53,PARTIDOS!BZ$5)</f>
        <v>0</v>
      </c>
      <c r="BZ53" s="3">
        <v>0</v>
      </c>
      <c r="CA53" s="3">
        <f>PARTICIPACION('Datos Protegidos'!CA53,PARTIDOS!CB$5)</f>
        <v>0</v>
      </c>
      <c r="CB53" s="3">
        <v>0</v>
      </c>
      <c r="CC53" s="3">
        <f>PARTICIPACION('Datos Protegidos'!CC53,PARTIDOS!CD$5)</f>
        <v>0</v>
      </c>
      <c r="CD53" s="3">
        <v>0</v>
      </c>
      <c r="CE53" s="3">
        <f>PARTICIPACION('Datos Protegidos'!CE53,PARTIDOS!CF$5)</f>
        <v>0</v>
      </c>
      <c r="CF53" s="3">
        <v>0</v>
      </c>
      <c r="CG53" s="3">
        <f>PARTICIPACION('Datos Protegidos'!CG53,PARTIDOS!CH$5)</f>
        <v>0</v>
      </c>
      <c r="CH53" s="3">
        <v>0</v>
      </c>
      <c r="CI53" s="3">
        <f>PARTICIPACION('Datos Protegidos'!CI53,PARTIDOS!CJ$5)</f>
        <v>0</v>
      </c>
      <c r="CJ53" s="3">
        <v>0</v>
      </c>
      <c r="CK53" s="3">
        <f>PARTICIPACION('Datos Protegidos'!CK53,PARTIDOS!CL$5)</f>
        <v>0</v>
      </c>
      <c r="CL53" s="3">
        <v>0</v>
      </c>
      <c r="CM53" s="3">
        <f>PARTICIPACION('Datos Protegidos'!CM53,PARTIDOS!CN$5)</f>
        <v>0</v>
      </c>
      <c r="CN53" s="3">
        <v>0</v>
      </c>
      <c r="CO53" s="3">
        <f>PARTICIPACION('Datos Protegidos'!CO53,PARTIDOS!CP$5)</f>
        <v>0</v>
      </c>
      <c r="CP53" s="3">
        <v>0</v>
      </c>
      <c r="CQ53" s="3">
        <f>PARTICIPACION('Datos Protegidos'!CQ53,PARTIDOS!CR$5)</f>
        <v>0</v>
      </c>
      <c r="CR53" s="3">
        <v>0</v>
      </c>
      <c r="CS53" s="3">
        <f>PARTICIPACION('Datos Protegidos'!CS53,PARTIDOS!CT$5)</f>
        <v>0</v>
      </c>
      <c r="CT53" s="3">
        <v>0</v>
      </c>
      <c r="CU53" s="3">
        <f>PARTICIPACION('Datos Protegidos'!CU53,PARTIDOS!CV$5)</f>
        <v>0</v>
      </c>
      <c r="CV53" s="3">
        <v>0</v>
      </c>
      <c r="CW53" s="3">
        <f>PARTICIPACION('Datos Protegidos'!CW53,PARTIDOS!CX$5)</f>
        <v>0</v>
      </c>
      <c r="CX53" s="3">
        <v>0</v>
      </c>
      <c r="CY53" s="3">
        <f>PARTICIPACION('Datos Protegidos'!CY53,PARTIDOS!CZ$5)</f>
        <v>0</v>
      </c>
      <c r="CZ53" s="3">
        <v>0</v>
      </c>
      <c r="DA53" s="3">
        <f>PARTICIPACION('Datos Protegidos'!DA53,PARTIDOS!DB$5)</f>
        <v>0</v>
      </c>
      <c r="DB53" s="3">
        <v>0</v>
      </c>
      <c r="DC53" s="3">
        <f>PARTICIPACION('Datos Protegidos'!DC53,PARTIDOS!DD$5)</f>
        <v>0</v>
      </c>
      <c r="DD53" s="3">
        <v>0</v>
      </c>
      <c r="DE53" s="3">
        <f>PARTICIPACION('Datos Protegidos'!DE53,PARTIDOS!DF$5)</f>
        <v>0</v>
      </c>
      <c r="DF53" s="3">
        <v>0</v>
      </c>
      <c r="DG53" s="3">
        <f>PARTICIPACION('Datos Protegidos'!DG53,PARTIDOS!DH$5)</f>
        <v>0</v>
      </c>
      <c r="DH53" s="3">
        <v>0</v>
      </c>
      <c r="DI53" s="3">
        <f>PARTICIPACION('Datos Protegidos'!DI53,PARTIDOS!DJ$5)</f>
        <v>0</v>
      </c>
      <c r="DJ53" s="3">
        <v>0</v>
      </c>
      <c r="DK53" s="3">
        <f>PARTICIPACION('Datos Protegidos'!DK53,PARTIDOS!DL$5)</f>
        <v>0</v>
      </c>
      <c r="DL53" s="3">
        <v>0</v>
      </c>
      <c r="DM53" s="3">
        <f>PARTICIPACION('Datos Protegidos'!DM53,PARTIDOS!DN$5)</f>
        <v>0</v>
      </c>
      <c r="DN53" s="3">
        <v>0</v>
      </c>
      <c r="DO53" s="3">
        <f>PARTICIPACION('Datos Protegidos'!DO53,PARTIDOS!DP$5)</f>
        <v>0</v>
      </c>
      <c r="DP53" s="3">
        <v>0</v>
      </c>
      <c r="DQ53" s="3">
        <f>PARTICIPACION('Datos Protegidos'!DQ53,PARTIDOS!DR$5)</f>
        <v>0</v>
      </c>
      <c r="DR53" s="3">
        <v>0</v>
      </c>
      <c r="DS53" s="3">
        <f>PARTICIPACION('Datos Protegidos'!DS53,PARTIDOS!DT$5)</f>
        <v>0</v>
      </c>
      <c r="DT53" s="3">
        <v>0</v>
      </c>
      <c r="DU53" s="3">
        <f>PARTICIPACION('Datos Protegidos'!DU53,PARTIDOS!DV$5)</f>
        <v>0</v>
      </c>
      <c r="DV53" s="3">
        <v>0</v>
      </c>
      <c r="DW53" s="3">
        <f>PARTICIPACION('Datos Protegidos'!DW53,PARTIDOS!DX$5)</f>
        <v>0</v>
      </c>
      <c r="DX53" s="3">
        <v>0</v>
      </c>
      <c r="DY53" s="3">
        <f>PARTICIPACION('Datos Protegidos'!DY53,PARTIDOS!DZ$5)</f>
        <v>0</v>
      </c>
      <c r="DZ53" s="3">
        <v>0</v>
      </c>
      <c r="EA53" s="3">
        <f>PARTICIPACION('Datos Protegidos'!EA53,PARTIDOS!EB$5)</f>
        <v>0</v>
      </c>
      <c r="EB53" s="3">
        <v>0</v>
      </c>
      <c r="EC53" s="3">
        <f>PARTICIPACION('Datos Protegidos'!EC53,PARTIDOS!ED$5)</f>
        <v>0</v>
      </c>
      <c r="ED53" s="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2D54-2B96-4447-9011-C9D390A51266}">
  <sheetPr codeName="Hoja2"/>
  <dimension ref="A1:ED53"/>
  <sheetViews>
    <sheetView topLeftCell="A13" workbookViewId="0">
      <selection activeCell="C2" sqref="C2"/>
    </sheetView>
  </sheetViews>
  <sheetFormatPr baseColWidth="10" defaultRowHeight="15" x14ac:dyDescent="0.25"/>
  <cols>
    <col min="2" max="2" width="11.42578125" style="7"/>
    <col min="4" max="4" width="11.42578125" style="7"/>
    <col min="6" max="6" width="11.42578125" style="7"/>
    <col min="8" max="8" width="11.42578125" style="7"/>
    <col min="10" max="10" width="11.42578125" style="7"/>
    <col min="12" max="12" width="11.42578125" style="7"/>
    <col min="14" max="14" width="11.42578125" style="7"/>
    <col min="16" max="16" width="11.42578125" style="7"/>
    <col min="18" max="18" width="11.42578125" style="7"/>
    <col min="20" max="20" width="11.42578125" style="7"/>
    <col min="22" max="22" width="11.42578125" style="7"/>
    <col min="24" max="24" width="11.42578125" style="7"/>
    <col min="26" max="26" width="11.42578125" style="7"/>
    <col min="28" max="28" width="11.42578125" style="7"/>
    <col min="30" max="30" width="11.42578125" style="7"/>
    <col min="32" max="32" width="11.42578125" style="7"/>
    <col min="34" max="34" width="11.42578125" style="7"/>
    <col min="36" max="36" width="11.42578125" style="7"/>
    <col min="38" max="38" width="11.42578125" style="7"/>
    <col min="40" max="40" width="11.42578125" style="7"/>
    <col min="42" max="42" width="11.42578125" style="7"/>
    <col min="44" max="44" width="11.42578125" style="7"/>
    <col min="46" max="46" width="11.42578125" style="7"/>
    <col min="48" max="48" width="11.42578125" style="7"/>
    <col min="50" max="50" width="11.42578125" style="7"/>
    <col min="52" max="52" width="11.42578125" style="7"/>
    <col min="54" max="54" width="11.42578125" style="7"/>
    <col min="56" max="56" width="11.42578125" style="7"/>
    <col min="58" max="58" width="11.42578125" style="7"/>
    <col min="60" max="60" width="11.42578125" style="7"/>
    <col min="62" max="62" width="11.42578125" style="7"/>
    <col min="64" max="64" width="11.42578125" style="7"/>
    <col min="66" max="66" width="11.42578125" style="7"/>
    <col min="68" max="68" width="11.42578125" style="7"/>
    <col min="70" max="70" width="11.42578125" style="7"/>
    <col min="72" max="72" width="11.42578125" style="7"/>
    <col min="74" max="74" width="11.42578125" style="7"/>
    <col min="76" max="76" width="11.42578125" style="7"/>
    <col min="78" max="78" width="11.42578125" style="7"/>
    <col min="80" max="80" width="11.42578125" style="7"/>
    <col min="82" max="82" width="11.42578125" style="7"/>
    <col min="84" max="84" width="11.42578125" style="7"/>
    <col min="86" max="86" width="11.42578125" style="7"/>
    <col min="88" max="88" width="11.42578125" style="7"/>
    <col min="90" max="90" width="11.42578125" style="7"/>
    <col min="92" max="92" width="11.42578125" style="7"/>
    <col min="94" max="94" width="11.42578125" style="7"/>
    <col min="96" max="96" width="11.42578125" style="7"/>
    <col min="98" max="98" width="11.42578125" style="7"/>
    <col min="100" max="100" width="11.42578125" style="7"/>
    <col min="102" max="102" width="11.42578125" style="7"/>
    <col min="104" max="104" width="11.42578125" style="7"/>
    <col min="106" max="106" width="11.42578125" style="7"/>
    <col min="108" max="108" width="11.42578125" style="7"/>
    <col min="110" max="110" width="11.42578125" style="7"/>
    <col min="112" max="112" width="11.42578125" style="7"/>
    <col min="114" max="114" width="11.42578125" style="7"/>
    <col min="116" max="116" width="11.42578125" style="7"/>
    <col min="118" max="118" width="11.42578125" style="7"/>
    <col min="120" max="120" width="11.42578125" style="7"/>
    <col min="122" max="122" width="11.42578125" style="7"/>
    <col min="124" max="124" width="11.42578125" style="7"/>
    <col min="126" max="126" width="11.42578125" style="7"/>
    <col min="128" max="128" width="11.42578125" style="7"/>
    <col min="130" max="130" width="11.42578125" style="7"/>
    <col min="132" max="132" width="11.42578125" style="7"/>
    <col min="134" max="134" width="11.42578125" style="7"/>
  </cols>
  <sheetData>
    <row r="1" spans="1:134" ht="30" x14ac:dyDescent="0.25">
      <c r="A1" s="11" t="s">
        <v>85</v>
      </c>
      <c r="B1" s="12" t="s">
        <v>86</v>
      </c>
      <c r="C1" s="11" t="s">
        <v>87</v>
      </c>
      <c r="D1" s="12" t="s">
        <v>88</v>
      </c>
      <c r="E1" s="11" t="s">
        <v>89</v>
      </c>
      <c r="F1" s="12" t="s">
        <v>90</v>
      </c>
      <c r="G1" s="11" t="s">
        <v>91</v>
      </c>
      <c r="H1" s="12" t="s">
        <v>92</v>
      </c>
      <c r="I1" s="11" t="s">
        <v>93</v>
      </c>
      <c r="J1" s="12" t="s">
        <v>94</v>
      </c>
      <c r="K1" s="11" t="s">
        <v>95</v>
      </c>
      <c r="L1" s="12" t="s">
        <v>96</v>
      </c>
      <c r="M1" s="11" t="s">
        <v>97</v>
      </c>
      <c r="N1" s="12" t="s">
        <v>98</v>
      </c>
      <c r="O1" s="11" t="s">
        <v>99</v>
      </c>
      <c r="P1" s="12" t="s">
        <v>100</v>
      </c>
      <c r="Q1" s="11" t="s">
        <v>101</v>
      </c>
      <c r="R1" s="12" t="s">
        <v>102</v>
      </c>
      <c r="S1" s="11" t="s">
        <v>103</v>
      </c>
      <c r="T1" s="12" t="s">
        <v>104</v>
      </c>
      <c r="U1" s="11" t="s">
        <v>105</v>
      </c>
      <c r="V1" s="12" t="s">
        <v>106</v>
      </c>
      <c r="W1" s="11" t="s">
        <v>107</v>
      </c>
      <c r="X1" s="12" t="s">
        <v>108</v>
      </c>
      <c r="Y1" s="11" t="s">
        <v>109</v>
      </c>
      <c r="Z1" s="12" t="s">
        <v>110</v>
      </c>
      <c r="AA1" s="11" t="s">
        <v>111</v>
      </c>
      <c r="AB1" s="12" t="s">
        <v>112</v>
      </c>
      <c r="AC1" s="11" t="s">
        <v>113</v>
      </c>
      <c r="AD1" s="12" t="s">
        <v>114</v>
      </c>
      <c r="AE1" s="11" t="s">
        <v>115</v>
      </c>
      <c r="AF1" s="12" t="s">
        <v>116</v>
      </c>
      <c r="AG1" s="11" t="s">
        <v>117</v>
      </c>
      <c r="AH1" s="12" t="s">
        <v>118</v>
      </c>
      <c r="AI1" s="11" t="s">
        <v>119</v>
      </c>
      <c r="AJ1" s="12" t="s">
        <v>120</v>
      </c>
      <c r="AK1" s="11" t="s">
        <v>121</v>
      </c>
      <c r="AL1" s="12" t="s">
        <v>122</v>
      </c>
      <c r="AM1" s="11" t="s">
        <v>123</v>
      </c>
      <c r="AN1" s="12" t="s">
        <v>124</v>
      </c>
      <c r="AO1" s="11" t="s">
        <v>125</v>
      </c>
      <c r="AP1" s="12" t="s">
        <v>126</v>
      </c>
      <c r="AQ1" s="11" t="s">
        <v>127</v>
      </c>
      <c r="AR1" s="12" t="s">
        <v>128</v>
      </c>
      <c r="AS1" s="11" t="s">
        <v>129</v>
      </c>
      <c r="AT1" s="12" t="s">
        <v>130</v>
      </c>
      <c r="AU1" s="11" t="s">
        <v>131</v>
      </c>
      <c r="AV1" s="12" t="s">
        <v>132</v>
      </c>
      <c r="AW1" s="11" t="s">
        <v>133</v>
      </c>
      <c r="AX1" s="12" t="s">
        <v>134</v>
      </c>
      <c r="AY1" s="11" t="s">
        <v>135</v>
      </c>
      <c r="AZ1" s="12" t="s">
        <v>136</v>
      </c>
      <c r="BA1" s="11" t="s">
        <v>137</v>
      </c>
      <c r="BB1" s="12" t="s">
        <v>138</v>
      </c>
      <c r="BC1" s="11" t="s">
        <v>139</v>
      </c>
      <c r="BD1" s="12" t="s">
        <v>140</v>
      </c>
      <c r="BE1" s="11" t="s">
        <v>141</v>
      </c>
      <c r="BF1" s="12" t="s">
        <v>142</v>
      </c>
      <c r="BG1" s="11" t="s">
        <v>143</v>
      </c>
      <c r="BH1" s="12" t="s">
        <v>144</v>
      </c>
      <c r="BI1" s="11" t="s">
        <v>145</v>
      </c>
      <c r="BJ1" s="12" t="s">
        <v>146</v>
      </c>
      <c r="BK1" s="11" t="s">
        <v>147</v>
      </c>
      <c r="BL1" s="12" t="s">
        <v>148</v>
      </c>
      <c r="BM1" s="11" t="s">
        <v>149</v>
      </c>
      <c r="BN1" s="12" t="s">
        <v>150</v>
      </c>
      <c r="BO1" s="11" t="s">
        <v>151</v>
      </c>
      <c r="BP1" s="12" t="s">
        <v>152</v>
      </c>
      <c r="BQ1" s="11" t="s">
        <v>153</v>
      </c>
      <c r="BR1" s="12" t="s">
        <v>154</v>
      </c>
      <c r="BS1" s="11" t="s">
        <v>155</v>
      </c>
      <c r="BT1" s="12" t="s">
        <v>156</v>
      </c>
      <c r="BU1" s="11" t="s">
        <v>157</v>
      </c>
      <c r="BV1" s="12" t="s">
        <v>158</v>
      </c>
      <c r="BW1" s="11" t="s">
        <v>159</v>
      </c>
      <c r="BX1" s="12" t="s">
        <v>160</v>
      </c>
      <c r="BY1" s="11" t="s">
        <v>161</v>
      </c>
      <c r="BZ1" s="12" t="s">
        <v>162</v>
      </c>
      <c r="CA1" s="11" t="s">
        <v>163</v>
      </c>
      <c r="CB1" s="12" t="s">
        <v>164</v>
      </c>
      <c r="CC1" s="11" t="s">
        <v>165</v>
      </c>
      <c r="CD1" s="12" t="s">
        <v>166</v>
      </c>
      <c r="CE1" s="11" t="s">
        <v>167</v>
      </c>
      <c r="CF1" s="12" t="s">
        <v>168</v>
      </c>
      <c r="CG1" s="11" t="s">
        <v>169</v>
      </c>
      <c r="CH1" s="12" t="s">
        <v>170</v>
      </c>
      <c r="CI1" s="11" t="s">
        <v>171</v>
      </c>
      <c r="CJ1" s="12" t="s">
        <v>172</v>
      </c>
      <c r="CK1" s="11" t="s">
        <v>173</v>
      </c>
      <c r="CL1" s="12" t="s">
        <v>174</v>
      </c>
      <c r="CM1" s="11" t="s">
        <v>175</v>
      </c>
      <c r="CN1" s="12" t="s">
        <v>176</v>
      </c>
      <c r="CO1" s="11" t="s">
        <v>177</v>
      </c>
      <c r="CP1" s="12" t="s">
        <v>178</v>
      </c>
      <c r="CQ1" s="11" t="s">
        <v>179</v>
      </c>
      <c r="CR1" s="12" t="s">
        <v>180</v>
      </c>
      <c r="CS1" s="11" t="s">
        <v>181</v>
      </c>
      <c r="CT1" s="12" t="s">
        <v>182</v>
      </c>
      <c r="CU1" s="11" t="s">
        <v>183</v>
      </c>
      <c r="CV1" s="12" t="s">
        <v>184</v>
      </c>
      <c r="CW1" s="11" t="s">
        <v>185</v>
      </c>
      <c r="CX1" s="12" t="s">
        <v>186</v>
      </c>
      <c r="CY1" s="11" t="s">
        <v>187</v>
      </c>
      <c r="CZ1" s="12" t="s">
        <v>188</v>
      </c>
      <c r="DA1" s="11" t="s">
        <v>189</v>
      </c>
      <c r="DB1" s="12" t="s">
        <v>190</v>
      </c>
      <c r="DC1" s="11" t="s">
        <v>191</v>
      </c>
      <c r="DD1" s="12" t="s">
        <v>192</v>
      </c>
      <c r="DE1" s="11" t="s">
        <v>193</v>
      </c>
      <c r="DF1" s="12" t="s">
        <v>194</v>
      </c>
      <c r="DG1" s="11" t="s">
        <v>195</v>
      </c>
      <c r="DH1" s="12" t="s">
        <v>196</v>
      </c>
      <c r="DI1" s="11" t="s">
        <v>197</v>
      </c>
      <c r="DJ1" s="12" t="s">
        <v>198</v>
      </c>
      <c r="DK1" s="11" t="s">
        <v>199</v>
      </c>
      <c r="DL1" s="12" t="s">
        <v>200</v>
      </c>
      <c r="DM1" s="11" t="s">
        <v>201</v>
      </c>
      <c r="DN1" s="12" t="s">
        <v>202</v>
      </c>
      <c r="DO1" s="11" t="s">
        <v>203</v>
      </c>
      <c r="DP1" s="12" t="s">
        <v>204</v>
      </c>
      <c r="DQ1" s="11" t="s">
        <v>205</v>
      </c>
      <c r="DR1" s="12" t="s">
        <v>206</v>
      </c>
      <c r="DS1" s="11" t="s">
        <v>207</v>
      </c>
      <c r="DT1" s="12" t="s">
        <v>208</v>
      </c>
      <c r="DU1" s="11" t="s">
        <v>209</v>
      </c>
      <c r="DV1" s="12" t="s">
        <v>210</v>
      </c>
      <c r="DW1" s="11" t="s">
        <v>211</v>
      </c>
      <c r="DX1" s="12" t="s">
        <v>212</v>
      </c>
      <c r="DY1" s="11" t="s">
        <v>213</v>
      </c>
      <c r="DZ1" s="12" t="s">
        <v>214</v>
      </c>
      <c r="EA1" s="11" t="s">
        <v>215</v>
      </c>
      <c r="EB1" s="12" t="s">
        <v>216</v>
      </c>
      <c r="EC1" s="11" t="s">
        <v>217</v>
      </c>
      <c r="ED1" s="12" t="s">
        <v>218</v>
      </c>
    </row>
    <row r="2" spans="1:134" x14ac:dyDescent="0.25">
      <c r="A2" s="3">
        <v>89295</v>
      </c>
      <c r="B2" s="4">
        <v>2</v>
      </c>
      <c r="C2" s="3">
        <v>78072</v>
      </c>
      <c r="D2" s="4">
        <v>2</v>
      </c>
      <c r="E2" s="3">
        <v>80714</v>
      </c>
      <c r="F2" s="4">
        <v>2</v>
      </c>
      <c r="G2" s="3">
        <v>24400</v>
      </c>
      <c r="H2" s="4">
        <v>0</v>
      </c>
      <c r="I2" s="2">
        <v>0</v>
      </c>
      <c r="J2" s="4">
        <v>0</v>
      </c>
      <c r="K2" s="3">
        <v>22835</v>
      </c>
      <c r="L2" s="4">
        <v>0</v>
      </c>
      <c r="M2" s="2">
        <v>0</v>
      </c>
      <c r="N2" s="4">
        <v>0</v>
      </c>
      <c r="O2" s="2">
        <v>0</v>
      </c>
      <c r="P2" s="4">
        <v>0</v>
      </c>
      <c r="Q2" s="2">
        <v>0</v>
      </c>
      <c r="R2" s="4">
        <v>0</v>
      </c>
      <c r="S2" s="2">
        <v>0</v>
      </c>
      <c r="T2" s="4">
        <v>0</v>
      </c>
      <c r="U2" s="2">
        <v>0</v>
      </c>
      <c r="V2" s="4">
        <v>0</v>
      </c>
      <c r="W2" s="2">
        <v>0</v>
      </c>
      <c r="X2" s="4">
        <v>0</v>
      </c>
      <c r="Y2" s="2">
        <v>0</v>
      </c>
      <c r="Z2" s="4">
        <v>0</v>
      </c>
      <c r="AA2" s="2">
        <v>0</v>
      </c>
      <c r="AB2" s="4">
        <v>0</v>
      </c>
      <c r="AC2" s="2">
        <v>0</v>
      </c>
      <c r="AD2" s="4">
        <v>0</v>
      </c>
      <c r="AE2" s="2">
        <v>0</v>
      </c>
      <c r="AF2" s="4">
        <v>0</v>
      </c>
      <c r="AG2" s="2">
        <v>0</v>
      </c>
      <c r="AH2" s="4">
        <v>0</v>
      </c>
      <c r="AI2" s="2">
        <v>0</v>
      </c>
      <c r="AJ2" s="4">
        <v>0</v>
      </c>
      <c r="AK2" s="2">
        <v>0</v>
      </c>
      <c r="AL2" s="4">
        <v>0</v>
      </c>
      <c r="AM2" s="3">
        <v>2582</v>
      </c>
      <c r="AN2" s="4">
        <v>0</v>
      </c>
      <c r="AO2" s="2">
        <v>0</v>
      </c>
      <c r="AP2" s="4">
        <v>0</v>
      </c>
      <c r="AQ2" s="2">
        <v>360</v>
      </c>
      <c r="AR2" s="4">
        <v>0</v>
      </c>
      <c r="AS2" s="2">
        <v>371</v>
      </c>
      <c r="AT2" s="4">
        <v>0</v>
      </c>
      <c r="AU2" s="2">
        <v>0</v>
      </c>
      <c r="AV2" s="4">
        <v>0</v>
      </c>
      <c r="AW2" s="2">
        <v>0</v>
      </c>
      <c r="AX2" s="4">
        <v>0</v>
      </c>
      <c r="AY2" s="2">
        <v>318</v>
      </c>
      <c r="AZ2" s="4">
        <v>0</v>
      </c>
      <c r="BA2" s="2">
        <v>303</v>
      </c>
      <c r="BB2" s="4">
        <v>0</v>
      </c>
      <c r="BC2" s="2">
        <v>0</v>
      </c>
      <c r="BD2" s="4">
        <v>0</v>
      </c>
      <c r="BE2" s="2">
        <v>0</v>
      </c>
      <c r="BF2" s="4">
        <v>0</v>
      </c>
      <c r="BG2" s="2">
        <v>0</v>
      </c>
      <c r="BH2" s="4">
        <v>0</v>
      </c>
      <c r="BI2" s="2">
        <v>0</v>
      </c>
      <c r="BJ2" s="4">
        <v>0</v>
      </c>
      <c r="BK2" s="2">
        <v>0</v>
      </c>
      <c r="BL2" s="4">
        <v>0</v>
      </c>
      <c r="BM2" s="2">
        <v>513</v>
      </c>
      <c r="BN2" s="4">
        <v>0</v>
      </c>
      <c r="BO2" s="2">
        <v>0</v>
      </c>
      <c r="BP2" s="4">
        <v>0</v>
      </c>
      <c r="BQ2" s="2">
        <v>0</v>
      </c>
      <c r="BR2" s="4">
        <v>0</v>
      </c>
      <c r="BS2" s="2">
        <v>0</v>
      </c>
      <c r="BT2" s="4">
        <v>0</v>
      </c>
      <c r="BU2" s="2">
        <v>0</v>
      </c>
      <c r="BV2" s="4">
        <v>0</v>
      </c>
      <c r="BW2" s="2">
        <v>0</v>
      </c>
      <c r="BX2" s="4">
        <v>0</v>
      </c>
      <c r="BY2" s="2">
        <v>0</v>
      </c>
      <c r="BZ2" s="4">
        <v>0</v>
      </c>
      <c r="CA2" s="2">
        <v>0</v>
      </c>
      <c r="CB2" s="4">
        <v>0</v>
      </c>
      <c r="CC2" s="2">
        <v>0</v>
      </c>
      <c r="CD2" s="4">
        <v>0</v>
      </c>
      <c r="CE2" s="2">
        <v>0</v>
      </c>
      <c r="CF2" s="4">
        <v>0</v>
      </c>
      <c r="CG2" s="2">
        <v>0</v>
      </c>
      <c r="CH2" s="4">
        <v>0</v>
      </c>
      <c r="CI2" s="2">
        <v>0</v>
      </c>
      <c r="CJ2" s="4">
        <v>0</v>
      </c>
      <c r="CK2" s="2">
        <v>0</v>
      </c>
      <c r="CL2" s="4">
        <v>0</v>
      </c>
      <c r="CM2" s="2">
        <v>0</v>
      </c>
      <c r="CN2" s="4">
        <v>0</v>
      </c>
      <c r="CO2" s="2">
        <v>0</v>
      </c>
      <c r="CP2" s="4">
        <v>0</v>
      </c>
      <c r="CQ2" s="2">
        <v>0</v>
      </c>
      <c r="CR2" s="4">
        <v>0</v>
      </c>
      <c r="CS2" s="2">
        <v>0</v>
      </c>
      <c r="CT2" s="4">
        <v>0</v>
      </c>
      <c r="CU2" s="2">
        <v>0</v>
      </c>
      <c r="CV2" s="4">
        <v>0</v>
      </c>
      <c r="CW2" s="2">
        <v>0</v>
      </c>
      <c r="CX2" s="4">
        <v>0</v>
      </c>
      <c r="CY2" s="2">
        <v>0</v>
      </c>
      <c r="CZ2" s="7">
        <v>0</v>
      </c>
      <c r="DA2">
        <v>0</v>
      </c>
      <c r="DB2" s="7">
        <v>0</v>
      </c>
      <c r="DC2">
        <v>0</v>
      </c>
      <c r="DD2" s="7">
        <v>0</v>
      </c>
      <c r="DE2">
        <v>0</v>
      </c>
      <c r="DF2" s="7">
        <v>0</v>
      </c>
      <c r="DG2">
        <v>0</v>
      </c>
      <c r="DH2" s="7">
        <v>0</v>
      </c>
      <c r="DI2">
        <v>0</v>
      </c>
      <c r="DJ2" s="7">
        <v>0</v>
      </c>
      <c r="DK2">
        <v>0</v>
      </c>
      <c r="DL2" s="7">
        <v>0</v>
      </c>
      <c r="DM2">
        <v>0</v>
      </c>
      <c r="DN2" s="7">
        <v>0</v>
      </c>
      <c r="DO2">
        <v>0</v>
      </c>
      <c r="DP2" s="7">
        <v>0</v>
      </c>
      <c r="DQ2">
        <v>0</v>
      </c>
      <c r="DR2" s="7">
        <v>0</v>
      </c>
      <c r="DS2">
        <v>0</v>
      </c>
      <c r="DT2" s="7">
        <v>0</v>
      </c>
      <c r="DU2">
        <v>0</v>
      </c>
      <c r="DV2" s="7">
        <v>0</v>
      </c>
      <c r="DW2">
        <v>0</v>
      </c>
      <c r="DX2" s="7">
        <v>0</v>
      </c>
      <c r="DY2">
        <v>0</v>
      </c>
      <c r="DZ2" s="7">
        <v>0</v>
      </c>
      <c r="EA2">
        <v>0</v>
      </c>
      <c r="EB2" s="7">
        <v>0</v>
      </c>
      <c r="EC2">
        <v>0</v>
      </c>
      <c r="ED2" s="7">
        <v>0</v>
      </c>
    </row>
    <row r="3" spans="1:134" x14ac:dyDescent="0.25">
      <c r="A3" s="3">
        <v>188271</v>
      </c>
      <c r="B3" s="4">
        <v>3</v>
      </c>
      <c r="C3" s="3">
        <v>111089</v>
      </c>
      <c r="D3" s="4">
        <v>2</v>
      </c>
      <c r="E3" s="3">
        <v>131205</v>
      </c>
      <c r="F3" s="4">
        <v>2</v>
      </c>
      <c r="G3" s="3">
        <v>93541</v>
      </c>
      <c r="H3" s="4">
        <v>1</v>
      </c>
      <c r="I3" s="2">
        <v>0</v>
      </c>
      <c r="J3" s="4">
        <v>0</v>
      </c>
      <c r="K3" s="3">
        <v>55490</v>
      </c>
      <c r="L3" s="4">
        <v>1</v>
      </c>
      <c r="M3" s="2">
        <v>0</v>
      </c>
      <c r="N3" s="4">
        <v>0</v>
      </c>
      <c r="O3" s="2">
        <v>0</v>
      </c>
      <c r="P3" s="4">
        <v>0</v>
      </c>
      <c r="Q3" s="2">
        <v>0</v>
      </c>
      <c r="R3" s="4">
        <v>0</v>
      </c>
      <c r="S3" s="2">
        <v>0</v>
      </c>
      <c r="T3" s="4">
        <v>0</v>
      </c>
      <c r="U3" s="3">
        <v>11316</v>
      </c>
      <c r="V3" s="4">
        <v>0</v>
      </c>
      <c r="W3" s="2">
        <v>0</v>
      </c>
      <c r="X3" s="4">
        <v>0</v>
      </c>
      <c r="Y3" s="2">
        <v>0</v>
      </c>
      <c r="Z3" s="4">
        <v>0</v>
      </c>
      <c r="AA3" s="2">
        <v>0</v>
      </c>
      <c r="AB3" s="4">
        <v>0</v>
      </c>
      <c r="AC3" s="2">
        <v>0</v>
      </c>
      <c r="AD3" s="4">
        <v>0</v>
      </c>
      <c r="AE3" s="2">
        <v>0</v>
      </c>
      <c r="AF3" s="4">
        <v>0</v>
      </c>
      <c r="AG3" s="2">
        <v>0</v>
      </c>
      <c r="AH3" s="4">
        <v>0</v>
      </c>
      <c r="AI3" s="2">
        <v>0</v>
      </c>
      <c r="AJ3" s="4">
        <v>0</v>
      </c>
      <c r="AK3" s="2">
        <v>0</v>
      </c>
      <c r="AL3" s="4">
        <v>0</v>
      </c>
      <c r="AM3" s="3">
        <v>8437</v>
      </c>
      <c r="AN3" s="4">
        <v>0</v>
      </c>
      <c r="AO3" s="2">
        <v>0</v>
      </c>
      <c r="AP3" s="4">
        <v>0</v>
      </c>
      <c r="AQ3" s="2">
        <v>915</v>
      </c>
      <c r="AR3" s="4">
        <v>0</v>
      </c>
      <c r="AS3" s="2">
        <v>707</v>
      </c>
      <c r="AT3" s="4">
        <v>0</v>
      </c>
      <c r="AU3" s="2">
        <v>0</v>
      </c>
      <c r="AV3" s="4">
        <v>0</v>
      </c>
      <c r="AW3" s="2">
        <v>0</v>
      </c>
      <c r="AX3" s="4">
        <v>0</v>
      </c>
      <c r="AY3" s="3">
        <v>3509</v>
      </c>
      <c r="AZ3" s="4">
        <v>0</v>
      </c>
      <c r="BA3" s="2">
        <v>639</v>
      </c>
      <c r="BB3" s="4">
        <v>0</v>
      </c>
      <c r="BC3" s="2">
        <v>0</v>
      </c>
      <c r="BD3" s="4">
        <v>0</v>
      </c>
      <c r="BE3" s="2">
        <v>0</v>
      </c>
      <c r="BF3" s="4">
        <v>0</v>
      </c>
      <c r="BG3" s="2">
        <v>0</v>
      </c>
      <c r="BH3" s="4">
        <v>0</v>
      </c>
      <c r="BI3" s="3">
        <v>1739</v>
      </c>
      <c r="BJ3" s="4">
        <v>0</v>
      </c>
      <c r="BK3" s="2">
        <v>0</v>
      </c>
      <c r="BL3" s="4">
        <v>0</v>
      </c>
      <c r="BM3" s="2">
        <v>0</v>
      </c>
      <c r="BN3" s="4">
        <v>0</v>
      </c>
      <c r="BO3" s="2">
        <v>0</v>
      </c>
      <c r="BP3" s="4">
        <v>0</v>
      </c>
      <c r="BQ3" s="2">
        <v>0</v>
      </c>
      <c r="BR3" s="4">
        <v>0</v>
      </c>
      <c r="BS3" s="2">
        <v>0</v>
      </c>
      <c r="BT3" s="4">
        <v>0</v>
      </c>
      <c r="BU3" s="2">
        <v>0</v>
      </c>
      <c r="BV3" s="4">
        <v>0</v>
      </c>
      <c r="BW3" s="2">
        <v>0</v>
      </c>
      <c r="BX3" s="4">
        <v>0</v>
      </c>
      <c r="BY3" s="2">
        <v>0</v>
      </c>
      <c r="BZ3" s="4">
        <v>0</v>
      </c>
      <c r="CA3" s="2">
        <v>0</v>
      </c>
      <c r="CB3" s="4">
        <v>0</v>
      </c>
      <c r="CC3" s="2">
        <v>0</v>
      </c>
      <c r="CD3" s="4">
        <v>0</v>
      </c>
      <c r="CE3" s="2">
        <v>0</v>
      </c>
      <c r="CF3" s="4">
        <v>0</v>
      </c>
      <c r="CG3" s="2">
        <v>0</v>
      </c>
      <c r="CH3" s="4">
        <v>0</v>
      </c>
      <c r="CI3" s="2">
        <v>0</v>
      </c>
      <c r="CJ3" s="4">
        <v>0</v>
      </c>
      <c r="CK3" s="2">
        <v>0</v>
      </c>
      <c r="CL3" s="4">
        <v>0</v>
      </c>
      <c r="CM3" s="2">
        <v>0</v>
      </c>
      <c r="CN3" s="4">
        <v>0</v>
      </c>
      <c r="CO3" s="2">
        <v>0</v>
      </c>
      <c r="CP3" s="4">
        <v>0</v>
      </c>
      <c r="CQ3" s="2">
        <v>0</v>
      </c>
      <c r="CR3" s="4">
        <v>0</v>
      </c>
      <c r="CS3" s="2">
        <v>0</v>
      </c>
      <c r="CT3" s="4">
        <v>0</v>
      </c>
      <c r="CU3" s="2">
        <v>0</v>
      </c>
      <c r="CV3" s="4">
        <v>0</v>
      </c>
      <c r="CW3" s="2">
        <v>0</v>
      </c>
      <c r="CX3" s="4">
        <v>0</v>
      </c>
      <c r="CY3" s="2">
        <v>0</v>
      </c>
      <c r="CZ3" s="7">
        <v>0</v>
      </c>
      <c r="DA3">
        <v>0</v>
      </c>
      <c r="DB3" s="7">
        <v>0</v>
      </c>
      <c r="DC3">
        <v>0</v>
      </c>
      <c r="DD3" s="7">
        <v>0</v>
      </c>
      <c r="DE3">
        <v>0</v>
      </c>
      <c r="DF3" s="7">
        <v>0</v>
      </c>
      <c r="DG3">
        <v>0</v>
      </c>
      <c r="DH3" s="7">
        <v>0</v>
      </c>
      <c r="DI3">
        <v>0</v>
      </c>
      <c r="DJ3" s="7">
        <v>0</v>
      </c>
      <c r="DK3">
        <v>0</v>
      </c>
      <c r="DL3" s="7">
        <v>0</v>
      </c>
      <c r="DM3">
        <v>0</v>
      </c>
      <c r="DN3" s="7">
        <v>0</v>
      </c>
      <c r="DO3">
        <v>0</v>
      </c>
      <c r="DP3" s="7">
        <v>0</v>
      </c>
      <c r="DQ3">
        <v>0</v>
      </c>
      <c r="DR3" s="7">
        <v>0</v>
      </c>
      <c r="DS3">
        <v>0</v>
      </c>
      <c r="DT3" s="7">
        <v>0</v>
      </c>
      <c r="DU3">
        <v>0</v>
      </c>
      <c r="DV3" s="7">
        <v>0</v>
      </c>
      <c r="DW3">
        <v>0</v>
      </c>
      <c r="DX3" s="7">
        <v>0</v>
      </c>
      <c r="DY3">
        <v>0</v>
      </c>
      <c r="DZ3" s="7">
        <v>0</v>
      </c>
      <c r="EA3">
        <v>0</v>
      </c>
      <c r="EB3" s="7">
        <v>0</v>
      </c>
      <c r="EC3">
        <v>0</v>
      </c>
      <c r="ED3" s="7">
        <v>0</v>
      </c>
    </row>
    <row r="4" spans="1:134" x14ac:dyDescent="0.25">
      <c r="A4" s="1">
        <v>146761</v>
      </c>
      <c r="B4" s="7">
        <v>2</v>
      </c>
      <c r="C4" s="1">
        <v>99999</v>
      </c>
      <c r="D4" s="7">
        <v>2</v>
      </c>
      <c r="E4" s="1">
        <v>82534</v>
      </c>
      <c r="F4" s="7">
        <v>1</v>
      </c>
      <c r="G4" s="1">
        <v>64769</v>
      </c>
      <c r="H4" s="7">
        <v>1</v>
      </c>
      <c r="I4">
        <v>0</v>
      </c>
      <c r="J4" s="7">
        <v>0</v>
      </c>
      <c r="K4" s="1">
        <v>36229</v>
      </c>
      <c r="L4" s="7">
        <v>0</v>
      </c>
      <c r="M4">
        <v>0</v>
      </c>
      <c r="N4" s="7">
        <v>0</v>
      </c>
      <c r="O4">
        <v>0</v>
      </c>
      <c r="P4" s="7">
        <v>0</v>
      </c>
      <c r="Q4">
        <v>0</v>
      </c>
      <c r="R4" s="7">
        <v>0</v>
      </c>
      <c r="S4">
        <v>0</v>
      </c>
      <c r="T4" s="7">
        <v>0</v>
      </c>
      <c r="U4">
        <v>0</v>
      </c>
      <c r="V4" s="7">
        <v>0</v>
      </c>
      <c r="W4">
        <v>0</v>
      </c>
      <c r="X4" s="7">
        <v>0</v>
      </c>
      <c r="Y4">
        <v>0</v>
      </c>
      <c r="Z4" s="7">
        <v>0</v>
      </c>
      <c r="AA4">
        <v>0</v>
      </c>
      <c r="AB4" s="7">
        <v>0</v>
      </c>
      <c r="AC4">
        <v>0</v>
      </c>
      <c r="AD4" s="7">
        <v>0</v>
      </c>
      <c r="AE4">
        <v>0</v>
      </c>
      <c r="AF4" s="7">
        <v>0</v>
      </c>
      <c r="AG4">
        <v>0</v>
      </c>
      <c r="AH4" s="7">
        <v>0</v>
      </c>
      <c r="AI4">
        <v>0</v>
      </c>
      <c r="AJ4" s="7">
        <v>0</v>
      </c>
      <c r="AK4">
        <v>0</v>
      </c>
      <c r="AL4" s="7">
        <v>0</v>
      </c>
      <c r="AM4" s="1">
        <v>3946</v>
      </c>
      <c r="AN4" s="7">
        <v>0</v>
      </c>
      <c r="AO4">
        <v>0</v>
      </c>
      <c r="AP4" s="7">
        <v>0</v>
      </c>
      <c r="AQ4">
        <v>549</v>
      </c>
      <c r="AR4" s="7">
        <v>0</v>
      </c>
      <c r="AS4">
        <v>478</v>
      </c>
      <c r="AT4" s="7">
        <v>0</v>
      </c>
      <c r="AU4">
        <v>0</v>
      </c>
      <c r="AV4" s="7">
        <v>0</v>
      </c>
      <c r="AW4">
        <v>0</v>
      </c>
      <c r="AX4" s="7">
        <v>0</v>
      </c>
      <c r="AY4" s="1">
        <v>1019</v>
      </c>
      <c r="AZ4" s="7">
        <v>0</v>
      </c>
      <c r="BA4">
        <v>544</v>
      </c>
      <c r="BB4" s="7">
        <v>0</v>
      </c>
      <c r="BC4">
        <v>321</v>
      </c>
      <c r="BD4" s="7">
        <v>0</v>
      </c>
      <c r="BE4">
        <v>0</v>
      </c>
      <c r="BF4" s="7">
        <v>0</v>
      </c>
      <c r="BG4">
        <v>0</v>
      </c>
      <c r="BH4" s="7">
        <v>0</v>
      </c>
      <c r="BI4" s="1">
        <v>1062</v>
      </c>
      <c r="BJ4" s="7">
        <v>0</v>
      </c>
      <c r="BK4">
        <v>0</v>
      </c>
      <c r="BL4" s="7">
        <v>0</v>
      </c>
      <c r="BM4">
        <v>760</v>
      </c>
      <c r="BN4" s="7">
        <v>0</v>
      </c>
      <c r="BO4">
        <v>0</v>
      </c>
      <c r="BP4" s="7">
        <v>0</v>
      </c>
      <c r="BQ4">
        <v>0</v>
      </c>
      <c r="BR4" s="7">
        <v>0</v>
      </c>
      <c r="BS4">
        <v>0</v>
      </c>
      <c r="BT4" s="7">
        <v>0</v>
      </c>
      <c r="BU4">
        <v>0</v>
      </c>
      <c r="BV4" s="7">
        <v>0</v>
      </c>
      <c r="BW4">
        <v>0</v>
      </c>
      <c r="BX4" s="7">
        <v>0</v>
      </c>
      <c r="BY4">
        <v>0</v>
      </c>
      <c r="BZ4" s="7">
        <v>0</v>
      </c>
      <c r="CA4">
        <v>0</v>
      </c>
      <c r="CB4" s="7">
        <v>0</v>
      </c>
      <c r="CC4">
        <v>0</v>
      </c>
      <c r="CD4" s="7">
        <v>0</v>
      </c>
      <c r="CE4">
        <v>0</v>
      </c>
      <c r="CF4" s="7">
        <v>0</v>
      </c>
      <c r="CG4">
        <v>0</v>
      </c>
      <c r="CH4" s="7">
        <v>0</v>
      </c>
      <c r="CI4">
        <v>0</v>
      </c>
      <c r="CJ4" s="7">
        <v>0</v>
      </c>
      <c r="CK4">
        <v>0</v>
      </c>
      <c r="CL4" s="7">
        <v>0</v>
      </c>
      <c r="CM4">
        <v>0</v>
      </c>
      <c r="CN4" s="7">
        <v>0</v>
      </c>
      <c r="CO4">
        <v>0</v>
      </c>
      <c r="CP4" s="7">
        <v>0</v>
      </c>
      <c r="CQ4">
        <v>0</v>
      </c>
      <c r="CR4" s="7">
        <v>0</v>
      </c>
      <c r="CS4">
        <v>0</v>
      </c>
      <c r="CT4" s="7">
        <v>0</v>
      </c>
      <c r="CU4">
        <v>0</v>
      </c>
      <c r="CV4" s="7">
        <v>0</v>
      </c>
      <c r="CW4">
        <v>0</v>
      </c>
      <c r="CX4" s="7">
        <v>0</v>
      </c>
      <c r="CY4">
        <v>0</v>
      </c>
      <c r="CZ4" s="7">
        <v>0</v>
      </c>
      <c r="DA4">
        <v>0</v>
      </c>
      <c r="DB4" s="7">
        <v>0</v>
      </c>
      <c r="DC4">
        <v>0</v>
      </c>
      <c r="DD4" s="7">
        <v>0</v>
      </c>
      <c r="DE4">
        <v>0</v>
      </c>
      <c r="DF4" s="7">
        <v>0</v>
      </c>
      <c r="DG4">
        <v>0</v>
      </c>
      <c r="DH4" s="7">
        <v>0</v>
      </c>
      <c r="DI4">
        <v>0</v>
      </c>
      <c r="DJ4" s="7">
        <v>0</v>
      </c>
      <c r="DK4">
        <v>0</v>
      </c>
      <c r="DL4" s="7">
        <v>0</v>
      </c>
      <c r="DM4">
        <v>0</v>
      </c>
      <c r="DN4" s="7">
        <v>0</v>
      </c>
      <c r="DO4">
        <v>0</v>
      </c>
      <c r="DP4" s="7">
        <v>0</v>
      </c>
      <c r="DQ4">
        <v>0</v>
      </c>
      <c r="DR4" s="7">
        <v>0</v>
      </c>
      <c r="DS4">
        <v>0</v>
      </c>
      <c r="DT4" s="7">
        <v>0</v>
      </c>
      <c r="DU4">
        <v>0</v>
      </c>
      <c r="DV4" s="7">
        <v>0</v>
      </c>
      <c r="DW4">
        <v>0</v>
      </c>
      <c r="DX4" s="7">
        <v>0</v>
      </c>
      <c r="DY4">
        <v>0</v>
      </c>
      <c r="DZ4" s="7">
        <v>0</v>
      </c>
      <c r="EA4">
        <v>0</v>
      </c>
      <c r="EB4" s="7">
        <v>0</v>
      </c>
      <c r="EC4">
        <v>0</v>
      </c>
      <c r="ED4" s="7">
        <v>0</v>
      </c>
    </row>
    <row r="5" spans="1:134" x14ac:dyDescent="0.25">
      <c r="A5" s="1">
        <v>160190</v>
      </c>
      <c r="B5" s="7">
        <v>3</v>
      </c>
      <c r="C5" s="1">
        <v>105192</v>
      </c>
      <c r="D5" s="7">
        <v>2</v>
      </c>
      <c r="E5" s="1">
        <v>99928</v>
      </c>
      <c r="F5" s="7">
        <v>1</v>
      </c>
      <c r="G5" s="1">
        <v>59331</v>
      </c>
      <c r="H5" s="7">
        <v>1</v>
      </c>
      <c r="I5">
        <v>0</v>
      </c>
      <c r="J5" s="7">
        <v>0</v>
      </c>
      <c r="K5" s="1">
        <v>37772</v>
      </c>
      <c r="L5" s="7">
        <v>0</v>
      </c>
      <c r="M5">
        <v>0</v>
      </c>
      <c r="N5" s="7">
        <v>0</v>
      </c>
      <c r="O5">
        <v>0</v>
      </c>
      <c r="P5" s="7">
        <v>0</v>
      </c>
      <c r="Q5">
        <v>0</v>
      </c>
      <c r="R5" s="7">
        <v>0</v>
      </c>
      <c r="S5">
        <v>0</v>
      </c>
      <c r="T5" s="7">
        <v>0</v>
      </c>
      <c r="U5" s="1">
        <v>8629</v>
      </c>
      <c r="V5" s="7">
        <v>0</v>
      </c>
      <c r="W5">
        <v>0</v>
      </c>
      <c r="X5" s="7">
        <v>0</v>
      </c>
      <c r="Y5">
        <v>0</v>
      </c>
      <c r="Z5" s="7">
        <v>0</v>
      </c>
      <c r="AA5">
        <v>0</v>
      </c>
      <c r="AB5" s="7">
        <v>0</v>
      </c>
      <c r="AC5">
        <v>0</v>
      </c>
      <c r="AD5" s="7">
        <v>0</v>
      </c>
      <c r="AE5">
        <v>0</v>
      </c>
      <c r="AF5" s="7">
        <v>0</v>
      </c>
      <c r="AG5">
        <v>0</v>
      </c>
      <c r="AH5" s="7">
        <v>0</v>
      </c>
      <c r="AI5">
        <v>0</v>
      </c>
      <c r="AJ5" s="7">
        <v>0</v>
      </c>
      <c r="AK5">
        <v>0</v>
      </c>
      <c r="AL5" s="7">
        <v>0</v>
      </c>
      <c r="AM5" s="1">
        <v>4095</v>
      </c>
      <c r="AN5" s="7">
        <v>0</v>
      </c>
      <c r="AO5">
        <v>0</v>
      </c>
      <c r="AP5" s="7">
        <v>0</v>
      </c>
      <c r="AQ5">
        <v>545</v>
      </c>
      <c r="AR5" s="7">
        <v>0</v>
      </c>
      <c r="AS5">
        <v>624</v>
      </c>
      <c r="AT5" s="7">
        <v>0</v>
      </c>
      <c r="AU5">
        <v>0</v>
      </c>
      <c r="AV5" s="7">
        <v>0</v>
      </c>
      <c r="AW5">
        <v>0</v>
      </c>
      <c r="AX5" s="7">
        <v>0</v>
      </c>
      <c r="AY5">
        <v>619</v>
      </c>
      <c r="AZ5" s="7">
        <v>0</v>
      </c>
      <c r="BA5">
        <v>371</v>
      </c>
      <c r="BB5" s="7">
        <v>0</v>
      </c>
      <c r="BC5">
        <v>322</v>
      </c>
      <c r="BD5" s="7">
        <v>0</v>
      </c>
      <c r="BE5">
        <v>0</v>
      </c>
      <c r="BF5" s="7">
        <v>0</v>
      </c>
      <c r="BG5">
        <v>0</v>
      </c>
      <c r="BH5" s="7">
        <v>0</v>
      </c>
      <c r="BI5">
        <v>0</v>
      </c>
      <c r="BJ5" s="7">
        <v>0</v>
      </c>
      <c r="BK5">
        <v>0</v>
      </c>
      <c r="BL5" s="7">
        <v>0</v>
      </c>
      <c r="BM5">
        <v>0</v>
      </c>
      <c r="BN5" s="7">
        <v>0</v>
      </c>
      <c r="BO5">
        <v>0</v>
      </c>
      <c r="BP5" s="7">
        <v>0</v>
      </c>
      <c r="BQ5">
        <v>0</v>
      </c>
      <c r="BR5" s="7">
        <v>0</v>
      </c>
      <c r="BS5">
        <v>0</v>
      </c>
      <c r="BT5" s="7">
        <v>0</v>
      </c>
      <c r="BU5">
        <v>0</v>
      </c>
      <c r="BV5" s="7">
        <v>0</v>
      </c>
      <c r="BW5">
        <v>0</v>
      </c>
      <c r="BX5" s="7">
        <v>0</v>
      </c>
      <c r="BY5">
        <v>0</v>
      </c>
      <c r="BZ5" s="7">
        <v>0</v>
      </c>
      <c r="CA5">
        <v>0</v>
      </c>
      <c r="CB5" s="7">
        <v>0</v>
      </c>
      <c r="CC5">
        <v>0</v>
      </c>
      <c r="CD5" s="7">
        <v>0</v>
      </c>
      <c r="CE5">
        <v>0</v>
      </c>
      <c r="CF5" s="7">
        <v>0</v>
      </c>
      <c r="CG5">
        <v>0</v>
      </c>
      <c r="CH5" s="7">
        <v>0</v>
      </c>
      <c r="CI5">
        <v>0</v>
      </c>
      <c r="CJ5" s="7">
        <v>0</v>
      </c>
      <c r="CK5">
        <v>0</v>
      </c>
      <c r="CL5" s="7">
        <v>0</v>
      </c>
      <c r="CM5">
        <v>0</v>
      </c>
      <c r="CN5" s="7">
        <v>0</v>
      </c>
      <c r="CO5">
        <v>0</v>
      </c>
      <c r="CP5" s="7">
        <v>0</v>
      </c>
      <c r="CQ5">
        <v>0</v>
      </c>
      <c r="CR5" s="7">
        <v>0</v>
      </c>
      <c r="CS5">
        <v>0</v>
      </c>
      <c r="CT5" s="7">
        <v>0</v>
      </c>
      <c r="CU5">
        <v>0</v>
      </c>
      <c r="CV5" s="7">
        <v>0</v>
      </c>
      <c r="CW5">
        <v>0</v>
      </c>
      <c r="CX5" s="7">
        <v>0</v>
      </c>
      <c r="CY5">
        <v>0</v>
      </c>
      <c r="CZ5" s="7">
        <v>0</v>
      </c>
      <c r="DA5">
        <v>0</v>
      </c>
      <c r="DB5" s="7">
        <v>0</v>
      </c>
      <c r="DC5">
        <v>0</v>
      </c>
      <c r="DD5" s="7">
        <v>0</v>
      </c>
      <c r="DE5">
        <v>0</v>
      </c>
      <c r="DF5" s="7">
        <v>0</v>
      </c>
      <c r="DG5">
        <v>0</v>
      </c>
      <c r="DH5" s="7">
        <v>0</v>
      </c>
      <c r="DI5">
        <v>0</v>
      </c>
      <c r="DJ5" s="7">
        <v>0</v>
      </c>
      <c r="DK5">
        <v>0</v>
      </c>
      <c r="DL5" s="7">
        <v>0</v>
      </c>
      <c r="DM5">
        <v>520</v>
      </c>
      <c r="DN5" s="7">
        <v>0</v>
      </c>
      <c r="DO5">
        <v>0</v>
      </c>
      <c r="DP5" s="7">
        <v>0</v>
      </c>
      <c r="DQ5">
        <v>0</v>
      </c>
      <c r="DR5" s="7">
        <v>0</v>
      </c>
      <c r="DS5">
        <v>0</v>
      </c>
      <c r="DT5" s="7">
        <v>0</v>
      </c>
      <c r="DU5">
        <v>0</v>
      </c>
      <c r="DV5" s="7">
        <v>0</v>
      </c>
      <c r="DW5">
        <v>0</v>
      </c>
      <c r="DX5" s="7">
        <v>0</v>
      </c>
      <c r="DY5">
        <v>113</v>
      </c>
      <c r="DZ5" s="7">
        <v>0</v>
      </c>
      <c r="EA5">
        <v>0</v>
      </c>
      <c r="EB5" s="7">
        <v>0</v>
      </c>
      <c r="EC5">
        <v>0</v>
      </c>
      <c r="ED5" s="7">
        <v>0</v>
      </c>
    </row>
    <row r="6" spans="1:134" x14ac:dyDescent="0.25">
      <c r="A6" s="1">
        <v>91656</v>
      </c>
      <c r="B6" s="7">
        <v>3</v>
      </c>
      <c r="C6" s="1">
        <v>49452</v>
      </c>
      <c r="D6" s="7">
        <v>1</v>
      </c>
      <c r="E6" s="1">
        <v>52485</v>
      </c>
      <c r="F6" s="7">
        <v>1</v>
      </c>
      <c r="G6" s="1">
        <v>30389</v>
      </c>
      <c r="H6" s="7">
        <v>0</v>
      </c>
      <c r="I6">
        <v>0</v>
      </c>
      <c r="J6" s="7">
        <v>0</v>
      </c>
      <c r="K6" s="1">
        <v>18382</v>
      </c>
      <c r="L6" s="7">
        <v>0</v>
      </c>
      <c r="M6">
        <v>0</v>
      </c>
      <c r="N6" s="7">
        <v>0</v>
      </c>
      <c r="O6">
        <v>0</v>
      </c>
      <c r="P6" s="7">
        <v>0</v>
      </c>
      <c r="Q6">
        <v>0</v>
      </c>
      <c r="R6" s="7">
        <v>0</v>
      </c>
      <c r="S6">
        <v>0</v>
      </c>
      <c r="T6" s="7">
        <v>0</v>
      </c>
      <c r="U6">
        <v>0</v>
      </c>
      <c r="V6" s="7">
        <v>0</v>
      </c>
      <c r="W6">
        <v>0</v>
      </c>
      <c r="X6" s="7">
        <v>0</v>
      </c>
      <c r="Y6">
        <v>0</v>
      </c>
      <c r="Z6" s="7">
        <v>0</v>
      </c>
      <c r="AA6">
        <v>0</v>
      </c>
      <c r="AB6" s="7">
        <v>0</v>
      </c>
      <c r="AC6">
        <v>0</v>
      </c>
      <c r="AD6" s="7">
        <v>0</v>
      </c>
      <c r="AE6">
        <v>0</v>
      </c>
      <c r="AF6" s="7">
        <v>0</v>
      </c>
      <c r="AG6">
        <v>0</v>
      </c>
      <c r="AH6" s="7">
        <v>0</v>
      </c>
      <c r="AI6">
        <v>0</v>
      </c>
      <c r="AJ6" s="7">
        <v>0</v>
      </c>
      <c r="AK6">
        <v>0</v>
      </c>
      <c r="AL6" s="7">
        <v>0</v>
      </c>
      <c r="AM6" s="1">
        <v>2535</v>
      </c>
      <c r="AN6" s="7">
        <v>0</v>
      </c>
      <c r="AO6">
        <v>0</v>
      </c>
      <c r="AP6" s="7">
        <v>0</v>
      </c>
      <c r="AQ6">
        <v>495</v>
      </c>
      <c r="AR6" s="7">
        <v>0</v>
      </c>
      <c r="AS6">
        <v>351</v>
      </c>
      <c r="AT6" s="7">
        <v>0</v>
      </c>
      <c r="AU6">
        <v>0</v>
      </c>
      <c r="AV6" s="7">
        <v>0</v>
      </c>
      <c r="AW6">
        <v>0</v>
      </c>
      <c r="AX6" s="7">
        <v>0</v>
      </c>
      <c r="AY6">
        <v>856</v>
      </c>
      <c r="AZ6" s="7">
        <v>0</v>
      </c>
      <c r="BA6">
        <v>159</v>
      </c>
      <c r="BB6" s="7">
        <v>0</v>
      </c>
      <c r="BC6">
        <v>112</v>
      </c>
      <c r="BD6" s="7">
        <v>0</v>
      </c>
      <c r="BE6">
        <v>0</v>
      </c>
      <c r="BF6" s="7">
        <v>0</v>
      </c>
      <c r="BG6">
        <v>0</v>
      </c>
      <c r="BH6" s="7">
        <v>0</v>
      </c>
      <c r="BI6">
        <v>464</v>
      </c>
      <c r="BJ6" s="7">
        <v>0</v>
      </c>
      <c r="BK6">
        <v>0</v>
      </c>
      <c r="BL6" s="7">
        <v>0</v>
      </c>
      <c r="BM6">
        <v>0</v>
      </c>
      <c r="BN6" s="7">
        <v>0</v>
      </c>
      <c r="BO6">
        <v>0</v>
      </c>
      <c r="BP6" s="7">
        <v>0</v>
      </c>
      <c r="BQ6">
        <v>0</v>
      </c>
      <c r="BR6" s="7">
        <v>0</v>
      </c>
      <c r="BS6">
        <v>0</v>
      </c>
      <c r="BT6" s="7">
        <v>0</v>
      </c>
      <c r="BU6">
        <v>0</v>
      </c>
      <c r="BV6" s="7">
        <v>0</v>
      </c>
      <c r="BW6">
        <v>0</v>
      </c>
      <c r="BX6" s="7">
        <v>0</v>
      </c>
      <c r="BY6">
        <v>0</v>
      </c>
      <c r="BZ6" s="7">
        <v>0</v>
      </c>
      <c r="CA6">
        <v>0</v>
      </c>
      <c r="CB6" s="7">
        <v>0</v>
      </c>
      <c r="CC6">
        <v>0</v>
      </c>
      <c r="CD6" s="7">
        <v>0</v>
      </c>
      <c r="CE6">
        <v>0</v>
      </c>
      <c r="CF6" s="7">
        <v>0</v>
      </c>
      <c r="CG6">
        <v>0</v>
      </c>
      <c r="CH6" s="7">
        <v>0</v>
      </c>
      <c r="CI6">
        <v>0</v>
      </c>
      <c r="CJ6" s="7">
        <v>0</v>
      </c>
      <c r="CK6">
        <v>0</v>
      </c>
      <c r="CL6" s="7">
        <v>0</v>
      </c>
      <c r="CM6">
        <v>0</v>
      </c>
      <c r="CN6" s="7">
        <v>0</v>
      </c>
      <c r="CO6">
        <v>0</v>
      </c>
      <c r="CP6" s="7">
        <v>0</v>
      </c>
      <c r="CQ6">
        <v>0</v>
      </c>
      <c r="CR6" s="7">
        <v>0</v>
      </c>
      <c r="CS6">
        <v>0</v>
      </c>
      <c r="CT6" s="7">
        <v>0</v>
      </c>
      <c r="CU6">
        <v>0</v>
      </c>
      <c r="CV6" s="7">
        <v>0</v>
      </c>
      <c r="CW6">
        <v>0</v>
      </c>
      <c r="CX6" s="7">
        <v>0</v>
      </c>
      <c r="CY6">
        <v>0</v>
      </c>
      <c r="CZ6" s="7">
        <v>0</v>
      </c>
      <c r="DA6">
        <v>0</v>
      </c>
      <c r="DB6" s="7">
        <v>0</v>
      </c>
      <c r="DC6">
        <v>0</v>
      </c>
      <c r="DD6" s="7">
        <v>0</v>
      </c>
      <c r="DE6">
        <v>0</v>
      </c>
      <c r="DF6" s="7">
        <v>0</v>
      </c>
      <c r="DG6">
        <v>0</v>
      </c>
      <c r="DH6" s="7">
        <v>0</v>
      </c>
      <c r="DI6">
        <v>0</v>
      </c>
      <c r="DJ6" s="7">
        <v>0</v>
      </c>
      <c r="DK6">
        <v>0</v>
      </c>
      <c r="DL6" s="7">
        <v>0</v>
      </c>
      <c r="DM6">
        <v>0</v>
      </c>
      <c r="DN6" s="7">
        <v>0</v>
      </c>
      <c r="DO6">
        <v>0</v>
      </c>
      <c r="DP6" s="7">
        <v>0</v>
      </c>
      <c r="DQ6">
        <v>0</v>
      </c>
      <c r="DR6" s="7">
        <v>0</v>
      </c>
      <c r="DS6">
        <v>0</v>
      </c>
      <c r="DT6" s="7">
        <v>0</v>
      </c>
      <c r="DU6">
        <v>0</v>
      </c>
      <c r="DV6" s="7">
        <v>0</v>
      </c>
      <c r="DW6">
        <v>0</v>
      </c>
      <c r="DX6" s="7">
        <v>0</v>
      </c>
      <c r="DY6">
        <v>0</v>
      </c>
      <c r="DZ6" s="7">
        <v>0</v>
      </c>
      <c r="EA6">
        <v>0</v>
      </c>
      <c r="EB6" s="7">
        <v>0</v>
      </c>
      <c r="EC6">
        <v>0</v>
      </c>
      <c r="ED6" s="7">
        <v>0</v>
      </c>
    </row>
    <row r="7" spans="1:134" x14ac:dyDescent="0.25">
      <c r="A7" s="1">
        <v>141737</v>
      </c>
      <c r="B7" s="7">
        <v>3</v>
      </c>
      <c r="C7" s="1">
        <v>82055</v>
      </c>
      <c r="D7" s="7">
        <v>1</v>
      </c>
      <c r="E7" s="1">
        <v>71950</v>
      </c>
      <c r="F7" s="7">
        <v>1</v>
      </c>
      <c r="G7" s="1">
        <v>35962</v>
      </c>
      <c r="H7" s="7">
        <v>0</v>
      </c>
      <c r="I7">
        <v>0</v>
      </c>
      <c r="J7" s="7">
        <v>0</v>
      </c>
      <c r="K7" s="1">
        <v>24816</v>
      </c>
      <c r="L7" s="7">
        <v>0</v>
      </c>
      <c r="M7">
        <v>0</v>
      </c>
      <c r="N7" s="7">
        <v>0</v>
      </c>
      <c r="O7">
        <v>0</v>
      </c>
      <c r="P7" s="7">
        <v>0</v>
      </c>
      <c r="Q7">
        <v>0</v>
      </c>
      <c r="R7" s="7">
        <v>0</v>
      </c>
      <c r="S7">
        <v>0</v>
      </c>
      <c r="T7" s="7">
        <v>0</v>
      </c>
      <c r="U7">
        <v>0</v>
      </c>
      <c r="V7" s="7">
        <v>0</v>
      </c>
      <c r="W7">
        <v>0</v>
      </c>
      <c r="X7" s="7">
        <v>0</v>
      </c>
      <c r="Y7">
        <v>0</v>
      </c>
      <c r="Z7" s="7">
        <v>0</v>
      </c>
      <c r="AA7">
        <v>0</v>
      </c>
      <c r="AB7" s="7">
        <v>0</v>
      </c>
      <c r="AC7">
        <v>0</v>
      </c>
      <c r="AD7" s="7">
        <v>0</v>
      </c>
      <c r="AE7">
        <v>0</v>
      </c>
      <c r="AF7" s="7">
        <v>0</v>
      </c>
      <c r="AG7">
        <v>0</v>
      </c>
      <c r="AH7" s="7">
        <v>0</v>
      </c>
      <c r="AI7">
        <v>0</v>
      </c>
      <c r="AJ7" s="7">
        <v>0</v>
      </c>
      <c r="AK7">
        <v>0</v>
      </c>
      <c r="AL7" s="7">
        <v>0</v>
      </c>
      <c r="AM7" s="1">
        <v>2766</v>
      </c>
      <c r="AN7" s="7">
        <v>0</v>
      </c>
      <c r="AO7">
        <v>0</v>
      </c>
      <c r="AP7" s="7">
        <v>0</v>
      </c>
      <c r="AQ7">
        <v>464</v>
      </c>
      <c r="AR7" s="7">
        <v>0</v>
      </c>
      <c r="AS7">
        <v>419</v>
      </c>
      <c r="AT7" s="7">
        <v>0</v>
      </c>
      <c r="AU7">
        <v>0</v>
      </c>
      <c r="AV7" s="7">
        <v>0</v>
      </c>
      <c r="AW7">
        <v>0</v>
      </c>
      <c r="AX7" s="7">
        <v>0</v>
      </c>
      <c r="AY7">
        <v>856</v>
      </c>
      <c r="AZ7" s="7">
        <v>0</v>
      </c>
      <c r="BA7">
        <v>0</v>
      </c>
      <c r="BB7" s="7">
        <v>0</v>
      </c>
      <c r="BC7">
        <v>471</v>
      </c>
      <c r="BD7" s="7">
        <v>0</v>
      </c>
      <c r="BE7">
        <v>0</v>
      </c>
      <c r="BF7" s="7">
        <v>0</v>
      </c>
      <c r="BG7">
        <v>0</v>
      </c>
      <c r="BH7" s="7">
        <v>0</v>
      </c>
      <c r="BI7">
        <v>0</v>
      </c>
      <c r="BJ7" s="7">
        <v>0</v>
      </c>
      <c r="BK7">
        <v>0</v>
      </c>
      <c r="BL7" s="7">
        <v>0</v>
      </c>
      <c r="BM7">
        <v>0</v>
      </c>
      <c r="BN7" s="7">
        <v>0</v>
      </c>
      <c r="BO7">
        <v>0</v>
      </c>
      <c r="BP7" s="7">
        <v>0</v>
      </c>
      <c r="BQ7">
        <v>0</v>
      </c>
      <c r="BR7" s="7">
        <v>0</v>
      </c>
      <c r="BS7">
        <v>0</v>
      </c>
      <c r="BT7" s="7">
        <v>0</v>
      </c>
      <c r="BU7">
        <v>0</v>
      </c>
      <c r="BV7" s="7">
        <v>0</v>
      </c>
      <c r="BW7">
        <v>0</v>
      </c>
      <c r="BX7" s="7">
        <v>0</v>
      </c>
      <c r="BY7">
        <v>0</v>
      </c>
      <c r="BZ7" s="7">
        <v>0</v>
      </c>
      <c r="CA7">
        <v>0</v>
      </c>
      <c r="CB7" s="7">
        <v>0</v>
      </c>
      <c r="CC7">
        <v>0</v>
      </c>
      <c r="CD7" s="7">
        <v>0</v>
      </c>
      <c r="CE7">
        <v>0</v>
      </c>
      <c r="CF7" s="7">
        <v>0</v>
      </c>
      <c r="CG7">
        <v>0</v>
      </c>
      <c r="CH7" s="7">
        <v>0</v>
      </c>
      <c r="CI7">
        <v>0</v>
      </c>
      <c r="CJ7" s="7">
        <v>0</v>
      </c>
      <c r="CK7">
        <v>0</v>
      </c>
      <c r="CL7" s="7">
        <v>0</v>
      </c>
      <c r="CM7">
        <v>0</v>
      </c>
      <c r="CN7" s="7">
        <v>0</v>
      </c>
      <c r="CO7">
        <v>0</v>
      </c>
      <c r="CP7" s="7">
        <v>0</v>
      </c>
      <c r="CQ7">
        <v>0</v>
      </c>
      <c r="CR7" s="7">
        <v>0</v>
      </c>
      <c r="CS7">
        <v>0</v>
      </c>
      <c r="CT7" s="7">
        <v>0</v>
      </c>
      <c r="CU7">
        <v>0</v>
      </c>
      <c r="CV7" s="7">
        <v>0</v>
      </c>
      <c r="CW7">
        <v>0</v>
      </c>
      <c r="CX7" s="7">
        <v>0</v>
      </c>
      <c r="CY7">
        <v>0</v>
      </c>
      <c r="CZ7" s="7">
        <v>0</v>
      </c>
      <c r="DA7">
        <v>0</v>
      </c>
      <c r="DB7" s="7">
        <v>0</v>
      </c>
      <c r="DC7">
        <v>0</v>
      </c>
      <c r="DD7" s="7">
        <v>0</v>
      </c>
      <c r="DE7">
        <v>0</v>
      </c>
      <c r="DF7" s="7">
        <v>0</v>
      </c>
      <c r="DG7">
        <v>0</v>
      </c>
      <c r="DH7" s="7">
        <v>0</v>
      </c>
      <c r="DI7">
        <v>0</v>
      </c>
      <c r="DJ7" s="7">
        <v>0</v>
      </c>
      <c r="DK7">
        <v>0</v>
      </c>
      <c r="DL7" s="7">
        <v>0</v>
      </c>
      <c r="DM7">
        <v>0</v>
      </c>
      <c r="DN7" s="7">
        <v>0</v>
      </c>
      <c r="DO7">
        <v>0</v>
      </c>
      <c r="DP7" s="7">
        <v>0</v>
      </c>
      <c r="DQ7">
        <v>0</v>
      </c>
      <c r="DR7" s="7">
        <v>0</v>
      </c>
      <c r="DS7">
        <v>249</v>
      </c>
      <c r="DT7" s="7">
        <v>0</v>
      </c>
      <c r="DU7">
        <v>0</v>
      </c>
      <c r="DV7" s="7">
        <v>0</v>
      </c>
      <c r="DW7">
        <v>0</v>
      </c>
      <c r="DX7" s="7">
        <v>0</v>
      </c>
      <c r="DY7">
        <v>0</v>
      </c>
      <c r="DZ7" s="7">
        <v>0</v>
      </c>
      <c r="EA7">
        <v>0</v>
      </c>
      <c r="EB7" s="7">
        <v>0</v>
      </c>
      <c r="EC7">
        <v>0</v>
      </c>
      <c r="ED7" s="7">
        <v>0</v>
      </c>
    </row>
    <row r="8" spans="1:134" x14ac:dyDescent="0.25">
      <c r="A8" s="1">
        <v>226831</v>
      </c>
      <c r="B8" s="7">
        <v>4</v>
      </c>
      <c r="C8" s="1">
        <v>163177</v>
      </c>
      <c r="D8" s="7">
        <v>3</v>
      </c>
      <c r="E8" s="1">
        <v>162280</v>
      </c>
      <c r="F8" s="7">
        <v>2</v>
      </c>
      <c r="G8" s="1">
        <v>97801</v>
      </c>
      <c r="H8" s="7">
        <v>1</v>
      </c>
      <c r="I8">
        <v>0</v>
      </c>
      <c r="J8" s="7">
        <v>0</v>
      </c>
      <c r="K8" s="1">
        <v>66995</v>
      </c>
      <c r="L8" s="7">
        <v>1</v>
      </c>
      <c r="M8">
        <v>0</v>
      </c>
      <c r="N8" s="7">
        <v>0</v>
      </c>
      <c r="O8">
        <v>0</v>
      </c>
      <c r="P8" s="7">
        <v>0</v>
      </c>
      <c r="Q8">
        <v>0</v>
      </c>
      <c r="R8" s="7">
        <v>0</v>
      </c>
      <c r="S8">
        <v>0</v>
      </c>
      <c r="T8" s="7">
        <v>0</v>
      </c>
      <c r="U8" s="1">
        <v>14112</v>
      </c>
      <c r="V8" s="7">
        <v>0</v>
      </c>
      <c r="W8">
        <v>0</v>
      </c>
      <c r="X8" s="7">
        <v>0</v>
      </c>
      <c r="Y8">
        <v>0</v>
      </c>
      <c r="Z8" s="7">
        <v>0</v>
      </c>
      <c r="AA8">
        <v>0</v>
      </c>
      <c r="AB8" s="7">
        <v>0</v>
      </c>
      <c r="AC8">
        <v>0</v>
      </c>
      <c r="AD8" s="7">
        <v>0</v>
      </c>
      <c r="AE8">
        <v>0</v>
      </c>
      <c r="AF8" s="7">
        <v>0</v>
      </c>
      <c r="AG8">
        <v>0</v>
      </c>
      <c r="AH8" s="7">
        <v>0</v>
      </c>
      <c r="AI8">
        <v>0</v>
      </c>
      <c r="AJ8" s="7">
        <v>0</v>
      </c>
      <c r="AK8">
        <v>0</v>
      </c>
      <c r="AL8" s="7">
        <v>0</v>
      </c>
      <c r="AM8" s="1">
        <v>11089</v>
      </c>
      <c r="AN8" s="7">
        <v>0</v>
      </c>
      <c r="AO8">
        <v>0</v>
      </c>
      <c r="AP8" s="7">
        <v>0</v>
      </c>
      <c r="AQ8" s="1">
        <v>1261</v>
      </c>
      <c r="AR8" s="7">
        <v>0</v>
      </c>
      <c r="AS8">
        <v>904</v>
      </c>
      <c r="AT8" s="7">
        <v>0</v>
      </c>
      <c r="AU8">
        <v>0</v>
      </c>
      <c r="AV8" s="7">
        <v>0</v>
      </c>
      <c r="AW8">
        <v>0</v>
      </c>
      <c r="AX8" s="7">
        <v>0</v>
      </c>
      <c r="AY8" s="1">
        <v>1686</v>
      </c>
      <c r="AZ8" s="7">
        <v>0</v>
      </c>
      <c r="BA8">
        <v>581</v>
      </c>
      <c r="BB8" s="7">
        <v>0</v>
      </c>
      <c r="BC8">
        <v>381</v>
      </c>
      <c r="BD8" s="7">
        <v>0</v>
      </c>
      <c r="BE8">
        <v>0</v>
      </c>
      <c r="BF8" s="7">
        <v>0</v>
      </c>
      <c r="BG8">
        <v>0</v>
      </c>
      <c r="BH8" s="7">
        <v>0</v>
      </c>
      <c r="BI8" s="1">
        <v>1265</v>
      </c>
      <c r="BJ8" s="7">
        <v>0</v>
      </c>
      <c r="BK8">
        <v>0</v>
      </c>
      <c r="BL8" s="7">
        <v>0</v>
      </c>
      <c r="BM8">
        <v>0</v>
      </c>
      <c r="BN8" s="7">
        <v>0</v>
      </c>
      <c r="BO8">
        <v>0</v>
      </c>
      <c r="BP8" s="7">
        <v>0</v>
      </c>
      <c r="BQ8">
        <v>0</v>
      </c>
      <c r="BR8" s="7">
        <v>0</v>
      </c>
      <c r="BS8">
        <v>0</v>
      </c>
      <c r="BT8" s="7">
        <v>0</v>
      </c>
      <c r="BU8">
        <v>0</v>
      </c>
      <c r="BV8" s="7">
        <v>0</v>
      </c>
      <c r="BW8">
        <v>0</v>
      </c>
      <c r="BX8" s="7">
        <v>0</v>
      </c>
      <c r="BY8">
        <v>0</v>
      </c>
      <c r="BZ8" s="7">
        <v>0</v>
      </c>
      <c r="CA8">
        <v>0</v>
      </c>
      <c r="CB8" s="7">
        <v>0</v>
      </c>
      <c r="CC8">
        <v>0</v>
      </c>
      <c r="CD8" s="7">
        <v>0</v>
      </c>
      <c r="CE8">
        <v>0</v>
      </c>
      <c r="CF8" s="7">
        <v>0</v>
      </c>
      <c r="CG8">
        <v>0</v>
      </c>
      <c r="CH8" s="7">
        <v>0</v>
      </c>
      <c r="CI8">
        <v>0</v>
      </c>
      <c r="CJ8" s="7">
        <v>0</v>
      </c>
      <c r="CK8">
        <v>0</v>
      </c>
      <c r="CL8" s="7">
        <v>0</v>
      </c>
      <c r="CM8">
        <v>0</v>
      </c>
      <c r="CN8" s="7">
        <v>0</v>
      </c>
      <c r="CO8">
        <v>0</v>
      </c>
      <c r="CP8" s="7">
        <v>0</v>
      </c>
      <c r="CQ8">
        <v>0</v>
      </c>
      <c r="CR8" s="7">
        <v>0</v>
      </c>
      <c r="CS8">
        <v>0</v>
      </c>
      <c r="CT8" s="7">
        <v>0</v>
      </c>
      <c r="CU8">
        <v>0</v>
      </c>
      <c r="CV8" s="7">
        <v>0</v>
      </c>
      <c r="CW8">
        <v>0</v>
      </c>
      <c r="CX8" s="7">
        <v>0</v>
      </c>
      <c r="CY8">
        <v>0</v>
      </c>
      <c r="CZ8" s="7">
        <v>0</v>
      </c>
      <c r="DA8">
        <v>0</v>
      </c>
      <c r="DB8" s="7">
        <v>0</v>
      </c>
      <c r="DC8">
        <v>0</v>
      </c>
      <c r="DD8" s="7">
        <v>0</v>
      </c>
      <c r="DE8">
        <v>0</v>
      </c>
      <c r="DF8" s="7">
        <v>0</v>
      </c>
      <c r="DG8">
        <v>0</v>
      </c>
      <c r="DH8" s="7">
        <v>0</v>
      </c>
      <c r="DI8">
        <v>0</v>
      </c>
      <c r="DJ8" s="7">
        <v>0</v>
      </c>
      <c r="DK8">
        <v>0</v>
      </c>
      <c r="DL8" s="7">
        <v>0</v>
      </c>
      <c r="DM8">
        <v>0</v>
      </c>
      <c r="DN8" s="7">
        <v>0</v>
      </c>
      <c r="DO8">
        <v>0</v>
      </c>
      <c r="DP8" s="7">
        <v>0</v>
      </c>
      <c r="DQ8">
        <v>0</v>
      </c>
      <c r="DR8" s="7">
        <v>0</v>
      </c>
      <c r="DS8">
        <v>0</v>
      </c>
      <c r="DT8" s="7">
        <v>0</v>
      </c>
      <c r="DU8">
        <v>0</v>
      </c>
      <c r="DV8" s="7">
        <v>0</v>
      </c>
      <c r="DW8">
        <v>0</v>
      </c>
      <c r="DX8" s="7">
        <v>0</v>
      </c>
      <c r="DY8">
        <v>0</v>
      </c>
      <c r="DZ8" s="7">
        <v>0</v>
      </c>
      <c r="EA8">
        <v>0</v>
      </c>
      <c r="EB8" s="7">
        <v>0</v>
      </c>
      <c r="EC8">
        <v>0</v>
      </c>
      <c r="ED8" s="7">
        <v>0</v>
      </c>
    </row>
    <row r="9" spans="1:134" x14ac:dyDescent="0.25">
      <c r="A9" s="1">
        <v>380385</v>
      </c>
      <c r="B9" s="7">
        <v>5</v>
      </c>
      <c r="C9" s="1">
        <v>188166</v>
      </c>
      <c r="D9" s="7">
        <v>2</v>
      </c>
      <c r="E9" s="1">
        <v>188813</v>
      </c>
      <c r="F9" s="7">
        <v>2</v>
      </c>
      <c r="G9" s="1">
        <v>153435</v>
      </c>
      <c r="H9" s="7">
        <v>2</v>
      </c>
      <c r="I9">
        <v>0</v>
      </c>
      <c r="J9" s="7">
        <v>0</v>
      </c>
      <c r="K9" s="1">
        <v>83575</v>
      </c>
      <c r="L9" s="7">
        <v>1</v>
      </c>
      <c r="M9">
        <v>0</v>
      </c>
      <c r="N9" s="7">
        <v>0</v>
      </c>
      <c r="O9">
        <v>0</v>
      </c>
      <c r="P9" s="7">
        <v>0</v>
      </c>
      <c r="Q9">
        <v>0</v>
      </c>
      <c r="R9" s="7">
        <v>0</v>
      </c>
      <c r="S9">
        <v>0</v>
      </c>
      <c r="T9" s="7">
        <v>0</v>
      </c>
      <c r="U9" s="1">
        <v>22388</v>
      </c>
      <c r="V9" s="7">
        <v>0</v>
      </c>
      <c r="W9">
        <v>0</v>
      </c>
      <c r="X9" s="7">
        <v>0</v>
      </c>
      <c r="Y9">
        <v>0</v>
      </c>
      <c r="Z9" s="7">
        <v>0</v>
      </c>
      <c r="AA9">
        <v>0</v>
      </c>
      <c r="AB9" s="7">
        <v>0</v>
      </c>
      <c r="AC9">
        <v>0</v>
      </c>
      <c r="AD9" s="7">
        <v>0</v>
      </c>
      <c r="AE9">
        <v>0</v>
      </c>
      <c r="AF9" s="7">
        <v>0</v>
      </c>
      <c r="AG9">
        <v>0</v>
      </c>
      <c r="AH9" s="7">
        <v>0</v>
      </c>
      <c r="AI9">
        <v>0</v>
      </c>
      <c r="AJ9" s="7">
        <v>0</v>
      </c>
      <c r="AK9">
        <v>0</v>
      </c>
      <c r="AL9" s="7">
        <v>0</v>
      </c>
      <c r="AM9" s="1">
        <v>12035</v>
      </c>
      <c r="AN9" s="7">
        <v>0</v>
      </c>
      <c r="AO9">
        <v>0</v>
      </c>
      <c r="AP9" s="7">
        <v>0</v>
      </c>
      <c r="AQ9" s="1">
        <v>1456</v>
      </c>
      <c r="AR9" s="7">
        <v>0</v>
      </c>
      <c r="AS9" s="1">
        <v>1402</v>
      </c>
      <c r="AT9" s="7">
        <v>0</v>
      </c>
      <c r="AU9">
        <v>0</v>
      </c>
      <c r="AV9" s="7">
        <v>0</v>
      </c>
      <c r="AW9">
        <v>0</v>
      </c>
      <c r="AX9" s="7">
        <v>0</v>
      </c>
      <c r="AY9" s="1">
        <v>5183</v>
      </c>
      <c r="AZ9" s="7">
        <v>0</v>
      </c>
      <c r="BA9">
        <v>842</v>
      </c>
      <c r="BB9" s="7">
        <v>0</v>
      </c>
      <c r="BC9">
        <v>550</v>
      </c>
      <c r="BD9" s="7">
        <v>0</v>
      </c>
      <c r="BE9">
        <v>0</v>
      </c>
      <c r="BF9" s="7">
        <v>0</v>
      </c>
      <c r="BG9">
        <v>0</v>
      </c>
      <c r="BH9" s="7">
        <v>0</v>
      </c>
      <c r="BI9" s="1">
        <v>1495</v>
      </c>
      <c r="BJ9" s="7">
        <v>0</v>
      </c>
      <c r="BK9">
        <v>0</v>
      </c>
      <c r="BL9" s="7">
        <v>0</v>
      </c>
      <c r="BM9">
        <v>0</v>
      </c>
      <c r="BN9" s="7">
        <v>0</v>
      </c>
      <c r="BO9">
        <v>0</v>
      </c>
      <c r="BP9" s="7">
        <v>0</v>
      </c>
      <c r="BQ9">
        <v>0</v>
      </c>
      <c r="BR9" s="7">
        <v>0</v>
      </c>
      <c r="BS9">
        <v>0</v>
      </c>
      <c r="BT9" s="7">
        <v>0</v>
      </c>
      <c r="BU9">
        <v>0</v>
      </c>
      <c r="BV9" s="7">
        <v>0</v>
      </c>
      <c r="BW9">
        <v>0</v>
      </c>
      <c r="BX9" s="7">
        <v>0</v>
      </c>
      <c r="BY9">
        <v>0</v>
      </c>
      <c r="BZ9" s="7">
        <v>0</v>
      </c>
      <c r="CA9">
        <v>0</v>
      </c>
      <c r="CB9" s="7">
        <v>0</v>
      </c>
      <c r="CC9">
        <v>0</v>
      </c>
      <c r="CD9" s="7">
        <v>0</v>
      </c>
      <c r="CE9">
        <v>0</v>
      </c>
      <c r="CF9" s="7">
        <v>0</v>
      </c>
      <c r="CG9">
        <v>0</v>
      </c>
      <c r="CH9" s="7">
        <v>0</v>
      </c>
      <c r="CI9">
        <v>0</v>
      </c>
      <c r="CJ9" s="7">
        <v>0</v>
      </c>
      <c r="CK9">
        <v>0</v>
      </c>
      <c r="CL9" s="7">
        <v>0</v>
      </c>
      <c r="CM9">
        <v>0</v>
      </c>
      <c r="CN9" s="7">
        <v>0</v>
      </c>
      <c r="CO9">
        <v>0</v>
      </c>
      <c r="CP9" s="7">
        <v>0</v>
      </c>
      <c r="CQ9">
        <v>0</v>
      </c>
      <c r="CR9" s="7">
        <v>0</v>
      </c>
      <c r="CS9">
        <v>0</v>
      </c>
      <c r="CT9" s="7">
        <v>0</v>
      </c>
      <c r="CU9">
        <v>0</v>
      </c>
      <c r="CV9" s="7">
        <v>0</v>
      </c>
      <c r="CW9">
        <v>0</v>
      </c>
      <c r="CX9" s="7">
        <v>0</v>
      </c>
      <c r="CY9">
        <v>0</v>
      </c>
      <c r="CZ9" s="7">
        <v>0</v>
      </c>
      <c r="DA9">
        <v>0</v>
      </c>
      <c r="DB9" s="7">
        <v>0</v>
      </c>
      <c r="DC9">
        <v>0</v>
      </c>
      <c r="DD9" s="7">
        <v>0</v>
      </c>
      <c r="DE9">
        <v>0</v>
      </c>
      <c r="DF9" s="7">
        <v>0</v>
      </c>
      <c r="DG9">
        <v>0</v>
      </c>
      <c r="DH9" s="7">
        <v>0</v>
      </c>
      <c r="DI9">
        <v>0</v>
      </c>
      <c r="DJ9" s="7">
        <v>0</v>
      </c>
      <c r="DK9">
        <v>0</v>
      </c>
      <c r="DL9" s="7">
        <v>0</v>
      </c>
      <c r="DM9">
        <v>0</v>
      </c>
      <c r="DN9" s="7">
        <v>0</v>
      </c>
      <c r="DO9">
        <v>0</v>
      </c>
      <c r="DP9" s="7">
        <v>0</v>
      </c>
      <c r="DQ9">
        <v>0</v>
      </c>
      <c r="DR9" s="7">
        <v>0</v>
      </c>
      <c r="DS9">
        <v>0</v>
      </c>
      <c r="DT9" s="7">
        <v>0</v>
      </c>
      <c r="DU9">
        <v>0</v>
      </c>
      <c r="DV9" s="7">
        <v>0</v>
      </c>
      <c r="DW9">
        <v>0</v>
      </c>
      <c r="DX9" s="7">
        <v>0</v>
      </c>
      <c r="DY9">
        <v>0</v>
      </c>
      <c r="DZ9" s="7">
        <v>0</v>
      </c>
      <c r="EA9">
        <v>0</v>
      </c>
      <c r="EB9" s="7">
        <v>0</v>
      </c>
      <c r="EC9">
        <v>0</v>
      </c>
      <c r="ED9" s="7">
        <v>0</v>
      </c>
    </row>
    <row r="10" spans="1:134" x14ac:dyDescent="0.25">
      <c r="A10" s="1">
        <v>38101</v>
      </c>
      <c r="B10" s="7">
        <v>2</v>
      </c>
      <c r="C10" s="1">
        <v>29804</v>
      </c>
      <c r="D10" s="7">
        <v>1</v>
      </c>
      <c r="E10" s="1">
        <v>17237</v>
      </c>
      <c r="F10" s="7">
        <v>0</v>
      </c>
      <c r="G10" s="1">
        <v>14035</v>
      </c>
      <c r="H10" s="7">
        <v>0</v>
      </c>
      <c r="I10">
        <v>0</v>
      </c>
      <c r="J10" s="7">
        <v>0</v>
      </c>
      <c r="K10" s="1">
        <v>9244</v>
      </c>
      <c r="L10" s="7">
        <v>0</v>
      </c>
      <c r="M10">
        <v>0</v>
      </c>
      <c r="N10" s="7">
        <v>0</v>
      </c>
      <c r="O10">
        <v>0</v>
      </c>
      <c r="P10" s="7">
        <v>0</v>
      </c>
      <c r="Q10">
        <v>0</v>
      </c>
      <c r="R10" s="7">
        <v>0</v>
      </c>
      <c r="S10">
        <v>0</v>
      </c>
      <c r="T10" s="7">
        <v>0</v>
      </c>
      <c r="U10">
        <v>0</v>
      </c>
      <c r="V10" s="7">
        <v>0</v>
      </c>
      <c r="W10">
        <v>0</v>
      </c>
      <c r="X10" s="7">
        <v>0</v>
      </c>
      <c r="Y10">
        <v>0</v>
      </c>
      <c r="Z10" s="7">
        <v>0</v>
      </c>
      <c r="AA10">
        <v>0</v>
      </c>
      <c r="AB10" s="7">
        <v>0</v>
      </c>
      <c r="AC10">
        <v>0</v>
      </c>
      <c r="AD10" s="7">
        <v>0</v>
      </c>
      <c r="AE10">
        <v>0</v>
      </c>
      <c r="AF10" s="7">
        <v>0</v>
      </c>
      <c r="AG10">
        <v>0</v>
      </c>
      <c r="AH10" s="7">
        <v>0</v>
      </c>
      <c r="AI10">
        <v>0</v>
      </c>
      <c r="AJ10" s="7">
        <v>0</v>
      </c>
      <c r="AK10">
        <v>0</v>
      </c>
      <c r="AL10" s="7">
        <v>0</v>
      </c>
      <c r="AM10">
        <v>735</v>
      </c>
      <c r="AN10" s="7">
        <v>0</v>
      </c>
      <c r="AO10">
        <v>0</v>
      </c>
      <c r="AP10" s="7">
        <v>0</v>
      </c>
      <c r="AQ10">
        <v>198</v>
      </c>
      <c r="AR10" s="7">
        <v>0</v>
      </c>
      <c r="AS10">
        <v>153</v>
      </c>
      <c r="AT10" s="7">
        <v>0</v>
      </c>
      <c r="AU10">
        <v>0</v>
      </c>
      <c r="AV10" s="7">
        <v>0</v>
      </c>
      <c r="AW10">
        <v>0</v>
      </c>
      <c r="AX10" s="7">
        <v>0</v>
      </c>
      <c r="AY10">
        <v>0</v>
      </c>
      <c r="AZ10" s="7">
        <v>0</v>
      </c>
      <c r="BA10">
        <v>100</v>
      </c>
      <c r="BB10" s="7">
        <v>0</v>
      </c>
      <c r="BC10">
        <v>86</v>
      </c>
      <c r="BD10" s="7">
        <v>0</v>
      </c>
      <c r="BE10">
        <v>0</v>
      </c>
      <c r="BF10" s="7">
        <v>0</v>
      </c>
      <c r="BG10">
        <v>0</v>
      </c>
      <c r="BH10" s="7">
        <v>0</v>
      </c>
      <c r="BI10">
        <v>0</v>
      </c>
      <c r="BJ10" s="7">
        <v>0</v>
      </c>
      <c r="BK10">
        <v>0</v>
      </c>
      <c r="BL10" s="7">
        <v>0</v>
      </c>
      <c r="BM10">
        <v>393</v>
      </c>
      <c r="BN10" s="7">
        <v>0</v>
      </c>
      <c r="BO10">
        <v>0</v>
      </c>
      <c r="BP10" s="7">
        <v>0</v>
      </c>
      <c r="BQ10">
        <v>0</v>
      </c>
      <c r="BR10" s="7">
        <v>0</v>
      </c>
      <c r="BS10">
        <v>0</v>
      </c>
      <c r="BT10" s="7">
        <v>0</v>
      </c>
      <c r="BU10">
        <v>0</v>
      </c>
      <c r="BV10" s="7">
        <v>0</v>
      </c>
      <c r="BW10">
        <v>0</v>
      </c>
      <c r="BX10" s="7">
        <v>0</v>
      </c>
      <c r="BY10">
        <v>0</v>
      </c>
      <c r="BZ10" s="7">
        <v>0</v>
      </c>
      <c r="CA10">
        <v>0</v>
      </c>
      <c r="CB10" s="7">
        <v>0</v>
      </c>
      <c r="CC10">
        <v>0</v>
      </c>
      <c r="CD10" s="7">
        <v>0</v>
      </c>
      <c r="CE10">
        <v>0</v>
      </c>
      <c r="CF10" s="7">
        <v>0</v>
      </c>
      <c r="CG10">
        <v>0</v>
      </c>
      <c r="CH10" s="7">
        <v>0</v>
      </c>
      <c r="CI10">
        <v>0</v>
      </c>
      <c r="CJ10" s="7">
        <v>0</v>
      </c>
      <c r="CK10" s="1">
        <v>2000</v>
      </c>
      <c r="CL10" s="7">
        <v>0</v>
      </c>
      <c r="CM10">
        <v>0</v>
      </c>
      <c r="CN10" s="7">
        <v>0</v>
      </c>
      <c r="CO10">
        <v>0</v>
      </c>
      <c r="CP10" s="7">
        <v>0</v>
      </c>
      <c r="CQ10">
        <v>0</v>
      </c>
      <c r="CR10" s="7">
        <v>0</v>
      </c>
      <c r="CS10">
        <v>0</v>
      </c>
      <c r="CT10" s="7">
        <v>0</v>
      </c>
      <c r="CU10">
        <v>0</v>
      </c>
      <c r="CV10" s="7">
        <v>0</v>
      </c>
      <c r="CW10">
        <v>0</v>
      </c>
      <c r="CX10" s="7">
        <v>0</v>
      </c>
      <c r="CY10">
        <v>0</v>
      </c>
      <c r="CZ10" s="7">
        <v>0</v>
      </c>
      <c r="DA10">
        <v>0</v>
      </c>
      <c r="DB10" s="7">
        <v>0</v>
      </c>
      <c r="DC10">
        <v>0</v>
      </c>
      <c r="DD10" s="7">
        <v>0</v>
      </c>
      <c r="DE10">
        <v>73</v>
      </c>
      <c r="DF10" s="7">
        <v>0</v>
      </c>
      <c r="DG10">
        <v>0</v>
      </c>
      <c r="DH10" s="7">
        <v>0</v>
      </c>
      <c r="DI10">
        <v>0</v>
      </c>
      <c r="DJ10" s="7">
        <v>0</v>
      </c>
      <c r="DK10">
        <v>0</v>
      </c>
      <c r="DL10" s="7">
        <v>0</v>
      </c>
      <c r="DM10">
        <v>0</v>
      </c>
      <c r="DN10" s="7">
        <v>0</v>
      </c>
      <c r="DO10">
        <v>75</v>
      </c>
      <c r="DP10" s="7">
        <v>0</v>
      </c>
      <c r="DQ10">
        <v>0</v>
      </c>
      <c r="DR10" s="7">
        <v>0</v>
      </c>
      <c r="DS10">
        <v>0</v>
      </c>
      <c r="DT10" s="7">
        <v>0</v>
      </c>
      <c r="DU10">
        <v>0</v>
      </c>
      <c r="DV10" s="7">
        <v>0</v>
      </c>
      <c r="DW10">
        <v>0</v>
      </c>
      <c r="DX10" s="7">
        <v>0</v>
      </c>
      <c r="DY10">
        <v>0</v>
      </c>
      <c r="DZ10" s="7">
        <v>0</v>
      </c>
      <c r="EA10">
        <v>0</v>
      </c>
      <c r="EB10" s="7">
        <v>0</v>
      </c>
      <c r="EC10">
        <v>0</v>
      </c>
      <c r="ED10" s="7">
        <v>0</v>
      </c>
    </row>
    <row r="11" spans="1:134" x14ac:dyDescent="0.25">
      <c r="A11" s="1">
        <v>18934</v>
      </c>
      <c r="B11" s="7">
        <v>1</v>
      </c>
      <c r="C11" s="1">
        <v>17520</v>
      </c>
      <c r="D11" s="7">
        <v>1</v>
      </c>
      <c r="E11" s="1">
        <v>9346</v>
      </c>
      <c r="F11" s="7">
        <v>0</v>
      </c>
      <c r="G11" s="1">
        <v>3982</v>
      </c>
      <c r="H11" s="7">
        <v>0</v>
      </c>
      <c r="I11">
        <v>0</v>
      </c>
      <c r="J11" s="7">
        <v>0</v>
      </c>
      <c r="K11" s="1">
        <v>3732</v>
      </c>
      <c r="L11" s="7">
        <v>0</v>
      </c>
      <c r="M11">
        <v>0</v>
      </c>
      <c r="N11" s="7">
        <v>0</v>
      </c>
      <c r="O11">
        <v>0</v>
      </c>
      <c r="P11" s="7">
        <v>0</v>
      </c>
      <c r="Q11">
        <v>0</v>
      </c>
      <c r="R11" s="7">
        <v>0</v>
      </c>
      <c r="S11">
        <v>0</v>
      </c>
      <c r="T11" s="7">
        <v>0</v>
      </c>
      <c r="U11">
        <v>0</v>
      </c>
      <c r="V11" s="7">
        <v>0</v>
      </c>
      <c r="W11">
        <v>0</v>
      </c>
      <c r="X11" s="7">
        <v>0</v>
      </c>
      <c r="Y11">
        <v>0</v>
      </c>
      <c r="Z11" s="7">
        <v>0</v>
      </c>
      <c r="AA11">
        <v>0</v>
      </c>
      <c r="AB11" s="7">
        <v>0</v>
      </c>
      <c r="AC11">
        <v>0</v>
      </c>
      <c r="AD11" s="7">
        <v>0</v>
      </c>
      <c r="AE11">
        <v>0</v>
      </c>
      <c r="AF11" s="7">
        <v>0</v>
      </c>
      <c r="AG11">
        <v>0</v>
      </c>
      <c r="AH11" s="7">
        <v>0</v>
      </c>
      <c r="AI11">
        <v>0</v>
      </c>
      <c r="AJ11" s="7">
        <v>0</v>
      </c>
      <c r="AK11" s="1">
        <v>19761</v>
      </c>
      <c r="AL11" s="7">
        <v>1</v>
      </c>
      <c r="AM11">
        <v>212</v>
      </c>
      <c r="AN11" s="7">
        <v>0</v>
      </c>
      <c r="AO11">
        <v>0</v>
      </c>
      <c r="AP11" s="7">
        <v>0</v>
      </c>
      <c r="AQ11">
        <v>0</v>
      </c>
      <c r="AR11" s="7">
        <v>0</v>
      </c>
      <c r="AS11">
        <v>35</v>
      </c>
      <c r="AT11" s="7">
        <v>0</v>
      </c>
      <c r="AU11">
        <v>0</v>
      </c>
      <c r="AV11" s="7">
        <v>0</v>
      </c>
      <c r="AW11">
        <v>0</v>
      </c>
      <c r="AX11" s="7">
        <v>0</v>
      </c>
      <c r="AY11">
        <v>0</v>
      </c>
      <c r="AZ11" s="7">
        <v>0</v>
      </c>
      <c r="BA11">
        <v>45</v>
      </c>
      <c r="BB11" s="7">
        <v>0</v>
      </c>
      <c r="BC11">
        <v>0</v>
      </c>
      <c r="BD11" s="7">
        <v>0</v>
      </c>
      <c r="BE11">
        <v>0</v>
      </c>
      <c r="BF11" s="7">
        <v>0</v>
      </c>
      <c r="BG11">
        <v>0</v>
      </c>
      <c r="BH11" s="7">
        <v>0</v>
      </c>
      <c r="BI11">
        <v>96</v>
      </c>
      <c r="BJ11" s="7">
        <v>0</v>
      </c>
      <c r="BK11">
        <v>0</v>
      </c>
      <c r="BL11" s="7">
        <v>0</v>
      </c>
      <c r="BM11">
        <v>0</v>
      </c>
      <c r="BN11" s="7">
        <v>0</v>
      </c>
      <c r="BO11">
        <v>0</v>
      </c>
      <c r="BP11" s="7">
        <v>0</v>
      </c>
      <c r="BQ11">
        <v>0</v>
      </c>
      <c r="BR11" s="7">
        <v>0</v>
      </c>
      <c r="BS11">
        <v>0</v>
      </c>
      <c r="BT11" s="7">
        <v>0</v>
      </c>
      <c r="BU11">
        <v>0</v>
      </c>
      <c r="BV11" s="7">
        <v>0</v>
      </c>
      <c r="BW11">
        <v>0</v>
      </c>
      <c r="BX11" s="7">
        <v>0</v>
      </c>
      <c r="BY11">
        <v>0</v>
      </c>
      <c r="BZ11" s="7">
        <v>0</v>
      </c>
      <c r="CA11">
        <v>0</v>
      </c>
      <c r="CB11" s="7">
        <v>0</v>
      </c>
      <c r="CC11">
        <v>0</v>
      </c>
      <c r="CD11" s="7">
        <v>0</v>
      </c>
      <c r="CE11">
        <v>0</v>
      </c>
      <c r="CF11" s="7">
        <v>0</v>
      </c>
      <c r="CG11">
        <v>0</v>
      </c>
      <c r="CH11" s="7">
        <v>0</v>
      </c>
      <c r="CI11">
        <v>0</v>
      </c>
      <c r="CJ11" s="7">
        <v>0</v>
      </c>
      <c r="CK11">
        <v>0</v>
      </c>
      <c r="CL11" s="7">
        <v>0</v>
      </c>
      <c r="CM11">
        <v>0</v>
      </c>
      <c r="CN11" s="7">
        <v>0</v>
      </c>
      <c r="CO11">
        <v>0</v>
      </c>
      <c r="CP11" s="7">
        <v>0</v>
      </c>
      <c r="CQ11">
        <v>0</v>
      </c>
      <c r="CR11" s="7">
        <v>0</v>
      </c>
      <c r="CS11">
        <v>0</v>
      </c>
      <c r="CT11" s="7">
        <v>0</v>
      </c>
      <c r="CU11">
        <v>0</v>
      </c>
      <c r="CV11" s="7">
        <v>0</v>
      </c>
      <c r="CW11">
        <v>0</v>
      </c>
      <c r="CX11" s="7">
        <v>0</v>
      </c>
      <c r="CY11">
        <v>0</v>
      </c>
      <c r="CZ11" s="7">
        <v>0</v>
      </c>
      <c r="DA11">
        <v>0</v>
      </c>
      <c r="DB11" s="7">
        <v>0</v>
      </c>
      <c r="DC11">
        <v>0</v>
      </c>
      <c r="DD11" s="7">
        <v>0</v>
      </c>
      <c r="DE11">
        <v>25</v>
      </c>
      <c r="DF11" s="7">
        <v>0</v>
      </c>
      <c r="DG11">
        <v>0</v>
      </c>
      <c r="DH11" s="7">
        <v>0</v>
      </c>
      <c r="DI11">
        <v>13</v>
      </c>
      <c r="DJ11" s="7">
        <v>0</v>
      </c>
      <c r="DK11">
        <v>0</v>
      </c>
      <c r="DL11" s="7">
        <v>0</v>
      </c>
      <c r="DM11">
        <v>0</v>
      </c>
      <c r="DN11" s="7">
        <v>0</v>
      </c>
      <c r="DO11">
        <v>0</v>
      </c>
      <c r="DP11" s="7">
        <v>0</v>
      </c>
      <c r="DQ11">
        <v>0</v>
      </c>
      <c r="DR11" s="7">
        <v>0</v>
      </c>
      <c r="DS11">
        <v>0</v>
      </c>
      <c r="DT11" s="7">
        <v>0</v>
      </c>
      <c r="DU11">
        <v>0</v>
      </c>
      <c r="DV11" s="7">
        <v>0</v>
      </c>
      <c r="DW11">
        <v>0</v>
      </c>
      <c r="DX11" s="7">
        <v>0</v>
      </c>
      <c r="DY11">
        <v>0</v>
      </c>
      <c r="DZ11" s="7">
        <v>0</v>
      </c>
      <c r="EA11">
        <v>0</v>
      </c>
      <c r="EB11" s="7">
        <v>0</v>
      </c>
      <c r="EC11">
        <v>26</v>
      </c>
      <c r="ED11" s="7">
        <v>0</v>
      </c>
    </row>
    <row r="12" spans="1:134" x14ac:dyDescent="0.25">
      <c r="A12" s="1">
        <v>158326</v>
      </c>
      <c r="B12" s="7">
        <v>3</v>
      </c>
      <c r="C12" s="1">
        <v>119909</v>
      </c>
      <c r="D12" s="7">
        <v>2</v>
      </c>
      <c r="E12" s="1">
        <v>92353</v>
      </c>
      <c r="F12" s="7">
        <v>1</v>
      </c>
      <c r="G12" s="1">
        <v>57875</v>
      </c>
      <c r="H12" s="7">
        <v>1</v>
      </c>
      <c r="I12">
        <v>0</v>
      </c>
      <c r="J12" s="7">
        <v>0</v>
      </c>
      <c r="K12" s="1">
        <v>47001</v>
      </c>
      <c r="L12" s="7">
        <v>0</v>
      </c>
      <c r="M12">
        <v>0</v>
      </c>
      <c r="N12" s="7">
        <v>0</v>
      </c>
      <c r="O12">
        <v>0</v>
      </c>
      <c r="P12" s="7">
        <v>0</v>
      </c>
      <c r="Q12">
        <v>0</v>
      </c>
      <c r="R12" s="7">
        <v>0</v>
      </c>
      <c r="S12">
        <v>0</v>
      </c>
      <c r="T12" s="7">
        <v>0</v>
      </c>
      <c r="U12">
        <v>0</v>
      </c>
      <c r="V12" s="7">
        <v>0</v>
      </c>
      <c r="W12">
        <v>0</v>
      </c>
      <c r="X12" s="7">
        <v>0</v>
      </c>
      <c r="Y12">
        <v>0</v>
      </c>
      <c r="Z12" s="7">
        <v>0</v>
      </c>
      <c r="AA12">
        <v>0</v>
      </c>
      <c r="AB12" s="7">
        <v>0</v>
      </c>
      <c r="AC12">
        <v>0</v>
      </c>
      <c r="AD12" s="7">
        <v>0</v>
      </c>
      <c r="AE12">
        <v>0</v>
      </c>
      <c r="AF12" s="7">
        <v>0</v>
      </c>
      <c r="AG12">
        <v>0</v>
      </c>
      <c r="AH12" s="7">
        <v>0</v>
      </c>
      <c r="AI12">
        <v>0</v>
      </c>
      <c r="AJ12" s="7">
        <v>0</v>
      </c>
      <c r="AK12">
        <v>0</v>
      </c>
      <c r="AL12" s="7">
        <v>0</v>
      </c>
      <c r="AM12" s="1">
        <v>3618</v>
      </c>
      <c r="AN12" s="7">
        <v>0</v>
      </c>
      <c r="AO12">
        <v>0</v>
      </c>
      <c r="AP12" s="7">
        <v>0</v>
      </c>
      <c r="AQ12">
        <v>861</v>
      </c>
      <c r="AR12" s="7">
        <v>0</v>
      </c>
      <c r="AS12">
        <v>485</v>
      </c>
      <c r="AT12" s="7">
        <v>0</v>
      </c>
      <c r="AU12" s="1">
        <v>23196</v>
      </c>
      <c r="AV12" s="7">
        <v>0</v>
      </c>
      <c r="AW12">
        <v>0</v>
      </c>
      <c r="AX12" s="7">
        <v>0</v>
      </c>
      <c r="AY12">
        <v>0</v>
      </c>
      <c r="AZ12" s="7">
        <v>0</v>
      </c>
      <c r="BA12">
        <v>331</v>
      </c>
      <c r="BB12" s="7">
        <v>0</v>
      </c>
      <c r="BC12">
        <v>414</v>
      </c>
      <c r="BD12" s="7">
        <v>0</v>
      </c>
      <c r="BE12">
        <v>0</v>
      </c>
      <c r="BF12" s="7">
        <v>0</v>
      </c>
      <c r="BG12">
        <v>0</v>
      </c>
      <c r="BH12" s="7">
        <v>0</v>
      </c>
      <c r="BI12">
        <v>0</v>
      </c>
      <c r="BJ12" s="7">
        <v>0</v>
      </c>
      <c r="BK12">
        <v>0</v>
      </c>
      <c r="BL12" s="7">
        <v>0</v>
      </c>
      <c r="BM12" s="1">
        <v>1940</v>
      </c>
      <c r="BN12" s="7">
        <v>0</v>
      </c>
      <c r="BO12">
        <v>0</v>
      </c>
      <c r="BP12" s="7">
        <v>0</v>
      </c>
      <c r="BQ12">
        <v>0</v>
      </c>
      <c r="BR12" s="7">
        <v>0</v>
      </c>
      <c r="BS12">
        <v>0</v>
      </c>
      <c r="BT12" s="7">
        <v>0</v>
      </c>
      <c r="BU12">
        <v>0</v>
      </c>
      <c r="BV12" s="7">
        <v>0</v>
      </c>
      <c r="BW12">
        <v>0</v>
      </c>
      <c r="BX12" s="7">
        <v>0</v>
      </c>
      <c r="BY12">
        <v>0</v>
      </c>
      <c r="BZ12" s="7">
        <v>0</v>
      </c>
      <c r="CA12">
        <v>0</v>
      </c>
      <c r="CB12" s="7">
        <v>0</v>
      </c>
      <c r="CC12">
        <v>0</v>
      </c>
      <c r="CD12" s="7">
        <v>0</v>
      </c>
      <c r="CE12">
        <v>0</v>
      </c>
      <c r="CF12" s="7">
        <v>0</v>
      </c>
      <c r="CG12">
        <v>0</v>
      </c>
      <c r="CH12" s="7">
        <v>0</v>
      </c>
      <c r="CI12">
        <v>0</v>
      </c>
      <c r="CJ12" s="7">
        <v>0</v>
      </c>
      <c r="CK12">
        <v>0</v>
      </c>
      <c r="CL12" s="7">
        <v>0</v>
      </c>
      <c r="CM12">
        <v>0</v>
      </c>
      <c r="CN12" s="7">
        <v>0</v>
      </c>
      <c r="CO12">
        <v>0</v>
      </c>
      <c r="CP12" s="7">
        <v>0</v>
      </c>
      <c r="CQ12">
        <v>0</v>
      </c>
      <c r="CR12" s="7">
        <v>0</v>
      </c>
      <c r="CS12">
        <v>0</v>
      </c>
      <c r="CT12" s="7">
        <v>0</v>
      </c>
      <c r="CU12" s="1">
        <v>1068</v>
      </c>
      <c r="CV12" s="7">
        <v>0</v>
      </c>
      <c r="CW12">
        <v>0</v>
      </c>
      <c r="CX12" s="7">
        <v>0</v>
      </c>
      <c r="CY12">
        <v>0</v>
      </c>
      <c r="CZ12" s="7">
        <v>0</v>
      </c>
      <c r="DA12">
        <v>0</v>
      </c>
      <c r="DB12" s="7">
        <v>0</v>
      </c>
      <c r="DC12">
        <v>0</v>
      </c>
      <c r="DD12" s="7">
        <v>0</v>
      </c>
      <c r="DE12">
        <v>532</v>
      </c>
      <c r="DF12" s="7">
        <v>0</v>
      </c>
      <c r="DG12">
        <v>0</v>
      </c>
      <c r="DH12" s="7">
        <v>0</v>
      </c>
      <c r="DI12">
        <v>0</v>
      </c>
      <c r="DJ12" s="7">
        <v>0</v>
      </c>
      <c r="DK12">
        <v>0</v>
      </c>
      <c r="DL12" s="7">
        <v>0</v>
      </c>
      <c r="DM12">
        <v>0</v>
      </c>
      <c r="DN12" s="7">
        <v>0</v>
      </c>
      <c r="DO12">
        <v>386</v>
      </c>
      <c r="DP12" s="7">
        <v>0</v>
      </c>
      <c r="DQ12">
        <v>0</v>
      </c>
      <c r="DR12" s="7">
        <v>0</v>
      </c>
      <c r="DS12">
        <v>0</v>
      </c>
      <c r="DT12" s="7">
        <v>0</v>
      </c>
      <c r="DU12">
        <v>0</v>
      </c>
      <c r="DV12" s="7">
        <v>0</v>
      </c>
      <c r="DW12">
        <v>0</v>
      </c>
      <c r="DX12" s="7">
        <v>0</v>
      </c>
      <c r="DY12">
        <v>0</v>
      </c>
      <c r="DZ12" s="7">
        <v>0</v>
      </c>
      <c r="EA12">
        <v>0</v>
      </c>
      <c r="EB12" s="7">
        <v>0</v>
      </c>
      <c r="EC12">
        <v>0</v>
      </c>
      <c r="ED12" s="7">
        <v>0</v>
      </c>
    </row>
    <row r="13" spans="1:134" x14ac:dyDescent="0.25">
      <c r="A13" s="1">
        <v>186211</v>
      </c>
      <c r="B13" s="7">
        <v>3</v>
      </c>
      <c r="C13" s="1">
        <v>129945</v>
      </c>
      <c r="D13" s="7">
        <v>2</v>
      </c>
      <c r="E13" s="1">
        <v>88788</v>
      </c>
      <c r="F13" s="7">
        <v>1</v>
      </c>
      <c r="G13" s="1">
        <v>89301</v>
      </c>
      <c r="H13" s="7">
        <v>1</v>
      </c>
      <c r="I13">
        <v>0</v>
      </c>
      <c r="J13" s="7">
        <v>0</v>
      </c>
      <c r="K13" s="1">
        <v>37374</v>
      </c>
      <c r="L13" s="7">
        <v>0</v>
      </c>
      <c r="M13">
        <v>0</v>
      </c>
      <c r="N13" s="7">
        <v>0</v>
      </c>
      <c r="O13">
        <v>0</v>
      </c>
      <c r="P13" s="7">
        <v>0</v>
      </c>
      <c r="Q13">
        <v>0</v>
      </c>
      <c r="R13" s="7">
        <v>0</v>
      </c>
      <c r="S13">
        <v>0</v>
      </c>
      <c r="T13" s="7">
        <v>0</v>
      </c>
      <c r="U13" s="1">
        <v>12732</v>
      </c>
      <c r="V13" s="7">
        <v>0</v>
      </c>
      <c r="W13">
        <v>0</v>
      </c>
      <c r="X13" s="7">
        <v>0</v>
      </c>
      <c r="Y13">
        <v>0</v>
      </c>
      <c r="Z13" s="7">
        <v>0</v>
      </c>
      <c r="AA13">
        <v>0</v>
      </c>
      <c r="AB13" s="7">
        <v>0</v>
      </c>
      <c r="AC13">
        <v>0</v>
      </c>
      <c r="AD13" s="7">
        <v>0</v>
      </c>
      <c r="AE13">
        <v>0</v>
      </c>
      <c r="AF13" s="7">
        <v>0</v>
      </c>
      <c r="AG13">
        <v>0</v>
      </c>
      <c r="AH13" s="7">
        <v>0</v>
      </c>
      <c r="AI13">
        <v>0</v>
      </c>
      <c r="AJ13" s="7">
        <v>0</v>
      </c>
      <c r="AK13">
        <v>0</v>
      </c>
      <c r="AL13" s="7">
        <v>0</v>
      </c>
      <c r="AM13" s="1">
        <v>4412</v>
      </c>
      <c r="AN13" s="7">
        <v>0</v>
      </c>
      <c r="AO13">
        <v>0</v>
      </c>
      <c r="AP13" s="7">
        <v>0</v>
      </c>
      <c r="AQ13">
        <v>732</v>
      </c>
      <c r="AR13" s="7">
        <v>0</v>
      </c>
      <c r="AS13">
        <v>487</v>
      </c>
      <c r="AT13" s="7">
        <v>0</v>
      </c>
      <c r="AU13">
        <v>0</v>
      </c>
      <c r="AV13" s="7">
        <v>0</v>
      </c>
      <c r="AW13">
        <v>0</v>
      </c>
      <c r="AX13" s="7">
        <v>0</v>
      </c>
      <c r="AY13">
        <v>0</v>
      </c>
      <c r="AZ13" s="7">
        <v>0</v>
      </c>
      <c r="BA13">
        <v>626</v>
      </c>
      <c r="BB13" s="7">
        <v>0</v>
      </c>
      <c r="BC13">
        <v>843</v>
      </c>
      <c r="BD13" s="7">
        <v>0</v>
      </c>
      <c r="BE13">
        <v>0</v>
      </c>
      <c r="BF13" s="7">
        <v>0</v>
      </c>
      <c r="BG13">
        <v>0</v>
      </c>
      <c r="BH13" s="7">
        <v>0</v>
      </c>
      <c r="BI13">
        <v>0</v>
      </c>
      <c r="BJ13" s="7">
        <v>0</v>
      </c>
      <c r="BK13">
        <v>0</v>
      </c>
      <c r="BL13" s="7">
        <v>0</v>
      </c>
      <c r="BM13">
        <v>0</v>
      </c>
      <c r="BN13" s="7">
        <v>0</v>
      </c>
      <c r="BO13">
        <v>0</v>
      </c>
      <c r="BP13" s="7">
        <v>0</v>
      </c>
      <c r="BQ13">
        <v>0</v>
      </c>
      <c r="BR13" s="7">
        <v>0</v>
      </c>
      <c r="BS13">
        <v>0</v>
      </c>
      <c r="BT13" s="7">
        <v>0</v>
      </c>
      <c r="BU13">
        <v>0</v>
      </c>
      <c r="BV13" s="7">
        <v>0</v>
      </c>
      <c r="BW13">
        <v>366</v>
      </c>
      <c r="BX13" s="7">
        <v>0</v>
      </c>
      <c r="BY13">
        <v>0</v>
      </c>
      <c r="BZ13" s="7">
        <v>0</v>
      </c>
      <c r="CA13">
        <v>0</v>
      </c>
      <c r="CB13" s="7">
        <v>0</v>
      </c>
      <c r="CC13">
        <v>0</v>
      </c>
      <c r="CD13" s="7">
        <v>0</v>
      </c>
      <c r="CE13">
        <v>0</v>
      </c>
      <c r="CF13" s="7">
        <v>0</v>
      </c>
      <c r="CG13">
        <v>0</v>
      </c>
      <c r="CH13" s="7">
        <v>0</v>
      </c>
      <c r="CI13">
        <v>0</v>
      </c>
      <c r="CJ13" s="7">
        <v>0</v>
      </c>
      <c r="CK13">
        <v>0</v>
      </c>
      <c r="CL13" s="7">
        <v>0</v>
      </c>
      <c r="CM13">
        <v>0</v>
      </c>
      <c r="CN13" s="7">
        <v>0</v>
      </c>
      <c r="CO13">
        <v>0</v>
      </c>
      <c r="CP13" s="7">
        <v>0</v>
      </c>
      <c r="CQ13">
        <v>0</v>
      </c>
      <c r="CR13" s="7">
        <v>0</v>
      </c>
      <c r="CS13">
        <v>0</v>
      </c>
      <c r="CT13" s="7">
        <v>0</v>
      </c>
      <c r="CU13">
        <v>0</v>
      </c>
      <c r="CV13" s="7">
        <v>0</v>
      </c>
      <c r="CW13">
        <v>0</v>
      </c>
      <c r="CX13" s="7">
        <v>0</v>
      </c>
      <c r="CY13">
        <v>0</v>
      </c>
      <c r="CZ13" s="7">
        <v>0</v>
      </c>
      <c r="DA13">
        <v>887</v>
      </c>
      <c r="DB13" s="7">
        <v>0</v>
      </c>
      <c r="DC13">
        <v>0</v>
      </c>
      <c r="DD13" s="7">
        <v>0</v>
      </c>
      <c r="DE13">
        <v>0</v>
      </c>
      <c r="DF13" s="7">
        <v>0</v>
      </c>
      <c r="DG13">
        <v>0</v>
      </c>
      <c r="DH13" s="7">
        <v>0</v>
      </c>
      <c r="DI13">
        <v>0</v>
      </c>
      <c r="DJ13" s="7">
        <v>0</v>
      </c>
      <c r="DK13">
        <v>0</v>
      </c>
      <c r="DL13" s="7">
        <v>0</v>
      </c>
      <c r="DM13">
        <v>0</v>
      </c>
      <c r="DN13" s="7">
        <v>0</v>
      </c>
      <c r="DO13">
        <v>0</v>
      </c>
      <c r="DP13" s="7">
        <v>0</v>
      </c>
      <c r="DQ13">
        <v>0</v>
      </c>
      <c r="DR13" s="7">
        <v>0</v>
      </c>
      <c r="DS13">
        <v>0</v>
      </c>
      <c r="DT13" s="7">
        <v>0</v>
      </c>
      <c r="DU13">
        <v>0</v>
      </c>
      <c r="DV13" s="7">
        <v>0</v>
      </c>
      <c r="DW13">
        <v>0</v>
      </c>
      <c r="DX13" s="7">
        <v>0</v>
      </c>
      <c r="DY13">
        <v>0</v>
      </c>
      <c r="DZ13" s="7">
        <v>0</v>
      </c>
      <c r="EA13">
        <v>0</v>
      </c>
      <c r="EB13" s="7">
        <v>0</v>
      </c>
      <c r="EC13">
        <v>0</v>
      </c>
      <c r="ED13" s="7">
        <v>0</v>
      </c>
    </row>
    <row r="14" spans="1:134" x14ac:dyDescent="0.25">
      <c r="A14" s="1">
        <v>115567</v>
      </c>
      <c r="B14" s="7">
        <v>2</v>
      </c>
      <c r="C14" s="1">
        <v>103722</v>
      </c>
      <c r="D14" s="7">
        <v>2</v>
      </c>
      <c r="E14" s="1">
        <v>77520</v>
      </c>
      <c r="F14" s="7">
        <v>2</v>
      </c>
      <c r="G14" s="1">
        <v>82225</v>
      </c>
      <c r="H14" s="7">
        <v>2</v>
      </c>
      <c r="I14">
        <v>0</v>
      </c>
      <c r="J14" s="7">
        <v>0</v>
      </c>
      <c r="K14" s="1">
        <v>33451</v>
      </c>
      <c r="L14" s="7">
        <v>0</v>
      </c>
      <c r="M14">
        <v>0</v>
      </c>
      <c r="N14" s="7">
        <v>0</v>
      </c>
      <c r="O14">
        <v>0</v>
      </c>
      <c r="P14" s="7">
        <v>0</v>
      </c>
      <c r="Q14">
        <v>0</v>
      </c>
      <c r="R14" s="7">
        <v>0</v>
      </c>
      <c r="S14">
        <v>0</v>
      </c>
      <c r="T14" s="7">
        <v>0</v>
      </c>
      <c r="U14">
        <v>0</v>
      </c>
      <c r="V14" s="7">
        <v>0</v>
      </c>
      <c r="W14">
        <v>0</v>
      </c>
      <c r="X14" s="7">
        <v>0</v>
      </c>
      <c r="Y14">
        <v>0</v>
      </c>
      <c r="Z14" s="7">
        <v>0</v>
      </c>
      <c r="AA14">
        <v>0</v>
      </c>
      <c r="AB14" s="7">
        <v>0</v>
      </c>
      <c r="AC14">
        <v>0</v>
      </c>
      <c r="AD14" s="7">
        <v>0</v>
      </c>
      <c r="AE14">
        <v>0</v>
      </c>
      <c r="AF14" s="7">
        <v>0</v>
      </c>
      <c r="AG14">
        <v>0</v>
      </c>
      <c r="AH14" s="7">
        <v>0</v>
      </c>
      <c r="AI14">
        <v>0</v>
      </c>
      <c r="AJ14" s="7">
        <v>0</v>
      </c>
      <c r="AK14">
        <v>0</v>
      </c>
      <c r="AL14" s="7">
        <v>0</v>
      </c>
      <c r="AM14" s="1">
        <v>6207</v>
      </c>
      <c r="AN14" s="7">
        <v>0</v>
      </c>
      <c r="AO14" s="1">
        <v>10652</v>
      </c>
      <c r="AP14" s="7">
        <v>0</v>
      </c>
      <c r="AQ14">
        <v>947</v>
      </c>
      <c r="AR14" s="7">
        <v>0</v>
      </c>
      <c r="AS14">
        <v>573</v>
      </c>
      <c r="AT14" s="7">
        <v>0</v>
      </c>
      <c r="AU14">
        <v>0</v>
      </c>
      <c r="AV14" s="7">
        <v>0</v>
      </c>
      <c r="AW14" s="1">
        <v>18295</v>
      </c>
      <c r="AX14" s="7">
        <v>0</v>
      </c>
      <c r="AY14">
        <v>0</v>
      </c>
      <c r="AZ14" s="7">
        <v>0</v>
      </c>
      <c r="BA14">
        <v>0</v>
      </c>
      <c r="BB14" s="7">
        <v>0</v>
      </c>
      <c r="BC14">
        <v>0</v>
      </c>
      <c r="BD14" s="7">
        <v>0</v>
      </c>
      <c r="BE14">
        <v>0</v>
      </c>
      <c r="BF14" s="7">
        <v>0</v>
      </c>
      <c r="BG14">
        <v>0</v>
      </c>
      <c r="BH14" s="7">
        <v>0</v>
      </c>
      <c r="BI14">
        <v>0</v>
      </c>
      <c r="BJ14" s="7">
        <v>0</v>
      </c>
      <c r="BK14">
        <v>0</v>
      </c>
      <c r="BL14" s="7">
        <v>0</v>
      </c>
      <c r="BM14">
        <v>0</v>
      </c>
      <c r="BN14" s="7">
        <v>0</v>
      </c>
      <c r="BO14">
        <v>0</v>
      </c>
      <c r="BP14" s="7">
        <v>0</v>
      </c>
      <c r="BQ14">
        <v>0</v>
      </c>
      <c r="BR14" s="7">
        <v>0</v>
      </c>
      <c r="BS14">
        <v>0</v>
      </c>
      <c r="BT14" s="7">
        <v>0</v>
      </c>
      <c r="BU14">
        <v>0</v>
      </c>
      <c r="BV14" s="7">
        <v>0</v>
      </c>
      <c r="BW14">
        <v>0</v>
      </c>
      <c r="BX14" s="7">
        <v>0</v>
      </c>
      <c r="BY14">
        <v>0</v>
      </c>
      <c r="BZ14" s="7">
        <v>0</v>
      </c>
      <c r="CA14">
        <v>0</v>
      </c>
      <c r="CB14" s="7">
        <v>0</v>
      </c>
      <c r="CC14">
        <v>0</v>
      </c>
      <c r="CD14" s="7">
        <v>0</v>
      </c>
      <c r="CE14">
        <v>0</v>
      </c>
      <c r="CF14" s="7">
        <v>0</v>
      </c>
      <c r="CG14">
        <v>0</v>
      </c>
      <c r="CH14" s="7">
        <v>0</v>
      </c>
      <c r="CI14">
        <v>0</v>
      </c>
      <c r="CJ14" s="7">
        <v>0</v>
      </c>
      <c r="CK14">
        <v>0</v>
      </c>
      <c r="CL14" s="7">
        <v>0</v>
      </c>
      <c r="CM14">
        <v>0</v>
      </c>
      <c r="CN14" s="7">
        <v>0</v>
      </c>
      <c r="CO14">
        <v>0</v>
      </c>
      <c r="CP14" s="7">
        <v>0</v>
      </c>
      <c r="CQ14">
        <v>0</v>
      </c>
      <c r="CR14" s="7">
        <v>0</v>
      </c>
      <c r="CS14">
        <v>372</v>
      </c>
      <c r="CT14" s="7">
        <v>0</v>
      </c>
      <c r="CU14">
        <v>0</v>
      </c>
      <c r="CV14" s="7">
        <v>0</v>
      </c>
      <c r="CW14">
        <v>0</v>
      </c>
      <c r="CX14" s="7">
        <v>0</v>
      </c>
      <c r="CY14">
        <v>0</v>
      </c>
      <c r="CZ14" s="7">
        <v>0</v>
      </c>
      <c r="DA14">
        <v>0</v>
      </c>
      <c r="DB14" s="7">
        <v>0</v>
      </c>
      <c r="DC14">
        <v>0</v>
      </c>
      <c r="DD14" s="7">
        <v>0</v>
      </c>
      <c r="DE14">
        <v>0</v>
      </c>
      <c r="DF14" s="7">
        <v>0</v>
      </c>
      <c r="DG14">
        <v>0</v>
      </c>
      <c r="DH14" s="7">
        <v>0</v>
      </c>
      <c r="DI14">
        <v>0</v>
      </c>
      <c r="DJ14" s="7">
        <v>0</v>
      </c>
      <c r="DK14">
        <v>0</v>
      </c>
      <c r="DL14" s="7">
        <v>0</v>
      </c>
      <c r="DM14">
        <v>0</v>
      </c>
      <c r="DN14" s="7">
        <v>0</v>
      </c>
      <c r="DO14">
        <v>0</v>
      </c>
      <c r="DP14" s="7">
        <v>0</v>
      </c>
      <c r="DQ14">
        <v>0</v>
      </c>
      <c r="DR14" s="7">
        <v>0</v>
      </c>
      <c r="DS14">
        <v>0</v>
      </c>
      <c r="DT14" s="7">
        <v>0</v>
      </c>
      <c r="DU14">
        <v>0</v>
      </c>
      <c r="DV14" s="7">
        <v>0</v>
      </c>
      <c r="DW14">
        <v>0</v>
      </c>
      <c r="DX14" s="7">
        <v>0</v>
      </c>
      <c r="DY14">
        <v>0</v>
      </c>
      <c r="DZ14" s="7">
        <v>0</v>
      </c>
      <c r="EA14">
        <v>0</v>
      </c>
      <c r="EB14" s="7">
        <v>0</v>
      </c>
      <c r="EC14">
        <v>0</v>
      </c>
      <c r="ED14" s="7">
        <v>0</v>
      </c>
    </row>
    <row r="15" spans="1:134" x14ac:dyDescent="0.25">
      <c r="A15" s="1">
        <v>141078</v>
      </c>
      <c r="B15" s="7">
        <v>3</v>
      </c>
      <c r="C15" s="1">
        <v>103375</v>
      </c>
      <c r="D15" s="7">
        <v>2</v>
      </c>
      <c r="E15" s="1">
        <v>64515</v>
      </c>
      <c r="F15" s="7">
        <v>1</v>
      </c>
      <c r="G15" s="1">
        <v>74648</v>
      </c>
      <c r="H15" s="7">
        <v>1</v>
      </c>
      <c r="I15">
        <v>0</v>
      </c>
      <c r="J15" s="7">
        <v>0</v>
      </c>
      <c r="K15" s="1">
        <v>28018</v>
      </c>
      <c r="L15" s="7">
        <v>0</v>
      </c>
      <c r="M15">
        <v>0</v>
      </c>
      <c r="N15" s="7">
        <v>0</v>
      </c>
      <c r="O15">
        <v>0</v>
      </c>
      <c r="P15" s="7">
        <v>0</v>
      </c>
      <c r="Q15">
        <v>0</v>
      </c>
      <c r="R15" s="7">
        <v>0</v>
      </c>
      <c r="S15">
        <v>0</v>
      </c>
      <c r="T15" s="7">
        <v>0</v>
      </c>
      <c r="U15" s="1">
        <v>8389</v>
      </c>
      <c r="V15" s="7">
        <v>0</v>
      </c>
      <c r="W15">
        <v>0</v>
      </c>
      <c r="X15" s="7">
        <v>0</v>
      </c>
      <c r="Y15">
        <v>0</v>
      </c>
      <c r="Z15" s="7">
        <v>0</v>
      </c>
      <c r="AA15" s="1">
        <v>48028</v>
      </c>
      <c r="AB15" s="7">
        <v>1</v>
      </c>
      <c r="AC15">
        <v>0</v>
      </c>
      <c r="AD15" s="7">
        <v>0</v>
      </c>
      <c r="AE15">
        <v>0</v>
      </c>
      <c r="AF15" s="7">
        <v>0</v>
      </c>
      <c r="AG15">
        <v>0</v>
      </c>
      <c r="AH15" s="7">
        <v>0</v>
      </c>
      <c r="AI15">
        <v>0</v>
      </c>
      <c r="AJ15" s="7">
        <v>0</v>
      </c>
      <c r="AK15">
        <v>0</v>
      </c>
      <c r="AL15" s="7">
        <v>0</v>
      </c>
      <c r="AM15" s="1">
        <v>5796</v>
      </c>
      <c r="AN15" s="7">
        <v>0</v>
      </c>
      <c r="AO15">
        <v>0</v>
      </c>
      <c r="AP15" s="7">
        <v>0</v>
      </c>
      <c r="AQ15">
        <v>505</v>
      </c>
      <c r="AR15" s="7">
        <v>0</v>
      </c>
      <c r="AS15">
        <v>552</v>
      </c>
      <c r="AT15" s="7">
        <v>0</v>
      </c>
      <c r="AU15">
        <v>0</v>
      </c>
      <c r="AV15" s="7">
        <v>0</v>
      </c>
      <c r="AW15">
        <v>0</v>
      </c>
      <c r="AX15" s="7">
        <v>0</v>
      </c>
      <c r="AY15">
        <v>0</v>
      </c>
      <c r="AZ15" s="7">
        <v>0</v>
      </c>
      <c r="BA15">
        <v>728</v>
      </c>
      <c r="BB15" s="7">
        <v>0</v>
      </c>
      <c r="BC15">
        <v>0</v>
      </c>
      <c r="BD15" s="7">
        <v>0</v>
      </c>
      <c r="BE15">
        <v>0</v>
      </c>
      <c r="BF15" s="7">
        <v>0</v>
      </c>
      <c r="BG15">
        <v>0</v>
      </c>
      <c r="BH15" s="7">
        <v>0</v>
      </c>
      <c r="BI15">
        <v>0</v>
      </c>
      <c r="BJ15" s="7">
        <v>0</v>
      </c>
      <c r="BK15">
        <v>0</v>
      </c>
      <c r="BL15" s="7">
        <v>0</v>
      </c>
      <c r="BM15">
        <v>0</v>
      </c>
      <c r="BN15" s="7">
        <v>0</v>
      </c>
      <c r="BO15">
        <v>0</v>
      </c>
      <c r="BP15" s="7">
        <v>0</v>
      </c>
      <c r="BQ15">
        <v>0</v>
      </c>
      <c r="BR15" s="7">
        <v>0</v>
      </c>
      <c r="BS15">
        <v>0</v>
      </c>
      <c r="BT15" s="7">
        <v>0</v>
      </c>
      <c r="BU15" s="1">
        <v>1864</v>
      </c>
      <c r="BV15" s="7">
        <v>0</v>
      </c>
      <c r="BW15">
        <v>276</v>
      </c>
      <c r="BX15" s="7">
        <v>0</v>
      </c>
      <c r="BY15">
        <v>0</v>
      </c>
      <c r="BZ15" s="7">
        <v>0</v>
      </c>
      <c r="CA15">
        <v>0</v>
      </c>
      <c r="CB15" s="7">
        <v>0</v>
      </c>
      <c r="CC15">
        <v>0</v>
      </c>
      <c r="CD15" s="7">
        <v>0</v>
      </c>
      <c r="CE15">
        <v>0</v>
      </c>
      <c r="CF15" s="7">
        <v>0</v>
      </c>
      <c r="CG15" s="1">
        <v>1110</v>
      </c>
      <c r="CH15" s="7">
        <v>0</v>
      </c>
      <c r="CI15">
        <v>358</v>
      </c>
      <c r="CJ15" s="7">
        <v>0</v>
      </c>
      <c r="CK15">
        <v>0</v>
      </c>
      <c r="CL15" s="7">
        <v>0</v>
      </c>
      <c r="CM15">
        <v>0</v>
      </c>
      <c r="CN15" s="7">
        <v>0</v>
      </c>
      <c r="CO15">
        <v>0</v>
      </c>
      <c r="CP15" s="7">
        <v>0</v>
      </c>
      <c r="CQ15">
        <v>713</v>
      </c>
      <c r="CR15" s="7">
        <v>0</v>
      </c>
      <c r="CS15">
        <v>0</v>
      </c>
      <c r="CT15" s="7">
        <v>0</v>
      </c>
      <c r="CU15">
        <v>0</v>
      </c>
      <c r="CV15" s="7">
        <v>0</v>
      </c>
      <c r="CW15">
        <v>0</v>
      </c>
      <c r="CX15" s="7">
        <v>0</v>
      </c>
      <c r="CY15">
        <v>0</v>
      </c>
      <c r="CZ15" s="7">
        <v>0</v>
      </c>
      <c r="DA15">
        <v>0</v>
      </c>
      <c r="DB15" s="7">
        <v>0</v>
      </c>
      <c r="DC15">
        <v>0</v>
      </c>
      <c r="DD15" s="7">
        <v>0</v>
      </c>
      <c r="DE15">
        <v>0</v>
      </c>
      <c r="DF15" s="7">
        <v>0</v>
      </c>
      <c r="DG15">
        <v>0</v>
      </c>
      <c r="DH15" s="7">
        <v>0</v>
      </c>
      <c r="DI15">
        <v>0</v>
      </c>
      <c r="DJ15" s="7">
        <v>0</v>
      </c>
      <c r="DK15">
        <v>0</v>
      </c>
      <c r="DL15" s="7">
        <v>0</v>
      </c>
      <c r="DM15">
        <v>0</v>
      </c>
      <c r="DN15" s="7">
        <v>0</v>
      </c>
      <c r="DO15">
        <v>0</v>
      </c>
      <c r="DP15" s="7">
        <v>0</v>
      </c>
      <c r="DQ15">
        <v>0</v>
      </c>
      <c r="DR15" s="7">
        <v>0</v>
      </c>
      <c r="DS15">
        <v>0</v>
      </c>
      <c r="DT15" s="7">
        <v>0</v>
      </c>
      <c r="DU15">
        <v>0</v>
      </c>
      <c r="DV15" s="7">
        <v>0</v>
      </c>
      <c r="DW15">
        <v>0</v>
      </c>
      <c r="DX15" s="7">
        <v>0</v>
      </c>
      <c r="DY15">
        <v>0</v>
      </c>
      <c r="DZ15" s="7">
        <v>0</v>
      </c>
      <c r="EA15">
        <v>0</v>
      </c>
      <c r="EB15" s="7">
        <v>0</v>
      </c>
      <c r="EC15">
        <v>0</v>
      </c>
      <c r="ED15" s="7">
        <v>0</v>
      </c>
    </row>
    <row r="16" spans="1:134" x14ac:dyDescent="0.25">
      <c r="A16" s="1">
        <v>132518</v>
      </c>
      <c r="B16" s="7">
        <v>2</v>
      </c>
      <c r="C16" s="1">
        <v>93434</v>
      </c>
      <c r="D16" s="7">
        <v>2</v>
      </c>
      <c r="E16" s="1">
        <v>53491</v>
      </c>
      <c r="F16" s="7">
        <v>1</v>
      </c>
      <c r="G16" s="1">
        <v>64613</v>
      </c>
      <c r="H16" s="7">
        <v>1</v>
      </c>
      <c r="I16">
        <v>0</v>
      </c>
      <c r="J16" s="7">
        <v>0</v>
      </c>
      <c r="K16" s="1">
        <v>22979</v>
      </c>
      <c r="L16" s="7">
        <v>0</v>
      </c>
      <c r="M16">
        <v>0</v>
      </c>
      <c r="N16" s="7">
        <v>0</v>
      </c>
      <c r="O16">
        <v>0</v>
      </c>
      <c r="P16" s="7">
        <v>0</v>
      </c>
      <c r="Q16">
        <v>0</v>
      </c>
      <c r="R16" s="7">
        <v>0</v>
      </c>
      <c r="S16">
        <v>0</v>
      </c>
      <c r="T16" s="7">
        <v>0</v>
      </c>
      <c r="U16" s="1">
        <v>6583</v>
      </c>
      <c r="V16" s="7">
        <v>0</v>
      </c>
      <c r="W16">
        <v>0</v>
      </c>
      <c r="X16" s="7">
        <v>0</v>
      </c>
      <c r="Y16">
        <v>0</v>
      </c>
      <c r="Z16" s="7">
        <v>0</v>
      </c>
      <c r="AA16" s="1">
        <v>76261</v>
      </c>
      <c r="AB16" s="7">
        <v>1</v>
      </c>
      <c r="AC16">
        <v>0</v>
      </c>
      <c r="AD16" s="7">
        <v>0</v>
      </c>
      <c r="AE16">
        <v>0</v>
      </c>
      <c r="AF16" s="7">
        <v>0</v>
      </c>
      <c r="AG16">
        <v>0</v>
      </c>
      <c r="AH16" s="7">
        <v>0</v>
      </c>
      <c r="AI16">
        <v>0</v>
      </c>
      <c r="AJ16" s="7">
        <v>0</v>
      </c>
      <c r="AK16">
        <v>0</v>
      </c>
      <c r="AL16" s="7">
        <v>0</v>
      </c>
      <c r="AM16" s="1">
        <v>6150</v>
      </c>
      <c r="AN16" s="7">
        <v>0</v>
      </c>
      <c r="AO16">
        <v>0</v>
      </c>
      <c r="AP16" s="7">
        <v>0</v>
      </c>
      <c r="AQ16">
        <v>489</v>
      </c>
      <c r="AR16" s="7">
        <v>0</v>
      </c>
      <c r="AS16">
        <v>319</v>
      </c>
      <c r="AT16" s="7">
        <v>0</v>
      </c>
      <c r="AU16">
        <v>0</v>
      </c>
      <c r="AV16" s="7">
        <v>0</v>
      </c>
      <c r="AW16">
        <v>0</v>
      </c>
      <c r="AX16" s="7">
        <v>0</v>
      </c>
      <c r="AY16">
        <v>0</v>
      </c>
      <c r="AZ16" s="7">
        <v>0</v>
      </c>
      <c r="BA16">
        <v>464</v>
      </c>
      <c r="BB16" s="7">
        <v>0</v>
      </c>
      <c r="BC16">
        <v>0</v>
      </c>
      <c r="BD16" s="7">
        <v>0</v>
      </c>
      <c r="BE16">
        <v>0</v>
      </c>
      <c r="BF16" s="7">
        <v>0</v>
      </c>
      <c r="BG16">
        <v>0</v>
      </c>
      <c r="BH16" s="7">
        <v>0</v>
      </c>
      <c r="BI16">
        <v>0</v>
      </c>
      <c r="BJ16" s="7">
        <v>0</v>
      </c>
      <c r="BK16">
        <v>0</v>
      </c>
      <c r="BL16" s="7">
        <v>0</v>
      </c>
      <c r="BM16">
        <v>418</v>
      </c>
      <c r="BN16" s="7">
        <v>0</v>
      </c>
      <c r="BO16">
        <v>0</v>
      </c>
      <c r="BP16" s="7">
        <v>0</v>
      </c>
      <c r="BQ16">
        <v>0</v>
      </c>
      <c r="BR16" s="7">
        <v>0</v>
      </c>
      <c r="BS16">
        <v>0</v>
      </c>
      <c r="BT16" s="7">
        <v>0</v>
      </c>
      <c r="BU16" s="1">
        <v>1322</v>
      </c>
      <c r="BV16" s="7">
        <v>0</v>
      </c>
      <c r="BW16">
        <v>0</v>
      </c>
      <c r="BX16" s="7">
        <v>0</v>
      </c>
      <c r="BY16">
        <v>0</v>
      </c>
      <c r="BZ16" s="7">
        <v>0</v>
      </c>
      <c r="CA16">
        <v>0</v>
      </c>
      <c r="CB16" s="7">
        <v>0</v>
      </c>
      <c r="CC16">
        <v>0</v>
      </c>
      <c r="CD16" s="7">
        <v>0</v>
      </c>
      <c r="CE16">
        <v>0</v>
      </c>
      <c r="CF16" s="7">
        <v>0</v>
      </c>
      <c r="CG16">
        <v>922</v>
      </c>
      <c r="CH16" s="7">
        <v>0</v>
      </c>
      <c r="CI16">
        <v>236</v>
      </c>
      <c r="CJ16" s="7">
        <v>0</v>
      </c>
      <c r="CK16">
        <v>0</v>
      </c>
      <c r="CL16" s="7">
        <v>0</v>
      </c>
      <c r="CM16">
        <v>0</v>
      </c>
      <c r="CN16" s="7">
        <v>0</v>
      </c>
      <c r="CO16">
        <v>0</v>
      </c>
      <c r="CP16" s="7">
        <v>0</v>
      </c>
      <c r="CQ16">
        <v>0</v>
      </c>
      <c r="CR16" s="7">
        <v>0</v>
      </c>
      <c r="CS16">
        <v>0</v>
      </c>
      <c r="CT16" s="7">
        <v>0</v>
      </c>
      <c r="CU16">
        <v>0</v>
      </c>
      <c r="CV16" s="7">
        <v>0</v>
      </c>
      <c r="CW16">
        <v>0</v>
      </c>
      <c r="CX16" s="7">
        <v>0</v>
      </c>
      <c r="CY16">
        <v>0</v>
      </c>
      <c r="CZ16" s="7">
        <v>0</v>
      </c>
      <c r="DA16">
        <v>0</v>
      </c>
      <c r="DB16" s="7">
        <v>0</v>
      </c>
      <c r="DC16">
        <v>0</v>
      </c>
      <c r="DD16" s="7">
        <v>0</v>
      </c>
      <c r="DE16">
        <v>0</v>
      </c>
      <c r="DF16" s="7">
        <v>0</v>
      </c>
      <c r="DG16">
        <v>0</v>
      </c>
      <c r="DH16" s="7">
        <v>0</v>
      </c>
      <c r="DI16">
        <v>0</v>
      </c>
      <c r="DJ16" s="7">
        <v>0</v>
      </c>
      <c r="DK16">
        <v>0</v>
      </c>
      <c r="DL16" s="7">
        <v>0</v>
      </c>
      <c r="DM16">
        <v>0</v>
      </c>
      <c r="DN16" s="7">
        <v>0</v>
      </c>
      <c r="DO16">
        <v>0</v>
      </c>
      <c r="DP16" s="7">
        <v>0</v>
      </c>
      <c r="DQ16">
        <v>0</v>
      </c>
      <c r="DR16" s="7">
        <v>0</v>
      </c>
      <c r="DS16">
        <v>0</v>
      </c>
      <c r="DT16" s="7">
        <v>0</v>
      </c>
      <c r="DU16">
        <v>0</v>
      </c>
      <c r="DV16" s="7">
        <v>0</v>
      </c>
      <c r="DW16">
        <v>0</v>
      </c>
      <c r="DX16" s="7">
        <v>0</v>
      </c>
      <c r="DY16">
        <v>0</v>
      </c>
      <c r="DZ16" s="7">
        <v>0</v>
      </c>
      <c r="EA16">
        <v>0</v>
      </c>
      <c r="EB16" s="7">
        <v>0</v>
      </c>
      <c r="EC16">
        <v>0</v>
      </c>
      <c r="ED16" s="7">
        <v>0</v>
      </c>
    </row>
    <row r="17" spans="1:134" x14ac:dyDescent="0.25">
      <c r="A17" s="1">
        <v>76028</v>
      </c>
      <c r="B17" s="7">
        <v>1</v>
      </c>
      <c r="C17" s="1">
        <v>84583</v>
      </c>
      <c r="D17" s="7">
        <v>2</v>
      </c>
      <c r="E17" s="1">
        <v>48827</v>
      </c>
      <c r="F17" s="7">
        <v>1</v>
      </c>
      <c r="G17" s="1">
        <v>28376</v>
      </c>
      <c r="H17" s="7">
        <v>0</v>
      </c>
      <c r="I17">
        <v>0</v>
      </c>
      <c r="J17" s="7">
        <v>0</v>
      </c>
      <c r="K17" s="1">
        <v>15609</v>
      </c>
      <c r="L17" s="7">
        <v>0</v>
      </c>
      <c r="M17">
        <v>0</v>
      </c>
      <c r="N17" s="7">
        <v>0</v>
      </c>
      <c r="O17">
        <v>0</v>
      </c>
      <c r="P17" s="7">
        <v>0</v>
      </c>
      <c r="Q17">
        <v>0</v>
      </c>
      <c r="R17" s="7">
        <v>0</v>
      </c>
      <c r="S17">
        <v>0</v>
      </c>
      <c r="T17" s="7">
        <v>0</v>
      </c>
      <c r="U17">
        <v>0</v>
      </c>
      <c r="V17" s="7">
        <v>0</v>
      </c>
      <c r="W17">
        <v>0</v>
      </c>
      <c r="X17" s="7">
        <v>0</v>
      </c>
      <c r="Y17">
        <v>0</v>
      </c>
      <c r="Z17" s="7">
        <v>0</v>
      </c>
      <c r="AA17">
        <v>0</v>
      </c>
      <c r="AB17" s="7">
        <v>0</v>
      </c>
      <c r="AC17">
        <v>0</v>
      </c>
      <c r="AD17" s="7">
        <v>0</v>
      </c>
      <c r="AE17">
        <v>0</v>
      </c>
      <c r="AF17" s="7">
        <v>0</v>
      </c>
      <c r="AG17">
        <v>0</v>
      </c>
      <c r="AH17" s="7">
        <v>0</v>
      </c>
      <c r="AI17" s="1">
        <v>68830</v>
      </c>
      <c r="AJ17" s="7">
        <v>1</v>
      </c>
      <c r="AK17">
        <v>0</v>
      </c>
      <c r="AL17" s="7">
        <v>0</v>
      </c>
      <c r="AM17" s="1">
        <v>1856</v>
      </c>
      <c r="AN17" s="7">
        <v>0</v>
      </c>
      <c r="AO17">
        <v>0</v>
      </c>
      <c r="AP17" s="7">
        <v>0</v>
      </c>
      <c r="AQ17">
        <v>232</v>
      </c>
      <c r="AR17" s="7">
        <v>0</v>
      </c>
      <c r="AS17">
        <v>187</v>
      </c>
      <c r="AT17" s="7">
        <v>0</v>
      </c>
      <c r="AU17">
        <v>0</v>
      </c>
      <c r="AV17" s="7">
        <v>0</v>
      </c>
      <c r="AW17">
        <v>0</v>
      </c>
      <c r="AX17" s="7">
        <v>0</v>
      </c>
      <c r="AY17">
        <v>0</v>
      </c>
      <c r="AZ17" s="7">
        <v>0</v>
      </c>
      <c r="BA17">
        <v>262</v>
      </c>
      <c r="BB17" s="7">
        <v>0</v>
      </c>
      <c r="BC17">
        <v>247</v>
      </c>
      <c r="BD17" s="7">
        <v>0</v>
      </c>
      <c r="BE17">
        <v>0</v>
      </c>
      <c r="BF17" s="7">
        <v>0</v>
      </c>
      <c r="BG17">
        <v>0</v>
      </c>
      <c r="BH17" s="7">
        <v>0</v>
      </c>
      <c r="BI17">
        <v>0</v>
      </c>
      <c r="BJ17" s="7">
        <v>0</v>
      </c>
      <c r="BK17">
        <v>0</v>
      </c>
      <c r="BL17" s="7">
        <v>0</v>
      </c>
      <c r="BM17">
        <v>259</v>
      </c>
      <c r="BN17" s="7">
        <v>0</v>
      </c>
      <c r="BO17">
        <v>0</v>
      </c>
      <c r="BP17" s="7">
        <v>0</v>
      </c>
      <c r="BQ17">
        <v>0</v>
      </c>
      <c r="BR17" s="7">
        <v>0</v>
      </c>
      <c r="BS17">
        <v>0</v>
      </c>
      <c r="BT17" s="7">
        <v>0</v>
      </c>
      <c r="BU17">
        <v>0</v>
      </c>
      <c r="BV17" s="7">
        <v>0</v>
      </c>
      <c r="BW17">
        <v>0</v>
      </c>
      <c r="BX17" s="7">
        <v>0</v>
      </c>
      <c r="BY17">
        <v>0</v>
      </c>
      <c r="BZ17" s="7">
        <v>0</v>
      </c>
      <c r="CA17">
        <v>0</v>
      </c>
      <c r="CB17" s="7">
        <v>0</v>
      </c>
      <c r="CC17">
        <v>0</v>
      </c>
      <c r="CD17" s="7">
        <v>0</v>
      </c>
      <c r="CE17">
        <v>0</v>
      </c>
      <c r="CF17" s="7">
        <v>0</v>
      </c>
      <c r="CG17">
        <v>0</v>
      </c>
      <c r="CH17" s="7">
        <v>0</v>
      </c>
      <c r="CI17">
        <v>0</v>
      </c>
      <c r="CJ17" s="7">
        <v>0</v>
      </c>
      <c r="CK17">
        <v>0</v>
      </c>
      <c r="CL17" s="7">
        <v>0</v>
      </c>
      <c r="CM17">
        <v>0</v>
      </c>
      <c r="CN17" s="7">
        <v>0</v>
      </c>
      <c r="CO17">
        <v>0</v>
      </c>
      <c r="CP17" s="7">
        <v>0</v>
      </c>
      <c r="CQ17">
        <v>0</v>
      </c>
      <c r="CR17" s="7">
        <v>0</v>
      </c>
      <c r="CS17">
        <v>126</v>
      </c>
      <c r="CT17" s="7">
        <v>0</v>
      </c>
      <c r="CU17">
        <v>0</v>
      </c>
      <c r="CV17" s="7">
        <v>0</v>
      </c>
      <c r="CW17">
        <v>0</v>
      </c>
      <c r="CX17" s="7">
        <v>0</v>
      </c>
      <c r="CY17">
        <v>0</v>
      </c>
      <c r="CZ17" s="7">
        <v>0</v>
      </c>
      <c r="DA17">
        <v>0</v>
      </c>
      <c r="DB17" s="7">
        <v>0</v>
      </c>
      <c r="DC17">
        <v>0</v>
      </c>
      <c r="DD17" s="7">
        <v>0</v>
      </c>
      <c r="DE17">
        <v>0</v>
      </c>
      <c r="DF17" s="7">
        <v>0</v>
      </c>
      <c r="DG17">
        <v>0</v>
      </c>
      <c r="DH17" s="7">
        <v>0</v>
      </c>
      <c r="DI17">
        <v>0</v>
      </c>
      <c r="DJ17" s="7">
        <v>0</v>
      </c>
      <c r="DK17">
        <v>0</v>
      </c>
      <c r="DL17" s="7">
        <v>0</v>
      </c>
      <c r="DM17">
        <v>0</v>
      </c>
      <c r="DN17" s="7">
        <v>0</v>
      </c>
      <c r="DO17">
        <v>0</v>
      </c>
      <c r="DP17" s="7">
        <v>0</v>
      </c>
      <c r="DQ17">
        <v>0</v>
      </c>
      <c r="DR17" s="7">
        <v>0</v>
      </c>
      <c r="DS17">
        <v>0</v>
      </c>
      <c r="DT17" s="7">
        <v>0</v>
      </c>
      <c r="DU17">
        <v>0</v>
      </c>
      <c r="DV17" s="7">
        <v>0</v>
      </c>
      <c r="DW17">
        <v>0</v>
      </c>
      <c r="DX17" s="7">
        <v>0</v>
      </c>
      <c r="DY17">
        <v>0</v>
      </c>
      <c r="DZ17" s="7">
        <v>0</v>
      </c>
      <c r="EA17">
        <v>0</v>
      </c>
      <c r="EB17" s="7">
        <v>0</v>
      </c>
      <c r="EC17">
        <v>0</v>
      </c>
      <c r="ED17" s="7">
        <v>0</v>
      </c>
    </row>
    <row r="18" spans="1:134" x14ac:dyDescent="0.25">
      <c r="A18" s="1">
        <v>69848</v>
      </c>
      <c r="B18" s="7">
        <v>2</v>
      </c>
      <c r="C18" s="1">
        <v>58835</v>
      </c>
      <c r="D18" s="7">
        <v>1</v>
      </c>
      <c r="E18" s="1">
        <v>44306</v>
      </c>
      <c r="F18" s="7">
        <v>1</v>
      </c>
      <c r="G18" s="1">
        <v>20771</v>
      </c>
      <c r="H18" s="7">
        <v>0</v>
      </c>
      <c r="I18">
        <v>0</v>
      </c>
      <c r="J18" s="7">
        <v>0</v>
      </c>
      <c r="K18" s="1">
        <v>15947</v>
      </c>
      <c r="L18" s="7">
        <v>0</v>
      </c>
      <c r="M18">
        <v>0</v>
      </c>
      <c r="N18" s="7">
        <v>0</v>
      </c>
      <c r="O18">
        <v>0</v>
      </c>
      <c r="P18" s="7">
        <v>0</v>
      </c>
      <c r="Q18">
        <v>0</v>
      </c>
      <c r="R18" s="7">
        <v>0</v>
      </c>
      <c r="S18">
        <v>0</v>
      </c>
      <c r="T18" s="7">
        <v>0</v>
      </c>
      <c r="U18">
        <v>0</v>
      </c>
      <c r="V18" s="7">
        <v>0</v>
      </c>
      <c r="W18">
        <v>0</v>
      </c>
      <c r="X18" s="7">
        <v>0</v>
      </c>
      <c r="Y18">
        <v>0</v>
      </c>
      <c r="Z18" s="7">
        <v>0</v>
      </c>
      <c r="AA18">
        <v>0</v>
      </c>
      <c r="AB18" s="7">
        <v>0</v>
      </c>
      <c r="AC18">
        <v>0</v>
      </c>
      <c r="AD18" s="7">
        <v>0</v>
      </c>
      <c r="AE18">
        <v>0</v>
      </c>
      <c r="AF18" s="7">
        <v>0</v>
      </c>
      <c r="AG18">
        <v>0</v>
      </c>
      <c r="AH18" s="7">
        <v>0</v>
      </c>
      <c r="AI18">
        <v>0</v>
      </c>
      <c r="AJ18" s="7">
        <v>0</v>
      </c>
      <c r="AK18">
        <v>0</v>
      </c>
      <c r="AL18" s="7">
        <v>0</v>
      </c>
      <c r="AM18" s="1">
        <v>1651</v>
      </c>
      <c r="AN18" s="7">
        <v>0</v>
      </c>
      <c r="AO18">
        <v>0</v>
      </c>
      <c r="AP18" s="7">
        <v>0</v>
      </c>
      <c r="AQ18">
        <v>222</v>
      </c>
      <c r="AR18" s="7">
        <v>0</v>
      </c>
      <c r="AS18">
        <v>375</v>
      </c>
      <c r="AT18" s="7">
        <v>0</v>
      </c>
      <c r="AU18">
        <v>0</v>
      </c>
      <c r="AV18" s="7">
        <v>0</v>
      </c>
      <c r="AW18">
        <v>0</v>
      </c>
      <c r="AX18" s="7">
        <v>0</v>
      </c>
      <c r="AY18">
        <v>0</v>
      </c>
      <c r="AZ18" s="7">
        <v>0</v>
      </c>
      <c r="BA18">
        <v>177</v>
      </c>
      <c r="BB18" s="7">
        <v>0</v>
      </c>
      <c r="BC18">
        <v>153</v>
      </c>
      <c r="BD18" s="7">
        <v>0</v>
      </c>
      <c r="BE18">
        <v>0</v>
      </c>
      <c r="BF18" s="7">
        <v>0</v>
      </c>
      <c r="BG18">
        <v>0</v>
      </c>
      <c r="BH18" s="7">
        <v>0</v>
      </c>
      <c r="BI18">
        <v>0</v>
      </c>
      <c r="BJ18" s="7">
        <v>0</v>
      </c>
      <c r="BK18">
        <v>0</v>
      </c>
      <c r="BL18" s="7">
        <v>0</v>
      </c>
      <c r="BM18">
        <v>0</v>
      </c>
      <c r="BN18" s="7">
        <v>0</v>
      </c>
      <c r="BO18">
        <v>0</v>
      </c>
      <c r="BP18" s="7">
        <v>0</v>
      </c>
      <c r="BQ18">
        <v>0</v>
      </c>
      <c r="BR18" s="7">
        <v>0</v>
      </c>
      <c r="BS18">
        <v>0</v>
      </c>
      <c r="BT18" s="7">
        <v>0</v>
      </c>
      <c r="BU18">
        <v>0</v>
      </c>
      <c r="BV18" s="7">
        <v>0</v>
      </c>
      <c r="BW18">
        <v>0</v>
      </c>
      <c r="BX18" s="7">
        <v>0</v>
      </c>
      <c r="BY18">
        <v>0</v>
      </c>
      <c r="BZ18" s="7">
        <v>0</v>
      </c>
      <c r="CA18">
        <v>0</v>
      </c>
      <c r="CB18" s="7">
        <v>0</v>
      </c>
      <c r="CC18">
        <v>0</v>
      </c>
      <c r="CD18" s="7">
        <v>0</v>
      </c>
      <c r="CE18">
        <v>0</v>
      </c>
      <c r="CF18" s="7">
        <v>0</v>
      </c>
      <c r="CG18">
        <v>0</v>
      </c>
      <c r="CH18" s="7">
        <v>0</v>
      </c>
      <c r="CI18">
        <v>0</v>
      </c>
      <c r="CJ18" s="7">
        <v>0</v>
      </c>
      <c r="CK18">
        <v>0</v>
      </c>
      <c r="CL18" s="7">
        <v>0</v>
      </c>
      <c r="CM18">
        <v>0</v>
      </c>
      <c r="CN18" s="7">
        <v>0</v>
      </c>
      <c r="CO18">
        <v>0</v>
      </c>
      <c r="CP18" s="7">
        <v>0</v>
      </c>
      <c r="CQ18">
        <v>197</v>
      </c>
      <c r="CR18" s="7">
        <v>0</v>
      </c>
      <c r="CS18">
        <v>0</v>
      </c>
      <c r="CT18" s="7">
        <v>0</v>
      </c>
      <c r="CU18">
        <v>0</v>
      </c>
      <c r="CV18" s="7">
        <v>0</v>
      </c>
      <c r="CW18">
        <v>0</v>
      </c>
      <c r="CX18" s="7">
        <v>0</v>
      </c>
      <c r="CY18">
        <v>0</v>
      </c>
      <c r="CZ18" s="7">
        <v>0</v>
      </c>
      <c r="DA18">
        <v>0</v>
      </c>
      <c r="DB18" s="7">
        <v>0</v>
      </c>
      <c r="DC18">
        <v>0</v>
      </c>
      <c r="DD18" s="7">
        <v>0</v>
      </c>
      <c r="DE18">
        <v>0</v>
      </c>
      <c r="DF18" s="7">
        <v>0</v>
      </c>
      <c r="DG18">
        <v>0</v>
      </c>
      <c r="DH18" s="7">
        <v>0</v>
      </c>
      <c r="DI18">
        <v>0</v>
      </c>
      <c r="DJ18" s="7">
        <v>0</v>
      </c>
      <c r="DK18">
        <v>0</v>
      </c>
      <c r="DL18" s="7">
        <v>0</v>
      </c>
      <c r="DM18">
        <v>0</v>
      </c>
      <c r="DN18" s="7">
        <v>0</v>
      </c>
      <c r="DO18">
        <v>0</v>
      </c>
      <c r="DP18" s="7">
        <v>0</v>
      </c>
      <c r="DQ18">
        <v>0</v>
      </c>
      <c r="DR18" s="7">
        <v>0</v>
      </c>
      <c r="DS18">
        <v>0</v>
      </c>
      <c r="DT18" s="7">
        <v>0</v>
      </c>
      <c r="DU18">
        <v>0</v>
      </c>
      <c r="DV18" s="7">
        <v>0</v>
      </c>
      <c r="DW18">
        <v>0</v>
      </c>
      <c r="DX18" s="7">
        <v>0</v>
      </c>
      <c r="DY18">
        <v>0</v>
      </c>
      <c r="DZ18" s="7">
        <v>0</v>
      </c>
      <c r="EA18">
        <v>0</v>
      </c>
      <c r="EB18" s="7">
        <v>0</v>
      </c>
      <c r="EC18">
        <v>0</v>
      </c>
      <c r="ED18" s="7">
        <v>0</v>
      </c>
    </row>
    <row r="19" spans="1:134" x14ac:dyDescent="0.25">
      <c r="A19" s="1">
        <v>92046</v>
      </c>
      <c r="B19" s="7">
        <v>2</v>
      </c>
      <c r="C19" s="1">
        <v>74835</v>
      </c>
      <c r="D19" s="7">
        <v>2</v>
      </c>
      <c r="E19" s="1">
        <v>56050</v>
      </c>
      <c r="F19" s="7">
        <v>1</v>
      </c>
      <c r="G19" s="1">
        <v>22250</v>
      </c>
      <c r="H19" s="7">
        <v>0</v>
      </c>
      <c r="I19">
        <v>0</v>
      </c>
      <c r="J19" s="7">
        <v>0</v>
      </c>
      <c r="K19" s="1">
        <v>18337</v>
      </c>
      <c r="L19" s="7">
        <v>0</v>
      </c>
      <c r="M19">
        <v>0</v>
      </c>
      <c r="N19" s="7">
        <v>0</v>
      </c>
      <c r="O19">
        <v>0</v>
      </c>
      <c r="P19" s="7">
        <v>0</v>
      </c>
      <c r="Q19">
        <v>0</v>
      </c>
      <c r="R19" s="7">
        <v>0</v>
      </c>
      <c r="S19">
        <v>0</v>
      </c>
      <c r="T19" s="7">
        <v>0</v>
      </c>
      <c r="U19">
        <v>0</v>
      </c>
      <c r="V19" s="7">
        <v>0</v>
      </c>
      <c r="W19">
        <v>0</v>
      </c>
      <c r="X19" s="7">
        <v>0</v>
      </c>
      <c r="Y19">
        <v>0</v>
      </c>
      <c r="Z19" s="7">
        <v>0</v>
      </c>
      <c r="AA19">
        <v>0</v>
      </c>
      <c r="AB19" s="7">
        <v>0</v>
      </c>
      <c r="AC19">
        <v>0</v>
      </c>
      <c r="AD19" s="7">
        <v>0</v>
      </c>
      <c r="AE19">
        <v>0</v>
      </c>
      <c r="AF19" s="7">
        <v>0</v>
      </c>
      <c r="AG19">
        <v>0</v>
      </c>
      <c r="AH19" s="7">
        <v>0</v>
      </c>
      <c r="AI19">
        <v>0</v>
      </c>
      <c r="AJ19" s="7">
        <v>0</v>
      </c>
      <c r="AK19">
        <v>0</v>
      </c>
      <c r="AL19" s="7">
        <v>0</v>
      </c>
      <c r="AM19" s="1">
        <v>1788</v>
      </c>
      <c r="AN19" s="7">
        <v>0</v>
      </c>
      <c r="AO19">
        <v>0</v>
      </c>
      <c r="AP19" s="7">
        <v>0</v>
      </c>
      <c r="AQ19">
        <v>447</v>
      </c>
      <c r="AR19" s="7">
        <v>0</v>
      </c>
      <c r="AS19">
        <v>484</v>
      </c>
      <c r="AT19" s="7">
        <v>0</v>
      </c>
      <c r="AU19">
        <v>0</v>
      </c>
      <c r="AV19" s="7">
        <v>0</v>
      </c>
      <c r="AW19">
        <v>0</v>
      </c>
      <c r="AX19" s="7">
        <v>0</v>
      </c>
      <c r="AY19">
        <v>0</v>
      </c>
      <c r="AZ19" s="7">
        <v>0</v>
      </c>
      <c r="BA19">
        <v>0</v>
      </c>
      <c r="BB19" s="7">
        <v>0</v>
      </c>
      <c r="BC19">
        <v>0</v>
      </c>
      <c r="BD19" s="7">
        <v>0</v>
      </c>
      <c r="BE19">
        <v>0</v>
      </c>
      <c r="BF19" s="7">
        <v>0</v>
      </c>
      <c r="BG19">
        <v>0</v>
      </c>
      <c r="BH19" s="7">
        <v>0</v>
      </c>
      <c r="BI19">
        <v>0</v>
      </c>
      <c r="BJ19" s="7">
        <v>0</v>
      </c>
      <c r="BK19">
        <v>0</v>
      </c>
      <c r="BL19" s="7">
        <v>0</v>
      </c>
      <c r="BM19">
        <v>0</v>
      </c>
      <c r="BN19" s="7">
        <v>0</v>
      </c>
      <c r="BO19">
        <v>0</v>
      </c>
      <c r="BP19" s="7">
        <v>0</v>
      </c>
      <c r="BQ19">
        <v>0</v>
      </c>
      <c r="BR19" s="7">
        <v>0</v>
      </c>
      <c r="BS19">
        <v>0</v>
      </c>
      <c r="BT19" s="7">
        <v>0</v>
      </c>
      <c r="BU19">
        <v>0</v>
      </c>
      <c r="BV19" s="7">
        <v>0</v>
      </c>
      <c r="BW19">
        <v>0</v>
      </c>
      <c r="BX19" s="7">
        <v>0</v>
      </c>
      <c r="BY19">
        <v>0</v>
      </c>
      <c r="BZ19" s="7">
        <v>0</v>
      </c>
      <c r="CA19">
        <v>0</v>
      </c>
      <c r="CB19" s="7">
        <v>0</v>
      </c>
      <c r="CC19">
        <v>0</v>
      </c>
      <c r="CD19" s="7">
        <v>0</v>
      </c>
      <c r="CE19">
        <v>0</v>
      </c>
      <c r="CF19" s="7">
        <v>0</v>
      </c>
      <c r="CG19">
        <v>0</v>
      </c>
      <c r="CH19" s="7">
        <v>0</v>
      </c>
      <c r="CI19">
        <v>0</v>
      </c>
      <c r="CJ19" s="7">
        <v>0</v>
      </c>
      <c r="CK19">
        <v>0</v>
      </c>
      <c r="CL19" s="7">
        <v>0</v>
      </c>
      <c r="CM19">
        <v>0</v>
      </c>
      <c r="CN19" s="7">
        <v>0</v>
      </c>
      <c r="CO19">
        <v>0</v>
      </c>
      <c r="CP19" s="7">
        <v>0</v>
      </c>
      <c r="CQ19">
        <v>0</v>
      </c>
      <c r="CR19" s="7">
        <v>0</v>
      </c>
      <c r="CS19">
        <v>0</v>
      </c>
      <c r="CT19" s="7">
        <v>0</v>
      </c>
      <c r="CU19">
        <v>0</v>
      </c>
      <c r="CV19" s="7">
        <v>0</v>
      </c>
      <c r="CW19">
        <v>0</v>
      </c>
      <c r="CX19" s="7">
        <v>0</v>
      </c>
      <c r="CY19">
        <v>0</v>
      </c>
      <c r="CZ19" s="7">
        <v>0</v>
      </c>
      <c r="DA19">
        <v>0</v>
      </c>
      <c r="DB19" s="7">
        <v>0</v>
      </c>
      <c r="DC19">
        <v>0</v>
      </c>
      <c r="DD19" s="7">
        <v>0</v>
      </c>
      <c r="DE19">
        <v>0</v>
      </c>
      <c r="DF19" s="7">
        <v>0</v>
      </c>
      <c r="DG19">
        <v>0</v>
      </c>
      <c r="DH19" s="7">
        <v>0</v>
      </c>
      <c r="DI19">
        <v>0</v>
      </c>
      <c r="DJ19" s="7">
        <v>0</v>
      </c>
      <c r="DK19">
        <v>0</v>
      </c>
      <c r="DL19" s="7">
        <v>0</v>
      </c>
      <c r="DM19">
        <v>0</v>
      </c>
      <c r="DN19" s="7">
        <v>0</v>
      </c>
      <c r="DO19">
        <v>0</v>
      </c>
      <c r="DP19" s="7">
        <v>0</v>
      </c>
      <c r="DQ19">
        <v>0</v>
      </c>
      <c r="DR19" s="7">
        <v>0</v>
      </c>
      <c r="DS19">
        <v>0</v>
      </c>
      <c r="DT19" s="7">
        <v>0</v>
      </c>
      <c r="DU19">
        <v>0</v>
      </c>
      <c r="DV19" s="7">
        <v>0</v>
      </c>
      <c r="DW19">
        <v>0</v>
      </c>
      <c r="DX19" s="7">
        <v>0</v>
      </c>
      <c r="DY19">
        <v>0</v>
      </c>
      <c r="DZ19" s="7">
        <v>0</v>
      </c>
      <c r="EA19">
        <v>0</v>
      </c>
      <c r="EB19" s="7">
        <v>0</v>
      </c>
      <c r="EC19">
        <v>0</v>
      </c>
      <c r="ED19" s="7">
        <v>0</v>
      </c>
    </row>
    <row r="20" spans="1:134" x14ac:dyDescent="0.25">
      <c r="A20" s="1">
        <v>40670</v>
      </c>
      <c r="B20" s="7">
        <v>2</v>
      </c>
      <c r="C20" s="1">
        <v>33721</v>
      </c>
      <c r="D20" s="7">
        <v>1</v>
      </c>
      <c r="E20" s="1">
        <v>20108</v>
      </c>
      <c r="F20" s="7">
        <v>0</v>
      </c>
      <c r="G20" s="1">
        <v>7529</v>
      </c>
      <c r="H20" s="7">
        <v>0</v>
      </c>
      <c r="I20">
        <v>0</v>
      </c>
      <c r="J20" s="7">
        <v>0</v>
      </c>
      <c r="K20" s="1">
        <v>5094</v>
      </c>
      <c r="L20" s="7">
        <v>0</v>
      </c>
      <c r="M20">
        <v>0</v>
      </c>
      <c r="N20" s="7">
        <v>0</v>
      </c>
      <c r="O20">
        <v>0</v>
      </c>
      <c r="P20" s="7">
        <v>0</v>
      </c>
      <c r="Q20">
        <v>0</v>
      </c>
      <c r="R20" s="7">
        <v>0</v>
      </c>
      <c r="S20">
        <v>0</v>
      </c>
      <c r="T20" s="7">
        <v>0</v>
      </c>
      <c r="U20">
        <v>0</v>
      </c>
      <c r="V20" s="7">
        <v>0</v>
      </c>
      <c r="W20">
        <v>0</v>
      </c>
      <c r="X20" s="7">
        <v>0</v>
      </c>
      <c r="Y20">
        <v>0</v>
      </c>
      <c r="Z20" s="7">
        <v>0</v>
      </c>
      <c r="AA20">
        <v>0</v>
      </c>
      <c r="AB20" s="7">
        <v>0</v>
      </c>
      <c r="AC20">
        <v>0</v>
      </c>
      <c r="AD20" s="7">
        <v>0</v>
      </c>
      <c r="AE20">
        <v>0</v>
      </c>
      <c r="AF20" s="7">
        <v>0</v>
      </c>
      <c r="AG20">
        <v>0</v>
      </c>
      <c r="AH20" s="7">
        <v>0</v>
      </c>
      <c r="AI20">
        <v>0</v>
      </c>
      <c r="AJ20" s="7">
        <v>0</v>
      </c>
      <c r="AK20">
        <v>0</v>
      </c>
      <c r="AL20" s="7">
        <v>0</v>
      </c>
      <c r="AM20">
        <v>545</v>
      </c>
      <c r="AN20" s="7">
        <v>0</v>
      </c>
      <c r="AO20">
        <v>0</v>
      </c>
      <c r="AP20" s="7">
        <v>0</v>
      </c>
      <c r="AQ20">
        <v>125</v>
      </c>
      <c r="AR20" s="7">
        <v>0</v>
      </c>
      <c r="AS20">
        <v>129</v>
      </c>
      <c r="AT20" s="7">
        <v>0</v>
      </c>
      <c r="AU20">
        <v>0</v>
      </c>
      <c r="AV20" s="7">
        <v>0</v>
      </c>
      <c r="AW20">
        <v>0</v>
      </c>
      <c r="AX20" s="7">
        <v>0</v>
      </c>
      <c r="AY20">
        <v>0</v>
      </c>
      <c r="AZ20" s="7">
        <v>0</v>
      </c>
      <c r="BA20">
        <v>83</v>
      </c>
      <c r="BB20" s="7">
        <v>0</v>
      </c>
      <c r="BC20">
        <v>66</v>
      </c>
      <c r="BD20" s="7">
        <v>0</v>
      </c>
      <c r="BE20">
        <v>0</v>
      </c>
      <c r="BF20" s="7">
        <v>0</v>
      </c>
      <c r="BG20">
        <v>0</v>
      </c>
      <c r="BH20" s="7">
        <v>0</v>
      </c>
      <c r="BI20">
        <v>0</v>
      </c>
      <c r="BJ20" s="7">
        <v>0</v>
      </c>
      <c r="BK20">
        <v>0</v>
      </c>
      <c r="BL20" s="7">
        <v>0</v>
      </c>
      <c r="BM20">
        <v>0</v>
      </c>
      <c r="BN20" s="7">
        <v>0</v>
      </c>
      <c r="BO20">
        <v>0</v>
      </c>
      <c r="BP20" s="7">
        <v>0</v>
      </c>
      <c r="BQ20">
        <v>0</v>
      </c>
      <c r="BR20" s="7">
        <v>0</v>
      </c>
      <c r="BS20">
        <v>0</v>
      </c>
      <c r="BT20" s="7">
        <v>0</v>
      </c>
      <c r="BU20">
        <v>0</v>
      </c>
      <c r="BV20" s="7">
        <v>0</v>
      </c>
      <c r="BW20">
        <v>0</v>
      </c>
      <c r="BX20" s="7">
        <v>0</v>
      </c>
      <c r="BY20">
        <v>0</v>
      </c>
      <c r="BZ20" s="7">
        <v>0</v>
      </c>
      <c r="CA20">
        <v>0</v>
      </c>
      <c r="CB20" s="7">
        <v>0</v>
      </c>
      <c r="CC20">
        <v>0</v>
      </c>
      <c r="CD20" s="7">
        <v>0</v>
      </c>
      <c r="CE20">
        <v>0</v>
      </c>
      <c r="CF20" s="7">
        <v>0</v>
      </c>
      <c r="CG20">
        <v>0</v>
      </c>
      <c r="CH20" s="7">
        <v>0</v>
      </c>
      <c r="CI20">
        <v>0</v>
      </c>
      <c r="CJ20" s="7">
        <v>0</v>
      </c>
      <c r="CK20">
        <v>0</v>
      </c>
      <c r="CL20" s="7">
        <v>0</v>
      </c>
      <c r="CM20">
        <v>0</v>
      </c>
      <c r="CN20" s="7">
        <v>0</v>
      </c>
      <c r="CO20">
        <v>0</v>
      </c>
      <c r="CP20" s="7">
        <v>0</v>
      </c>
      <c r="CQ20">
        <v>0</v>
      </c>
      <c r="CR20" s="7">
        <v>0</v>
      </c>
      <c r="CS20">
        <v>47</v>
      </c>
      <c r="CT20" s="7">
        <v>0</v>
      </c>
      <c r="CU20">
        <v>0</v>
      </c>
      <c r="CV20" s="7">
        <v>0</v>
      </c>
      <c r="CW20">
        <v>0</v>
      </c>
      <c r="CX20" s="7">
        <v>0</v>
      </c>
      <c r="CY20">
        <v>0</v>
      </c>
      <c r="CZ20" s="7">
        <v>0</v>
      </c>
      <c r="DA20">
        <v>0</v>
      </c>
      <c r="DB20" s="7">
        <v>0</v>
      </c>
      <c r="DC20">
        <v>0</v>
      </c>
      <c r="DD20" s="7">
        <v>0</v>
      </c>
      <c r="DE20">
        <v>0</v>
      </c>
      <c r="DF20" s="7">
        <v>0</v>
      </c>
      <c r="DG20">
        <v>0</v>
      </c>
      <c r="DH20" s="7">
        <v>0</v>
      </c>
      <c r="DI20">
        <v>0</v>
      </c>
      <c r="DJ20" s="7">
        <v>0</v>
      </c>
      <c r="DK20">
        <v>0</v>
      </c>
      <c r="DL20" s="7">
        <v>0</v>
      </c>
      <c r="DM20">
        <v>0</v>
      </c>
      <c r="DN20" s="7">
        <v>0</v>
      </c>
      <c r="DO20">
        <v>0</v>
      </c>
      <c r="DP20" s="7">
        <v>0</v>
      </c>
      <c r="DQ20">
        <v>0</v>
      </c>
      <c r="DR20" s="7">
        <v>0</v>
      </c>
      <c r="DS20">
        <v>0</v>
      </c>
      <c r="DT20" s="7">
        <v>0</v>
      </c>
      <c r="DU20">
        <v>0</v>
      </c>
      <c r="DV20" s="7">
        <v>0</v>
      </c>
      <c r="DW20">
        <v>0</v>
      </c>
      <c r="DX20" s="7">
        <v>0</v>
      </c>
      <c r="DY20">
        <v>0</v>
      </c>
      <c r="DZ20" s="7">
        <v>0</v>
      </c>
      <c r="EA20">
        <v>0</v>
      </c>
      <c r="EB20" s="7">
        <v>0</v>
      </c>
      <c r="EC20">
        <v>0</v>
      </c>
      <c r="ED20" s="7">
        <v>0</v>
      </c>
    </row>
    <row r="21" spans="1:134" x14ac:dyDescent="0.25">
      <c r="A21" s="1">
        <v>41167</v>
      </c>
      <c r="B21" s="7">
        <v>1</v>
      </c>
      <c r="C21" s="1">
        <v>30443</v>
      </c>
      <c r="D21" s="7">
        <v>1</v>
      </c>
      <c r="E21" s="1">
        <v>31683</v>
      </c>
      <c r="F21" s="7">
        <v>1</v>
      </c>
      <c r="G21" s="1">
        <v>14897</v>
      </c>
      <c r="H21" s="7">
        <v>0</v>
      </c>
      <c r="I21">
        <v>0</v>
      </c>
      <c r="J21" s="7">
        <v>0</v>
      </c>
      <c r="K21" s="1">
        <v>10169</v>
      </c>
      <c r="L21" s="7">
        <v>0</v>
      </c>
      <c r="M21">
        <v>0</v>
      </c>
      <c r="N21" s="7">
        <v>0</v>
      </c>
      <c r="O21">
        <v>0</v>
      </c>
      <c r="P21" s="7">
        <v>0</v>
      </c>
      <c r="Q21">
        <v>0</v>
      </c>
      <c r="R21" s="7">
        <v>0</v>
      </c>
      <c r="S21">
        <v>0</v>
      </c>
      <c r="T21" s="7">
        <v>0</v>
      </c>
      <c r="U21">
        <v>0</v>
      </c>
      <c r="V21" s="7">
        <v>0</v>
      </c>
      <c r="W21">
        <v>0</v>
      </c>
      <c r="X21" s="7">
        <v>0</v>
      </c>
      <c r="Y21">
        <v>0</v>
      </c>
      <c r="Z21" s="7">
        <v>0</v>
      </c>
      <c r="AA21">
        <v>0</v>
      </c>
      <c r="AB21" s="7">
        <v>0</v>
      </c>
      <c r="AC21">
        <v>0</v>
      </c>
      <c r="AD21" s="7">
        <v>0</v>
      </c>
      <c r="AE21">
        <v>0</v>
      </c>
      <c r="AF21" s="7">
        <v>0</v>
      </c>
      <c r="AG21">
        <v>0</v>
      </c>
      <c r="AH21" s="7">
        <v>0</v>
      </c>
      <c r="AI21">
        <v>0</v>
      </c>
      <c r="AJ21" s="7">
        <v>0</v>
      </c>
      <c r="AK21">
        <v>0</v>
      </c>
      <c r="AL21" s="7">
        <v>0</v>
      </c>
      <c r="AM21" s="1">
        <v>1266</v>
      </c>
      <c r="AN21" s="7">
        <v>0</v>
      </c>
      <c r="AO21">
        <v>0</v>
      </c>
      <c r="AP21" s="7">
        <v>0</v>
      </c>
      <c r="AQ21">
        <v>287</v>
      </c>
      <c r="AR21" s="7">
        <v>0</v>
      </c>
      <c r="AS21">
        <v>284</v>
      </c>
      <c r="AT21" s="7">
        <v>0</v>
      </c>
      <c r="AU21">
        <v>0</v>
      </c>
      <c r="AV21" s="7">
        <v>0</v>
      </c>
      <c r="AW21">
        <v>0</v>
      </c>
      <c r="AX21" s="7">
        <v>0</v>
      </c>
      <c r="AY21">
        <v>0</v>
      </c>
      <c r="AZ21" s="7">
        <v>0</v>
      </c>
      <c r="BA21">
        <v>87</v>
      </c>
      <c r="BB21" s="7">
        <v>0</v>
      </c>
      <c r="BC21">
        <v>106</v>
      </c>
      <c r="BD21" s="7">
        <v>0</v>
      </c>
      <c r="BE21">
        <v>0</v>
      </c>
      <c r="BF21" s="7">
        <v>0</v>
      </c>
      <c r="BG21">
        <v>0</v>
      </c>
      <c r="BH21" s="7">
        <v>0</v>
      </c>
      <c r="BI21">
        <v>195</v>
      </c>
      <c r="BJ21" s="7">
        <v>0</v>
      </c>
      <c r="BK21">
        <v>0</v>
      </c>
      <c r="BL21" s="7">
        <v>0</v>
      </c>
      <c r="BM21">
        <v>0</v>
      </c>
      <c r="BN21" s="7">
        <v>0</v>
      </c>
      <c r="BO21">
        <v>0</v>
      </c>
      <c r="BP21" s="7">
        <v>0</v>
      </c>
      <c r="BQ21">
        <v>0</v>
      </c>
      <c r="BR21" s="7">
        <v>0</v>
      </c>
      <c r="BS21">
        <v>0</v>
      </c>
      <c r="BT21" s="7">
        <v>0</v>
      </c>
      <c r="BU21">
        <v>0</v>
      </c>
      <c r="BV21" s="7">
        <v>0</v>
      </c>
      <c r="BW21">
        <v>0</v>
      </c>
      <c r="BX21" s="7">
        <v>0</v>
      </c>
      <c r="BY21">
        <v>0</v>
      </c>
      <c r="BZ21" s="7">
        <v>0</v>
      </c>
      <c r="CA21">
        <v>0</v>
      </c>
      <c r="CB21" s="7">
        <v>0</v>
      </c>
      <c r="CC21">
        <v>0</v>
      </c>
      <c r="CD21" s="7">
        <v>0</v>
      </c>
      <c r="CE21">
        <v>0</v>
      </c>
      <c r="CF21" s="7">
        <v>0</v>
      </c>
      <c r="CG21">
        <v>0</v>
      </c>
      <c r="CH21" s="7">
        <v>0</v>
      </c>
      <c r="CI21">
        <v>0</v>
      </c>
      <c r="CJ21" s="7">
        <v>0</v>
      </c>
      <c r="CK21">
        <v>0</v>
      </c>
      <c r="CL21" s="7">
        <v>0</v>
      </c>
      <c r="CM21">
        <v>0</v>
      </c>
      <c r="CN21" s="7">
        <v>0</v>
      </c>
      <c r="CO21">
        <v>0</v>
      </c>
      <c r="CP21" s="7">
        <v>0</v>
      </c>
      <c r="CQ21">
        <v>234</v>
      </c>
      <c r="CR21" s="7">
        <v>0</v>
      </c>
      <c r="CS21">
        <v>0</v>
      </c>
      <c r="CT21" s="7">
        <v>0</v>
      </c>
      <c r="CU21">
        <v>0</v>
      </c>
      <c r="CV21" s="7">
        <v>0</v>
      </c>
      <c r="CW21">
        <v>0</v>
      </c>
      <c r="CX21" s="7">
        <v>0</v>
      </c>
      <c r="CY21">
        <v>0</v>
      </c>
      <c r="CZ21" s="7">
        <v>0</v>
      </c>
      <c r="DA21">
        <v>0</v>
      </c>
      <c r="DB21" s="7">
        <v>0</v>
      </c>
      <c r="DC21">
        <v>0</v>
      </c>
      <c r="DD21" s="7">
        <v>0</v>
      </c>
      <c r="DE21">
        <v>0</v>
      </c>
      <c r="DF21" s="7">
        <v>0</v>
      </c>
      <c r="DG21">
        <v>188</v>
      </c>
      <c r="DH21" s="7">
        <v>0</v>
      </c>
      <c r="DI21">
        <v>0</v>
      </c>
      <c r="DJ21" s="7">
        <v>0</v>
      </c>
      <c r="DK21">
        <v>0</v>
      </c>
      <c r="DL21" s="7">
        <v>0</v>
      </c>
      <c r="DM21">
        <v>0</v>
      </c>
      <c r="DN21" s="7">
        <v>0</v>
      </c>
      <c r="DO21">
        <v>0</v>
      </c>
      <c r="DP21" s="7">
        <v>0</v>
      </c>
      <c r="DQ21">
        <v>0</v>
      </c>
      <c r="DR21" s="7">
        <v>0</v>
      </c>
      <c r="DS21">
        <v>0</v>
      </c>
      <c r="DT21" s="7">
        <v>0</v>
      </c>
      <c r="DU21">
        <v>0</v>
      </c>
      <c r="DV21" s="7">
        <v>0</v>
      </c>
      <c r="DW21">
        <v>0</v>
      </c>
      <c r="DX21" s="7">
        <v>0</v>
      </c>
      <c r="DY21">
        <v>0</v>
      </c>
      <c r="DZ21" s="7">
        <v>0</v>
      </c>
      <c r="EA21">
        <v>0</v>
      </c>
      <c r="EB21" s="7">
        <v>0</v>
      </c>
      <c r="EC21">
        <v>0</v>
      </c>
      <c r="ED21" s="7">
        <v>0</v>
      </c>
    </row>
    <row r="22" spans="1:134" x14ac:dyDescent="0.25">
      <c r="A22" s="1">
        <v>116282</v>
      </c>
      <c r="B22" s="7">
        <v>2</v>
      </c>
      <c r="C22" s="1">
        <v>94378</v>
      </c>
      <c r="D22" s="7">
        <v>2</v>
      </c>
      <c r="E22" s="1">
        <v>86049</v>
      </c>
      <c r="F22" s="7">
        <v>2</v>
      </c>
      <c r="G22" s="1">
        <v>34837</v>
      </c>
      <c r="H22" s="7">
        <v>0</v>
      </c>
      <c r="I22">
        <v>0</v>
      </c>
      <c r="J22" s="7">
        <v>0</v>
      </c>
      <c r="K22" s="1">
        <v>24871</v>
      </c>
      <c r="L22" s="7">
        <v>0</v>
      </c>
      <c r="M22">
        <v>0</v>
      </c>
      <c r="N22" s="7">
        <v>0</v>
      </c>
      <c r="O22">
        <v>0</v>
      </c>
      <c r="P22" s="7">
        <v>0</v>
      </c>
      <c r="Q22">
        <v>0</v>
      </c>
      <c r="R22" s="7">
        <v>0</v>
      </c>
      <c r="S22">
        <v>0</v>
      </c>
      <c r="T22" s="7">
        <v>0</v>
      </c>
      <c r="U22">
        <v>0</v>
      </c>
      <c r="V22" s="7">
        <v>0</v>
      </c>
      <c r="W22">
        <v>0</v>
      </c>
      <c r="X22" s="7">
        <v>0</v>
      </c>
      <c r="Y22">
        <v>0</v>
      </c>
      <c r="Z22" s="7">
        <v>0</v>
      </c>
      <c r="AA22">
        <v>0</v>
      </c>
      <c r="AB22" s="7">
        <v>0</v>
      </c>
      <c r="AC22">
        <v>0</v>
      </c>
      <c r="AD22" s="7">
        <v>0</v>
      </c>
      <c r="AE22">
        <v>0</v>
      </c>
      <c r="AF22" s="7">
        <v>0</v>
      </c>
      <c r="AG22">
        <v>0</v>
      </c>
      <c r="AH22" s="7">
        <v>0</v>
      </c>
      <c r="AI22">
        <v>0</v>
      </c>
      <c r="AJ22" s="7">
        <v>0</v>
      </c>
      <c r="AK22">
        <v>0</v>
      </c>
      <c r="AL22" s="7">
        <v>0</v>
      </c>
      <c r="AM22" s="1">
        <v>2680</v>
      </c>
      <c r="AN22" s="7">
        <v>0</v>
      </c>
      <c r="AO22">
        <v>0</v>
      </c>
      <c r="AP22" s="7">
        <v>0</v>
      </c>
      <c r="AQ22">
        <v>556</v>
      </c>
      <c r="AR22" s="7">
        <v>0</v>
      </c>
      <c r="AS22">
        <v>661</v>
      </c>
      <c r="AT22" s="7">
        <v>0</v>
      </c>
      <c r="AU22">
        <v>0</v>
      </c>
      <c r="AV22" s="7">
        <v>0</v>
      </c>
      <c r="AW22">
        <v>0</v>
      </c>
      <c r="AX22" s="7">
        <v>0</v>
      </c>
      <c r="AY22">
        <v>0</v>
      </c>
      <c r="AZ22" s="7">
        <v>0</v>
      </c>
      <c r="BA22">
        <v>282</v>
      </c>
      <c r="BB22" s="7">
        <v>0</v>
      </c>
      <c r="BC22">
        <v>217</v>
      </c>
      <c r="BD22" s="7">
        <v>0</v>
      </c>
      <c r="BE22">
        <v>0</v>
      </c>
      <c r="BF22" s="7">
        <v>0</v>
      </c>
      <c r="BG22">
        <v>0</v>
      </c>
      <c r="BH22" s="7">
        <v>0</v>
      </c>
      <c r="BI22">
        <v>0</v>
      </c>
      <c r="BJ22" s="7">
        <v>0</v>
      </c>
      <c r="BK22">
        <v>0</v>
      </c>
      <c r="BL22" s="7">
        <v>0</v>
      </c>
      <c r="BM22">
        <v>0</v>
      </c>
      <c r="BN22" s="7">
        <v>0</v>
      </c>
      <c r="BO22">
        <v>0</v>
      </c>
      <c r="BP22" s="7">
        <v>0</v>
      </c>
      <c r="BQ22">
        <v>0</v>
      </c>
      <c r="BR22" s="7">
        <v>0</v>
      </c>
      <c r="BS22">
        <v>0</v>
      </c>
      <c r="BT22" s="7">
        <v>0</v>
      </c>
      <c r="BU22">
        <v>0</v>
      </c>
      <c r="BV22" s="7">
        <v>0</v>
      </c>
      <c r="BW22">
        <v>0</v>
      </c>
      <c r="BX22" s="7">
        <v>0</v>
      </c>
      <c r="BY22">
        <v>0</v>
      </c>
      <c r="BZ22" s="7">
        <v>0</v>
      </c>
      <c r="CA22">
        <v>0</v>
      </c>
      <c r="CB22" s="7">
        <v>0</v>
      </c>
      <c r="CC22">
        <v>0</v>
      </c>
      <c r="CD22" s="7">
        <v>0</v>
      </c>
      <c r="CE22">
        <v>0</v>
      </c>
      <c r="CF22" s="7">
        <v>0</v>
      </c>
      <c r="CG22">
        <v>0</v>
      </c>
      <c r="CH22" s="7">
        <v>0</v>
      </c>
      <c r="CI22">
        <v>0</v>
      </c>
      <c r="CJ22" s="7">
        <v>0</v>
      </c>
      <c r="CK22">
        <v>0</v>
      </c>
      <c r="CL22" s="7">
        <v>0</v>
      </c>
      <c r="CM22">
        <v>0</v>
      </c>
      <c r="CN22" s="7">
        <v>0</v>
      </c>
      <c r="CO22">
        <v>0</v>
      </c>
      <c r="CP22" s="7">
        <v>0</v>
      </c>
      <c r="CQ22">
        <v>0</v>
      </c>
      <c r="CR22" s="7">
        <v>0</v>
      </c>
      <c r="CS22">
        <v>0</v>
      </c>
      <c r="CT22" s="7">
        <v>0</v>
      </c>
      <c r="CU22">
        <v>0</v>
      </c>
      <c r="CV22" s="7">
        <v>0</v>
      </c>
      <c r="CW22">
        <v>0</v>
      </c>
      <c r="CX22" s="7">
        <v>0</v>
      </c>
      <c r="CY22">
        <v>0</v>
      </c>
      <c r="CZ22" s="7">
        <v>0</v>
      </c>
      <c r="DA22">
        <v>0</v>
      </c>
      <c r="DB22" s="7">
        <v>0</v>
      </c>
      <c r="DC22">
        <v>0</v>
      </c>
      <c r="DD22" s="7">
        <v>0</v>
      </c>
      <c r="DE22">
        <v>0</v>
      </c>
      <c r="DF22" s="7">
        <v>0</v>
      </c>
      <c r="DG22">
        <v>0</v>
      </c>
      <c r="DH22" s="7">
        <v>0</v>
      </c>
      <c r="DI22">
        <v>0</v>
      </c>
      <c r="DJ22" s="7">
        <v>0</v>
      </c>
      <c r="DK22">
        <v>0</v>
      </c>
      <c r="DL22" s="7">
        <v>0</v>
      </c>
      <c r="DM22">
        <v>0</v>
      </c>
      <c r="DN22" s="7">
        <v>0</v>
      </c>
      <c r="DO22">
        <v>0</v>
      </c>
      <c r="DP22" s="7">
        <v>0</v>
      </c>
      <c r="DQ22">
        <v>0</v>
      </c>
      <c r="DR22" s="7">
        <v>0</v>
      </c>
      <c r="DS22">
        <v>0</v>
      </c>
      <c r="DT22" s="7">
        <v>0</v>
      </c>
      <c r="DU22">
        <v>0</v>
      </c>
      <c r="DV22" s="7">
        <v>0</v>
      </c>
      <c r="DW22">
        <v>0</v>
      </c>
      <c r="DX22" s="7">
        <v>0</v>
      </c>
      <c r="DY22">
        <v>0</v>
      </c>
      <c r="DZ22" s="7">
        <v>0</v>
      </c>
      <c r="EA22">
        <v>0</v>
      </c>
      <c r="EB22" s="7">
        <v>0</v>
      </c>
      <c r="EC22">
        <v>0</v>
      </c>
      <c r="ED22" s="7">
        <v>0</v>
      </c>
    </row>
    <row r="23" spans="1:134" x14ac:dyDescent="0.25">
      <c r="A23" s="1">
        <v>24474</v>
      </c>
      <c r="B23" s="7">
        <v>1</v>
      </c>
      <c r="C23" s="1">
        <v>32527</v>
      </c>
      <c r="D23" s="7">
        <v>1</v>
      </c>
      <c r="E23" s="1">
        <v>17313</v>
      </c>
      <c r="F23" s="7">
        <v>1</v>
      </c>
      <c r="G23" s="1">
        <v>6059</v>
      </c>
      <c r="H23" s="7">
        <v>0</v>
      </c>
      <c r="I23">
        <v>0</v>
      </c>
      <c r="J23" s="7">
        <v>0</v>
      </c>
      <c r="K23" s="1">
        <v>6119</v>
      </c>
      <c r="L23" s="7">
        <v>0</v>
      </c>
      <c r="M23">
        <v>0</v>
      </c>
      <c r="N23" s="7">
        <v>0</v>
      </c>
      <c r="O23">
        <v>0</v>
      </c>
      <c r="P23" s="7">
        <v>0</v>
      </c>
      <c r="Q23">
        <v>0</v>
      </c>
      <c r="R23" s="7">
        <v>0</v>
      </c>
      <c r="S23">
        <v>0</v>
      </c>
      <c r="T23" s="7">
        <v>0</v>
      </c>
      <c r="U23">
        <v>0</v>
      </c>
      <c r="V23" s="7">
        <v>0</v>
      </c>
      <c r="W23">
        <v>0</v>
      </c>
      <c r="X23" s="7">
        <v>0</v>
      </c>
      <c r="Y23">
        <v>0</v>
      </c>
      <c r="Z23" s="7">
        <v>0</v>
      </c>
      <c r="AA23">
        <v>0</v>
      </c>
      <c r="AB23" s="7">
        <v>0</v>
      </c>
      <c r="AC23">
        <v>0</v>
      </c>
      <c r="AD23" s="7">
        <v>0</v>
      </c>
      <c r="AE23">
        <v>0</v>
      </c>
      <c r="AF23" s="7">
        <v>0</v>
      </c>
      <c r="AG23">
        <v>0</v>
      </c>
      <c r="AH23" s="7">
        <v>0</v>
      </c>
      <c r="AI23">
        <v>0</v>
      </c>
      <c r="AJ23" s="7">
        <v>0</v>
      </c>
      <c r="AK23">
        <v>0</v>
      </c>
      <c r="AL23" s="7">
        <v>0</v>
      </c>
      <c r="AM23">
        <v>432</v>
      </c>
      <c r="AN23" s="7">
        <v>0</v>
      </c>
      <c r="AO23">
        <v>0</v>
      </c>
      <c r="AP23" s="7">
        <v>0</v>
      </c>
      <c r="AQ23">
        <v>105</v>
      </c>
      <c r="AR23" s="7">
        <v>0</v>
      </c>
      <c r="AS23">
        <v>102</v>
      </c>
      <c r="AT23" s="7">
        <v>0</v>
      </c>
      <c r="AU23">
        <v>0</v>
      </c>
      <c r="AV23" s="7">
        <v>0</v>
      </c>
      <c r="AW23">
        <v>0</v>
      </c>
      <c r="AX23" s="7">
        <v>0</v>
      </c>
      <c r="AY23">
        <v>0</v>
      </c>
      <c r="AZ23" s="7">
        <v>0</v>
      </c>
      <c r="BA23">
        <v>0</v>
      </c>
      <c r="BB23" s="7">
        <v>0</v>
      </c>
      <c r="BC23">
        <v>101</v>
      </c>
      <c r="BD23" s="7">
        <v>0</v>
      </c>
      <c r="BE23">
        <v>0</v>
      </c>
      <c r="BF23" s="7">
        <v>0</v>
      </c>
      <c r="BG23">
        <v>0</v>
      </c>
      <c r="BH23" s="7">
        <v>0</v>
      </c>
      <c r="BI23">
        <v>0</v>
      </c>
      <c r="BJ23" s="7">
        <v>0</v>
      </c>
      <c r="BK23">
        <v>0</v>
      </c>
      <c r="BL23" s="7">
        <v>0</v>
      </c>
      <c r="BM23">
        <v>0</v>
      </c>
      <c r="BN23" s="7">
        <v>0</v>
      </c>
      <c r="BO23">
        <v>0</v>
      </c>
      <c r="BP23" s="7">
        <v>0</v>
      </c>
      <c r="BQ23" s="1">
        <v>5416</v>
      </c>
      <c r="BR23" s="7">
        <v>0</v>
      </c>
      <c r="BS23">
        <v>0</v>
      </c>
      <c r="BT23" s="7">
        <v>0</v>
      </c>
      <c r="BU23">
        <v>0</v>
      </c>
      <c r="BV23" s="7">
        <v>0</v>
      </c>
      <c r="BW23">
        <v>0</v>
      </c>
      <c r="BX23" s="7">
        <v>0</v>
      </c>
      <c r="BY23">
        <v>0</v>
      </c>
      <c r="BZ23" s="7">
        <v>0</v>
      </c>
      <c r="CA23">
        <v>0</v>
      </c>
      <c r="CB23" s="7">
        <v>0</v>
      </c>
      <c r="CC23">
        <v>0</v>
      </c>
      <c r="CD23" s="7">
        <v>0</v>
      </c>
      <c r="CE23">
        <v>0</v>
      </c>
      <c r="CF23" s="7">
        <v>0</v>
      </c>
      <c r="CG23">
        <v>0</v>
      </c>
      <c r="CH23" s="7">
        <v>0</v>
      </c>
      <c r="CI23">
        <v>0</v>
      </c>
      <c r="CJ23" s="7">
        <v>0</v>
      </c>
      <c r="CK23">
        <v>0</v>
      </c>
      <c r="CL23" s="7">
        <v>0</v>
      </c>
      <c r="CM23">
        <v>0</v>
      </c>
      <c r="CN23" s="7">
        <v>0</v>
      </c>
      <c r="CO23">
        <v>0</v>
      </c>
      <c r="CP23" s="7">
        <v>0</v>
      </c>
      <c r="CQ23">
        <v>0</v>
      </c>
      <c r="CR23" s="7">
        <v>0</v>
      </c>
      <c r="CS23">
        <v>32</v>
      </c>
      <c r="CT23" s="7">
        <v>0</v>
      </c>
      <c r="CU23">
        <v>0</v>
      </c>
      <c r="CV23" s="7">
        <v>0</v>
      </c>
      <c r="CW23">
        <v>0</v>
      </c>
      <c r="CX23" s="7">
        <v>0</v>
      </c>
      <c r="CY23">
        <v>0</v>
      </c>
      <c r="CZ23" s="7">
        <v>0</v>
      </c>
      <c r="DA23">
        <v>0</v>
      </c>
      <c r="DB23" s="7">
        <v>0</v>
      </c>
      <c r="DC23">
        <v>0</v>
      </c>
      <c r="DD23" s="7">
        <v>0</v>
      </c>
      <c r="DE23">
        <v>0</v>
      </c>
      <c r="DF23" s="7">
        <v>0</v>
      </c>
      <c r="DG23">
        <v>61</v>
      </c>
      <c r="DH23" s="7">
        <v>0</v>
      </c>
      <c r="DI23">
        <v>0</v>
      </c>
      <c r="DJ23" s="7">
        <v>0</v>
      </c>
      <c r="DK23">
        <v>0</v>
      </c>
      <c r="DL23" s="7">
        <v>0</v>
      </c>
      <c r="DM23">
        <v>0</v>
      </c>
      <c r="DN23" s="7">
        <v>0</v>
      </c>
      <c r="DO23">
        <v>0</v>
      </c>
      <c r="DP23" s="7">
        <v>0</v>
      </c>
      <c r="DQ23">
        <v>0</v>
      </c>
      <c r="DR23" s="7">
        <v>0</v>
      </c>
      <c r="DS23">
        <v>0</v>
      </c>
      <c r="DT23" s="7">
        <v>0</v>
      </c>
      <c r="DU23">
        <v>0</v>
      </c>
      <c r="DV23" s="7">
        <v>0</v>
      </c>
      <c r="DW23">
        <v>0</v>
      </c>
      <c r="DX23" s="7">
        <v>0</v>
      </c>
      <c r="DY23">
        <v>0</v>
      </c>
      <c r="DZ23" s="7">
        <v>0</v>
      </c>
      <c r="EA23">
        <v>0</v>
      </c>
      <c r="EB23" s="7">
        <v>0</v>
      </c>
      <c r="EC23">
        <v>0</v>
      </c>
      <c r="ED23" s="7">
        <v>0</v>
      </c>
    </row>
    <row r="24" spans="1:134" x14ac:dyDescent="0.25">
      <c r="A24" s="1">
        <v>64182</v>
      </c>
      <c r="B24" s="7">
        <v>2</v>
      </c>
      <c r="C24" s="1">
        <v>61228</v>
      </c>
      <c r="D24" s="7">
        <v>2</v>
      </c>
      <c r="E24" s="1">
        <v>29579</v>
      </c>
      <c r="F24" s="7">
        <v>0</v>
      </c>
      <c r="G24" s="1">
        <v>22058</v>
      </c>
      <c r="H24" s="7">
        <v>0</v>
      </c>
      <c r="I24">
        <v>0</v>
      </c>
      <c r="J24" s="7">
        <v>0</v>
      </c>
      <c r="K24" s="1">
        <v>16214</v>
      </c>
      <c r="L24" s="7">
        <v>0</v>
      </c>
      <c r="M24">
        <v>0</v>
      </c>
      <c r="N24" s="7">
        <v>0</v>
      </c>
      <c r="O24">
        <v>0</v>
      </c>
      <c r="P24" s="7">
        <v>0</v>
      </c>
      <c r="Q24">
        <v>0</v>
      </c>
      <c r="R24" s="7">
        <v>0</v>
      </c>
      <c r="S24">
        <v>0</v>
      </c>
      <c r="T24" s="7">
        <v>0</v>
      </c>
      <c r="U24">
        <v>0</v>
      </c>
      <c r="V24" s="7">
        <v>0</v>
      </c>
      <c r="W24">
        <v>0</v>
      </c>
      <c r="X24" s="7">
        <v>0</v>
      </c>
      <c r="Y24">
        <v>0</v>
      </c>
      <c r="Z24" s="7">
        <v>0</v>
      </c>
      <c r="AA24">
        <v>0</v>
      </c>
      <c r="AB24" s="7">
        <v>0</v>
      </c>
      <c r="AC24">
        <v>0</v>
      </c>
      <c r="AD24" s="7">
        <v>0</v>
      </c>
      <c r="AE24">
        <v>0</v>
      </c>
      <c r="AF24" s="7">
        <v>0</v>
      </c>
      <c r="AG24">
        <v>0</v>
      </c>
      <c r="AH24" s="7">
        <v>0</v>
      </c>
      <c r="AI24">
        <v>0</v>
      </c>
      <c r="AJ24" s="7">
        <v>0</v>
      </c>
      <c r="AK24">
        <v>0</v>
      </c>
      <c r="AL24" s="7">
        <v>0</v>
      </c>
      <c r="AM24" s="1">
        <v>1415</v>
      </c>
      <c r="AN24" s="7">
        <v>0</v>
      </c>
      <c r="AO24">
        <v>0</v>
      </c>
      <c r="AP24" s="7">
        <v>0</v>
      </c>
      <c r="AQ24">
        <v>645</v>
      </c>
      <c r="AR24" s="7">
        <v>0</v>
      </c>
      <c r="AS24">
        <v>620</v>
      </c>
      <c r="AT24" s="7">
        <v>0</v>
      </c>
      <c r="AU24">
        <v>0</v>
      </c>
      <c r="AV24" s="7">
        <v>0</v>
      </c>
      <c r="AW24">
        <v>0</v>
      </c>
      <c r="AX24" s="7">
        <v>0</v>
      </c>
      <c r="AY24">
        <v>0</v>
      </c>
      <c r="AZ24" s="7">
        <v>0</v>
      </c>
      <c r="BA24">
        <v>0</v>
      </c>
      <c r="BB24" s="7">
        <v>0</v>
      </c>
      <c r="BC24">
        <v>404</v>
      </c>
      <c r="BD24" s="7">
        <v>0</v>
      </c>
      <c r="BE24">
        <v>0</v>
      </c>
      <c r="BF24" s="7">
        <v>0</v>
      </c>
      <c r="BG24">
        <v>0</v>
      </c>
      <c r="BH24" s="7">
        <v>0</v>
      </c>
      <c r="BI24">
        <v>0</v>
      </c>
      <c r="BJ24" s="7">
        <v>0</v>
      </c>
      <c r="BK24">
        <v>0</v>
      </c>
      <c r="BL24" s="7">
        <v>0</v>
      </c>
      <c r="BM24">
        <v>0</v>
      </c>
      <c r="BN24" s="7">
        <v>0</v>
      </c>
      <c r="BO24">
        <v>0</v>
      </c>
      <c r="BP24" s="7">
        <v>0</v>
      </c>
      <c r="BQ24">
        <v>0</v>
      </c>
      <c r="BR24" s="7">
        <v>0</v>
      </c>
      <c r="BS24">
        <v>0</v>
      </c>
      <c r="BT24" s="7">
        <v>0</v>
      </c>
      <c r="BU24">
        <v>0</v>
      </c>
      <c r="BV24" s="7">
        <v>0</v>
      </c>
      <c r="BW24">
        <v>0</v>
      </c>
      <c r="BX24" s="7">
        <v>0</v>
      </c>
      <c r="BY24">
        <v>0</v>
      </c>
      <c r="BZ24" s="7">
        <v>0</v>
      </c>
      <c r="CA24">
        <v>0</v>
      </c>
      <c r="CB24" s="7">
        <v>0</v>
      </c>
      <c r="CC24">
        <v>0</v>
      </c>
      <c r="CD24" s="7">
        <v>0</v>
      </c>
      <c r="CE24">
        <v>0</v>
      </c>
      <c r="CF24" s="7">
        <v>0</v>
      </c>
      <c r="CG24">
        <v>0</v>
      </c>
      <c r="CH24" s="7">
        <v>0</v>
      </c>
      <c r="CI24">
        <v>0</v>
      </c>
      <c r="CJ24" s="7">
        <v>0</v>
      </c>
      <c r="CK24">
        <v>0</v>
      </c>
      <c r="CL24" s="7">
        <v>0</v>
      </c>
      <c r="CM24">
        <v>0</v>
      </c>
      <c r="CN24" s="7">
        <v>0</v>
      </c>
      <c r="CO24">
        <v>0</v>
      </c>
      <c r="CP24" s="7">
        <v>0</v>
      </c>
      <c r="CQ24">
        <v>0</v>
      </c>
      <c r="CR24" s="7">
        <v>0</v>
      </c>
      <c r="CS24">
        <v>0</v>
      </c>
      <c r="CT24" s="7">
        <v>0</v>
      </c>
      <c r="CU24">
        <v>0</v>
      </c>
      <c r="CV24" s="7">
        <v>0</v>
      </c>
      <c r="CW24">
        <v>0</v>
      </c>
      <c r="CX24" s="7">
        <v>0</v>
      </c>
      <c r="CY24">
        <v>0</v>
      </c>
      <c r="CZ24" s="7">
        <v>0</v>
      </c>
      <c r="DA24">
        <v>0</v>
      </c>
      <c r="DB24" s="7">
        <v>0</v>
      </c>
      <c r="DC24">
        <v>0</v>
      </c>
      <c r="DD24" s="7">
        <v>0</v>
      </c>
      <c r="DE24">
        <v>0</v>
      </c>
      <c r="DF24" s="7">
        <v>0</v>
      </c>
      <c r="DG24">
        <v>0</v>
      </c>
      <c r="DH24" s="7">
        <v>0</v>
      </c>
      <c r="DI24">
        <v>0</v>
      </c>
      <c r="DJ24" s="7">
        <v>0</v>
      </c>
      <c r="DK24">
        <v>0</v>
      </c>
      <c r="DL24" s="7">
        <v>0</v>
      </c>
      <c r="DM24">
        <v>0</v>
      </c>
      <c r="DN24" s="7">
        <v>0</v>
      </c>
      <c r="DO24">
        <v>0</v>
      </c>
      <c r="DP24" s="7">
        <v>0</v>
      </c>
      <c r="DQ24">
        <v>0</v>
      </c>
      <c r="DR24" s="7">
        <v>0</v>
      </c>
      <c r="DS24">
        <v>0</v>
      </c>
      <c r="DT24" s="7">
        <v>0</v>
      </c>
      <c r="DU24">
        <v>0</v>
      </c>
      <c r="DV24" s="7">
        <v>0</v>
      </c>
      <c r="DW24">
        <v>0</v>
      </c>
      <c r="DX24" s="7">
        <v>0</v>
      </c>
      <c r="DY24">
        <v>0</v>
      </c>
      <c r="DZ24" s="7">
        <v>0</v>
      </c>
      <c r="EA24">
        <v>0</v>
      </c>
      <c r="EB24" s="7">
        <v>0</v>
      </c>
      <c r="EC24">
        <v>0</v>
      </c>
      <c r="ED24" s="7">
        <v>0</v>
      </c>
    </row>
    <row r="25" spans="1:134" x14ac:dyDescent="0.25">
      <c r="A25" s="1">
        <v>87896</v>
      </c>
      <c r="B25" s="7">
        <v>2</v>
      </c>
      <c r="C25" s="1">
        <v>74672</v>
      </c>
      <c r="D25" s="7">
        <v>1</v>
      </c>
      <c r="E25" s="1">
        <v>40884</v>
      </c>
      <c r="F25" s="7">
        <v>1</v>
      </c>
      <c r="G25" s="1">
        <v>27478</v>
      </c>
      <c r="H25" s="7">
        <v>0</v>
      </c>
      <c r="I25">
        <v>0</v>
      </c>
      <c r="J25" s="7">
        <v>0</v>
      </c>
      <c r="K25" s="1">
        <v>16731</v>
      </c>
      <c r="L25" s="7">
        <v>0</v>
      </c>
      <c r="M25">
        <v>0</v>
      </c>
      <c r="N25" s="7">
        <v>0</v>
      </c>
      <c r="O25">
        <v>0</v>
      </c>
      <c r="P25" s="7">
        <v>0</v>
      </c>
      <c r="Q25">
        <v>0</v>
      </c>
      <c r="R25" s="7">
        <v>0</v>
      </c>
      <c r="S25">
        <v>0</v>
      </c>
      <c r="T25" s="7">
        <v>0</v>
      </c>
      <c r="U25">
        <v>0</v>
      </c>
      <c r="V25" s="7">
        <v>0</v>
      </c>
      <c r="W25">
        <v>0</v>
      </c>
      <c r="X25" s="7">
        <v>0</v>
      </c>
      <c r="Y25">
        <v>0</v>
      </c>
      <c r="Z25" s="7">
        <v>0</v>
      </c>
      <c r="AA25">
        <v>0</v>
      </c>
      <c r="AB25" s="7">
        <v>0</v>
      </c>
      <c r="AC25">
        <v>0</v>
      </c>
      <c r="AD25" s="7">
        <v>0</v>
      </c>
      <c r="AE25">
        <v>0</v>
      </c>
      <c r="AF25" s="7">
        <v>0</v>
      </c>
      <c r="AG25">
        <v>0</v>
      </c>
      <c r="AH25" s="7">
        <v>0</v>
      </c>
      <c r="AI25">
        <v>0</v>
      </c>
      <c r="AJ25" s="7">
        <v>0</v>
      </c>
      <c r="AK25">
        <v>0</v>
      </c>
      <c r="AL25" s="7">
        <v>0</v>
      </c>
      <c r="AM25" s="1">
        <v>1505</v>
      </c>
      <c r="AN25" s="7">
        <v>0</v>
      </c>
      <c r="AO25">
        <v>0</v>
      </c>
      <c r="AP25" s="7">
        <v>0</v>
      </c>
      <c r="AQ25">
        <v>178</v>
      </c>
      <c r="AR25" s="7">
        <v>0</v>
      </c>
      <c r="AS25">
        <v>317</v>
      </c>
      <c r="AT25" s="7">
        <v>0</v>
      </c>
      <c r="AU25">
        <v>0</v>
      </c>
      <c r="AV25" s="7">
        <v>0</v>
      </c>
      <c r="AW25">
        <v>0</v>
      </c>
      <c r="AX25" s="7">
        <v>0</v>
      </c>
      <c r="AY25">
        <v>0</v>
      </c>
      <c r="AZ25" s="7">
        <v>0</v>
      </c>
      <c r="BA25">
        <v>0</v>
      </c>
      <c r="BB25" s="7">
        <v>0</v>
      </c>
      <c r="BC25">
        <v>379</v>
      </c>
      <c r="BD25" s="7">
        <v>0</v>
      </c>
      <c r="BE25">
        <v>0</v>
      </c>
      <c r="BF25" s="7">
        <v>0</v>
      </c>
      <c r="BG25" s="1">
        <v>9588</v>
      </c>
      <c r="BH25" s="7">
        <v>0</v>
      </c>
      <c r="BI25">
        <v>0</v>
      </c>
      <c r="BJ25" s="7">
        <v>0</v>
      </c>
      <c r="BK25">
        <v>0</v>
      </c>
      <c r="BL25" s="7">
        <v>0</v>
      </c>
      <c r="BM25">
        <v>0</v>
      </c>
      <c r="BN25" s="7">
        <v>0</v>
      </c>
      <c r="BO25">
        <v>0</v>
      </c>
      <c r="BP25" s="7">
        <v>0</v>
      </c>
      <c r="BQ25">
        <v>0</v>
      </c>
      <c r="BR25" s="7">
        <v>0</v>
      </c>
      <c r="BS25">
        <v>0</v>
      </c>
      <c r="BT25" s="7">
        <v>0</v>
      </c>
      <c r="BU25">
        <v>0</v>
      </c>
      <c r="BV25" s="7">
        <v>0</v>
      </c>
      <c r="BW25">
        <v>0</v>
      </c>
      <c r="BX25" s="7">
        <v>0</v>
      </c>
      <c r="BY25">
        <v>0</v>
      </c>
      <c r="BZ25" s="7">
        <v>0</v>
      </c>
      <c r="CA25">
        <v>0</v>
      </c>
      <c r="CB25" s="7">
        <v>0</v>
      </c>
      <c r="CC25">
        <v>0</v>
      </c>
      <c r="CD25" s="7">
        <v>0</v>
      </c>
      <c r="CE25">
        <v>0</v>
      </c>
      <c r="CF25" s="7">
        <v>0</v>
      </c>
      <c r="CG25">
        <v>0</v>
      </c>
      <c r="CH25" s="7">
        <v>0</v>
      </c>
      <c r="CI25">
        <v>0</v>
      </c>
      <c r="CJ25" s="7">
        <v>0</v>
      </c>
      <c r="CK25">
        <v>0</v>
      </c>
      <c r="CL25" s="7">
        <v>0</v>
      </c>
      <c r="CM25">
        <v>0</v>
      </c>
      <c r="CN25" s="7">
        <v>0</v>
      </c>
      <c r="CO25">
        <v>0</v>
      </c>
      <c r="CP25" s="7">
        <v>0</v>
      </c>
      <c r="CQ25">
        <v>0</v>
      </c>
      <c r="CR25" s="7">
        <v>0</v>
      </c>
      <c r="CS25">
        <v>0</v>
      </c>
      <c r="CT25" s="7">
        <v>0</v>
      </c>
      <c r="CU25">
        <v>0</v>
      </c>
      <c r="CV25" s="7">
        <v>0</v>
      </c>
      <c r="CW25">
        <v>0</v>
      </c>
      <c r="CX25" s="7">
        <v>0</v>
      </c>
      <c r="CY25">
        <v>341</v>
      </c>
      <c r="CZ25" s="7">
        <v>0</v>
      </c>
      <c r="DA25">
        <v>0</v>
      </c>
      <c r="DB25" s="7">
        <v>0</v>
      </c>
      <c r="DC25">
        <v>0</v>
      </c>
      <c r="DD25" s="7">
        <v>0</v>
      </c>
      <c r="DE25">
        <v>0</v>
      </c>
      <c r="DF25" s="7">
        <v>0</v>
      </c>
      <c r="DG25">
        <v>0</v>
      </c>
      <c r="DH25" s="7">
        <v>0</v>
      </c>
      <c r="DI25">
        <v>0</v>
      </c>
      <c r="DJ25" s="7">
        <v>0</v>
      </c>
      <c r="DK25">
        <v>0</v>
      </c>
      <c r="DL25" s="7">
        <v>0</v>
      </c>
      <c r="DM25">
        <v>0</v>
      </c>
      <c r="DN25" s="7">
        <v>0</v>
      </c>
      <c r="DO25">
        <v>0</v>
      </c>
      <c r="DP25" s="7">
        <v>0</v>
      </c>
      <c r="DQ25">
        <v>0</v>
      </c>
      <c r="DR25" s="7">
        <v>0</v>
      </c>
      <c r="DS25">
        <v>0</v>
      </c>
      <c r="DT25" s="7">
        <v>0</v>
      </c>
      <c r="DU25">
        <v>0</v>
      </c>
      <c r="DV25" s="7">
        <v>0</v>
      </c>
      <c r="DW25">
        <v>0</v>
      </c>
      <c r="DX25" s="7">
        <v>0</v>
      </c>
      <c r="DY25">
        <v>0</v>
      </c>
      <c r="DZ25" s="7">
        <v>0</v>
      </c>
      <c r="EA25">
        <v>0</v>
      </c>
      <c r="EB25" s="7">
        <v>0</v>
      </c>
      <c r="EC25">
        <v>0</v>
      </c>
      <c r="ED25" s="7">
        <v>0</v>
      </c>
    </row>
    <row r="26" spans="1:134" x14ac:dyDescent="0.25">
      <c r="A26" s="1">
        <v>31847</v>
      </c>
      <c r="B26" s="7">
        <v>1</v>
      </c>
      <c r="C26" s="1">
        <v>34195</v>
      </c>
      <c r="D26" s="7">
        <v>2</v>
      </c>
      <c r="E26" s="1">
        <v>13816</v>
      </c>
      <c r="F26" s="7">
        <v>0</v>
      </c>
      <c r="G26" s="1">
        <v>7746</v>
      </c>
      <c r="H26" s="7">
        <v>0</v>
      </c>
      <c r="I26">
        <v>0</v>
      </c>
      <c r="J26" s="7">
        <v>0</v>
      </c>
      <c r="K26" s="1">
        <v>5937</v>
      </c>
      <c r="L26" s="7">
        <v>0</v>
      </c>
      <c r="M26">
        <v>0</v>
      </c>
      <c r="N26" s="7">
        <v>0</v>
      </c>
      <c r="O26">
        <v>0</v>
      </c>
      <c r="P26" s="7">
        <v>0</v>
      </c>
      <c r="Q26">
        <v>0</v>
      </c>
      <c r="R26" s="7">
        <v>0</v>
      </c>
      <c r="S26">
        <v>0</v>
      </c>
      <c r="T26" s="7">
        <v>0</v>
      </c>
      <c r="U26">
        <v>0</v>
      </c>
      <c r="V26" s="7">
        <v>0</v>
      </c>
      <c r="W26">
        <v>0</v>
      </c>
      <c r="X26" s="7">
        <v>0</v>
      </c>
      <c r="Y26">
        <v>0</v>
      </c>
      <c r="Z26" s="7">
        <v>0</v>
      </c>
      <c r="AA26">
        <v>0</v>
      </c>
      <c r="AB26" s="7">
        <v>0</v>
      </c>
      <c r="AC26">
        <v>0</v>
      </c>
      <c r="AD26" s="7">
        <v>0</v>
      </c>
      <c r="AE26">
        <v>0</v>
      </c>
      <c r="AF26" s="7">
        <v>0</v>
      </c>
      <c r="AG26">
        <v>0</v>
      </c>
      <c r="AH26" s="7">
        <v>0</v>
      </c>
      <c r="AI26">
        <v>0</v>
      </c>
      <c r="AJ26" s="7">
        <v>0</v>
      </c>
      <c r="AK26">
        <v>0</v>
      </c>
      <c r="AL26" s="7">
        <v>0</v>
      </c>
      <c r="AM26">
        <v>582</v>
      </c>
      <c r="AN26" s="7">
        <v>0</v>
      </c>
      <c r="AO26">
        <v>0</v>
      </c>
      <c r="AP26" s="7">
        <v>0</v>
      </c>
      <c r="AQ26">
        <v>256</v>
      </c>
      <c r="AR26" s="7">
        <v>0</v>
      </c>
      <c r="AS26">
        <v>209</v>
      </c>
      <c r="AT26" s="7">
        <v>0</v>
      </c>
      <c r="AU26">
        <v>0</v>
      </c>
      <c r="AV26" s="7">
        <v>0</v>
      </c>
      <c r="AW26">
        <v>0</v>
      </c>
      <c r="AX26" s="7">
        <v>0</v>
      </c>
      <c r="AY26">
        <v>0</v>
      </c>
      <c r="AZ26" s="7">
        <v>0</v>
      </c>
      <c r="BA26">
        <v>0</v>
      </c>
      <c r="BB26" s="7">
        <v>0</v>
      </c>
      <c r="BC26">
        <v>106</v>
      </c>
      <c r="BD26" s="7">
        <v>0</v>
      </c>
      <c r="BE26">
        <v>0</v>
      </c>
      <c r="BF26" s="7">
        <v>0</v>
      </c>
      <c r="BG26">
        <v>0</v>
      </c>
      <c r="BH26" s="7">
        <v>0</v>
      </c>
      <c r="BI26">
        <v>0</v>
      </c>
      <c r="BJ26" s="7">
        <v>0</v>
      </c>
      <c r="BK26">
        <v>0</v>
      </c>
      <c r="BL26" s="7">
        <v>0</v>
      </c>
      <c r="BM26">
        <v>0</v>
      </c>
      <c r="BN26" s="7">
        <v>0</v>
      </c>
      <c r="BO26">
        <v>0</v>
      </c>
      <c r="BP26" s="7">
        <v>0</v>
      </c>
      <c r="BQ26">
        <v>0</v>
      </c>
      <c r="BR26" s="7">
        <v>0</v>
      </c>
      <c r="BS26">
        <v>0</v>
      </c>
      <c r="BT26" s="7">
        <v>0</v>
      </c>
      <c r="BU26">
        <v>0</v>
      </c>
      <c r="BV26" s="7">
        <v>0</v>
      </c>
      <c r="BW26">
        <v>0</v>
      </c>
      <c r="BX26" s="7">
        <v>0</v>
      </c>
      <c r="BY26">
        <v>0</v>
      </c>
      <c r="BZ26" s="7">
        <v>0</v>
      </c>
      <c r="CA26">
        <v>0</v>
      </c>
      <c r="CB26" s="7">
        <v>0</v>
      </c>
      <c r="CC26">
        <v>0</v>
      </c>
      <c r="CD26" s="7">
        <v>0</v>
      </c>
      <c r="CE26">
        <v>0</v>
      </c>
      <c r="CF26" s="7">
        <v>0</v>
      </c>
      <c r="CG26">
        <v>0</v>
      </c>
      <c r="CH26" s="7">
        <v>0</v>
      </c>
      <c r="CI26">
        <v>0</v>
      </c>
      <c r="CJ26" s="7">
        <v>0</v>
      </c>
      <c r="CK26">
        <v>0</v>
      </c>
      <c r="CL26" s="7">
        <v>0</v>
      </c>
      <c r="CM26">
        <v>0</v>
      </c>
      <c r="CN26" s="7">
        <v>0</v>
      </c>
      <c r="CO26">
        <v>0</v>
      </c>
      <c r="CP26" s="7">
        <v>0</v>
      </c>
      <c r="CQ26">
        <v>0</v>
      </c>
      <c r="CR26" s="7">
        <v>0</v>
      </c>
      <c r="CS26">
        <v>0</v>
      </c>
      <c r="CT26" s="7">
        <v>0</v>
      </c>
      <c r="CU26">
        <v>0</v>
      </c>
      <c r="CV26" s="7">
        <v>0</v>
      </c>
      <c r="CW26">
        <v>0</v>
      </c>
      <c r="CX26" s="7">
        <v>0</v>
      </c>
      <c r="CY26">
        <v>0</v>
      </c>
      <c r="CZ26" s="7">
        <v>0</v>
      </c>
      <c r="DA26">
        <v>0</v>
      </c>
      <c r="DB26" s="7">
        <v>0</v>
      </c>
      <c r="DC26">
        <v>0</v>
      </c>
      <c r="DD26" s="7">
        <v>0</v>
      </c>
      <c r="DE26">
        <v>0</v>
      </c>
      <c r="DF26" s="7">
        <v>0</v>
      </c>
      <c r="DG26">
        <v>79</v>
      </c>
      <c r="DH26" s="7">
        <v>0</v>
      </c>
      <c r="DI26">
        <v>0</v>
      </c>
      <c r="DJ26" s="7">
        <v>0</v>
      </c>
      <c r="DK26">
        <v>0</v>
      </c>
      <c r="DL26" s="7">
        <v>0</v>
      </c>
      <c r="DM26">
        <v>0</v>
      </c>
      <c r="DN26" s="7">
        <v>0</v>
      </c>
      <c r="DO26">
        <v>0</v>
      </c>
      <c r="DP26" s="7">
        <v>0</v>
      </c>
      <c r="DQ26">
        <v>0</v>
      </c>
      <c r="DR26" s="7">
        <v>0</v>
      </c>
      <c r="DS26">
        <v>0</v>
      </c>
      <c r="DT26" s="7">
        <v>0</v>
      </c>
      <c r="DU26">
        <v>0</v>
      </c>
      <c r="DV26" s="7">
        <v>0</v>
      </c>
      <c r="DW26">
        <v>0</v>
      </c>
      <c r="DX26" s="7">
        <v>0</v>
      </c>
      <c r="DY26">
        <v>0</v>
      </c>
      <c r="DZ26" s="7">
        <v>0</v>
      </c>
      <c r="EA26">
        <v>0</v>
      </c>
      <c r="EB26" s="7">
        <v>0</v>
      </c>
      <c r="EC26">
        <v>0</v>
      </c>
      <c r="ED26" s="7">
        <v>0</v>
      </c>
    </row>
    <row r="27" spans="1:134" x14ac:dyDescent="0.25">
      <c r="A27" s="1">
        <v>57481</v>
      </c>
      <c r="B27" s="7">
        <v>1</v>
      </c>
      <c r="C27" s="1">
        <v>67715</v>
      </c>
      <c r="D27" s="7">
        <v>2</v>
      </c>
      <c r="E27" s="1">
        <v>34929</v>
      </c>
      <c r="F27" s="7">
        <v>1</v>
      </c>
      <c r="G27" s="1">
        <v>13608</v>
      </c>
      <c r="H27" s="7">
        <v>0</v>
      </c>
      <c r="I27">
        <v>0</v>
      </c>
      <c r="J27" s="7">
        <v>0</v>
      </c>
      <c r="K27" s="1">
        <v>16886</v>
      </c>
      <c r="L27" s="7">
        <v>0</v>
      </c>
      <c r="M27">
        <v>0</v>
      </c>
      <c r="N27" s="7">
        <v>0</v>
      </c>
      <c r="O27">
        <v>0</v>
      </c>
      <c r="P27" s="7">
        <v>0</v>
      </c>
      <c r="Q27">
        <v>0</v>
      </c>
      <c r="R27" s="7">
        <v>0</v>
      </c>
      <c r="S27">
        <v>0</v>
      </c>
      <c r="T27" s="7">
        <v>0</v>
      </c>
      <c r="U27">
        <v>0</v>
      </c>
      <c r="V27" s="7">
        <v>0</v>
      </c>
      <c r="W27">
        <v>0</v>
      </c>
      <c r="X27" s="7">
        <v>0</v>
      </c>
      <c r="Y27">
        <v>0</v>
      </c>
      <c r="Z27" s="7">
        <v>0</v>
      </c>
      <c r="AA27">
        <v>0</v>
      </c>
      <c r="AB27" s="7">
        <v>0</v>
      </c>
      <c r="AC27">
        <v>0</v>
      </c>
      <c r="AD27" s="7">
        <v>0</v>
      </c>
      <c r="AE27">
        <v>0</v>
      </c>
      <c r="AF27" s="7">
        <v>0</v>
      </c>
      <c r="AG27">
        <v>0</v>
      </c>
      <c r="AH27" s="7">
        <v>0</v>
      </c>
      <c r="AI27">
        <v>0</v>
      </c>
      <c r="AJ27" s="7">
        <v>0</v>
      </c>
      <c r="AK27">
        <v>0</v>
      </c>
      <c r="AL27" s="7">
        <v>0</v>
      </c>
      <c r="AM27">
        <v>964</v>
      </c>
      <c r="AN27" s="7">
        <v>0</v>
      </c>
      <c r="AO27">
        <v>0</v>
      </c>
      <c r="AP27" s="7">
        <v>0</v>
      </c>
      <c r="AQ27">
        <v>306</v>
      </c>
      <c r="AR27" s="7">
        <v>0</v>
      </c>
      <c r="AS27">
        <v>266</v>
      </c>
      <c r="AT27" s="7">
        <v>0</v>
      </c>
      <c r="AU27">
        <v>0</v>
      </c>
      <c r="AV27" s="7">
        <v>0</v>
      </c>
      <c r="AW27">
        <v>0</v>
      </c>
      <c r="AX27" s="7">
        <v>0</v>
      </c>
      <c r="AY27">
        <v>0</v>
      </c>
      <c r="AZ27" s="7">
        <v>0</v>
      </c>
      <c r="BA27">
        <v>0</v>
      </c>
      <c r="BB27" s="7">
        <v>0</v>
      </c>
      <c r="BC27">
        <v>196</v>
      </c>
      <c r="BD27" s="7">
        <v>0</v>
      </c>
      <c r="BE27">
        <v>0</v>
      </c>
      <c r="BF27" s="7">
        <v>0</v>
      </c>
      <c r="BG27">
        <v>286</v>
      </c>
      <c r="BH27" s="7">
        <v>0</v>
      </c>
      <c r="BI27">
        <v>0</v>
      </c>
      <c r="BJ27" s="7">
        <v>0</v>
      </c>
      <c r="BK27">
        <v>0</v>
      </c>
      <c r="BL27" s="7">
        <v>0</v>
      </c>
      <c r="BM27">
        <v>0</v>
      </c>
      <c r="BN27" s="7">
        <v>0</v>
      </c>
      <c r="BO27">
        <v>0</v>
      </c>
      <c r="BP27" s="7">
        <v>0</v>
      </c>
      <c r="BQ27">
        <v>0</v>
      </c>
      <c r="BR27" s="7">
        <v>0</v>
      </c>
      <c r="BS27">
        <v>0</v>
      </c>
      <c r="BT27" s="7">
        <v>0</v>
      </c>
      <c r="BU27">
        <v>0</v>
      </c>
      <c r="BV27" s="7">
        <v>0</v>
      </c>
      <c r="BW27">
        <v>0</v>
      </c>
      <c r="BX27" s="7">
        <v>0</v>
      </c>
      <c r="BY27">
        <v>0</v>
      </c>
      <c r="BZ27" s="7">
        <v>0</v>
      </c>
      <c r="CA27">
        <v>0</v>
      </c>
      <c r="CB27" s="7">
        <v>0</v>
      </c>
      <c r="CC27">
        <v>0</v>
      </c>
      <c r="CD27" s="7">
        <v>0</v>
      </c>
      <c r="CE27">
        <v>0</v>
      </c>
      <c r="CF27" s="7">
        <v>0</v>
      </c>
      <c r="CG27">
        <v>0</v>
      </c>
      <c r="CH27" s="7">
        <v>0</v>
      </c>
      <c r="CI27">
        <v>229</v>
      </c>
      <c r="CJ27" s="7">
        <v>0</v>
      </c>
      <c r="CK27">
        <v>0</v>
      </c>
      <c r="CL27" s="7">
        <v>0</v>
      </c>
      <c r="CM27">
        <v>0</v>
      </c>
      <c r="CN27" s="7">
        <v>0</v>
      </c>
      <c r="CO27">
        <v>0</v>
      </c>
      <c r="CP27" s="7">
        <v>0</v>
      </c>
      <c r="CQ27">
        <v>0</v>
      </c>
      <c r="CR27" s="7">
        <v>0</v>
      </c>
      <c r="CS27">
        <v>0</v>
      </c>
      <c r="CT27" s="7">
        <v>0</v>
      </c>
      <c r="CU27">
        <v>0</v>
      </c>
      <c r="CV27" s="7">
        <v>0</v>
      </c>
      <c r="CW27">
        <v>0</v>
      </c>
      <c r="CX27" s="7">
        <v>0</v>
      </c>
      <c r="CY27">
        <v>322</v>
      </c>
      <c r="CZ27" s="7">
        <v>0</v>
      </c>
      <c r="DA27">
        <v>0</v>
      </c>
      <c r="DB27" s="7">
        <v>0</v>
      </c>
      <c r="DC27">
        <v>0</v>
      </c>
      <c r="DD27" s="7">
        <v>0</v>
      </c>
      <c r="DE27">
        <v>0</v>
      </c>
      <c r="DF27" s="7">
        <v>0</v>
      </c>
      <c r="DG27">
        <v>0</v>
      </c>
      <c r="DH27" s="7">
        <v>0</v>
      </c>
      <c r="DI27">
        <v>0</v>
      </c>
      <c r="DJ27" s="7">
        <v>0</v>
      </c>
      <c r="DK27">
        <v>0</v>
      </c>
      <c r="DL27" s="7">
        <v>0</v>
      </c>
      <c r="DM27">
        <v>0</v>
      </c>
      <c r="DN27" s="7">
        <v>0</v>
      </c>
      <c r="DO27">
        <v>0</v>
      </c>
      <c r="DP27" s="7">
        <v>0</v>
      </c>
      <c r="DQ27">
        <v>0</v>
      </c>
      <c r="DR27" s="7">
        <v>0</v>
      </c>
      <c r="DS27">
        <v>0</v>
      </c>
      <c r="DT27" s="7">
        <v>0</v>
      </c>
      <c r="DU27">
        <v>0</v>
      </c>
      <c r="DV27" s="7">
        <v>0</v>
      </c>
      <c r="DW27">
        <v>0</v>
      </c>
      <c r="DX27" s="7">
        <v>0</v>
      </c>
      <c r="DY27">
        <v>0</v>
      </c>
      <c r="DZ27" s="7">
        <v>0</v>
      </c>
      <c r="EA27">
        <v>0</v>
      </c>
      <c r="EB27" s="7">
        <v>0</v>
      </c>
      <c r="EC27">
        <v>0</v>
      </c>
      <c r="ED27" s="7">
        <v>0</v>
      </c>
    </row>
    <row r="28" spans="1:134" x14ac:dyDescent="0.25">
      <c r="A28" s="1">
        <v>25233</v>
      </c>
      <c r="B28" s="7">
        <v>1</v>
      </c>
      <c r="C28" s="1">
        <v>28057</v>
      </c>
      <c r="D28" s="7">
        <v>1</v>
      </c>
      <c r="E28" s="1">
        <v>14569</v>
      </c>
      <c r="F28" s="7">
        <v>1</v>
      </c>
      <c r="G28" s="1">
        <v>7901</v>
      </c>
      <c r="H28" s="7">
        <v>0</v>
      </c>
      <c r="I28">
        <v>0</v>
      </c>
      <c r="J28" s="7">
        <v>0</v>
      </c>
      <c r="K28" s="1">
        <v>6861</v>
      </c>
      <c r="L28" s="7">
        <v>0</v>
      </c>
      <c r="M28">
        <v>0</v>
      </c>
      <c r="N28" s="7">
        <v>0</v>
      </c>
      <c r="O28">
        <v>0</v>
      </c>
      <c r="P28" s="7">
        <v>0</v>
      </c>
      <c r="Q28">
        <v>0</v>
      </c>
      <c r="R28" s="7">
        <v>0</v>
      </c>
      <c r="S28">
        <v>0</v>
      </c>
      <c r="T28" s="7">
        <v>0</v>
      </c>
      <c r="U28">
        <v>0</v>
      </c>
      <c r="V28" s="7">
        <v>0</v>
      </c>
      <c r="W28">
        <v>0</v>
      </c>
      <c r="X28" s="7">
        <v>0</v>
      </c>
      <c r="Y28">
        <v>0</v>
      </c>
      <c r="Z28" s="7">
        <v>0</v>
      </c>
      <c r="AA28">
        <v>0</v>
      </c>
      <c r="AB28" s="7">
        <v>0</v>
      </c>
      <c r="AC28">
        <v>0</v>
      </c>
      <c r="AD28" s="7">
        <v>0</v>
      </c>
      <c r="AE28">
        <v>0</v>
      </c>
      <c r="AF28" s="7">
        <v>0</v>
      </c>
      <c r="AG28">
        <v>0</v>
      </c>
      <c r="AH28" s="7">
        <v>0</v>
      </c>
      <c r="AI28">
        <v>0</v>
      </c>
      <c r="AJ28" s="7">
        <v>0</v>
      </c>
      <c r="AK28">
        <v>0</v>
      </c>
      <c r="AL28" s="7">
        <v>0</v>
      </c>
      <c r="AM28">
        <v>462</v>
      </c>
      <c r="AN28" s="7">
        <v>0</v>
      </c>
      <c r="AO28">
        <v>0</v>
      </c>
      <c r="AP28" s="7">
        <v>0</v>
      </c>
      <c r="AQ28">
        <v>191</v>
      </c>
      <c r="AR28" s="7">
        <v>0</v>
      </c>
      <c r="AS28">
        <v>133</v>
      </c>
      <c r="AT28" s="7">
        <v>0</v>
      </c>
      <c r="AU28">
        <v>0</v>
      </c>
      <c r="AV28" s="7">
        <v>0</v>
      </c>
      <c r="AW28">
        <v>0</v>
      </c>
      <c r="AX28" s="7">
        <v>0</v>
      </c>
      <c r="AY28">
        <v>0</v>
      </c>
      <c r="AZ28" s="7">
        <v>0</v>
      </c>
      <c r="BA28">
        <v>0</v>
      </c>
      <c r="BB28" s="7">
        <v>0</v>
      </c>
      <c r="BC28">
        <v>67</v>
      </c>
      <c r="BD28" s="7">
        <v>0</v>
      </c>
      <c r="BE28">
        <v>0</v>
      </c>
      <c r="BF28" s="7">
        <v>0</v>
      </c>
      <c r="BG28">
        <v>0</v>
      </c>
      <c r="BH28" s="7">
        <v>0</v>
      </c>
      <c r="BI28">
        <v>173</v>
      </c>
      <c r="BJ28" s="7">
        <v>0</v>
      </c>
      <c r="BK28">
        <v>0</v>
      </c>
      <c r="BL28" s="7">
        <v>0</v>
      </c>
      <c r="BM28">
        <v>0</v>
      </c>
      <c r="BN28" s="7">
        <v>0</v>
      </c>
      <c r="BO28">
        <v>0</v>
      </c>
      <c r="BP28" s="7">
        <v>0</v>
      </c>
      <c r="BQ28">
        <v>0</v>
      </c>
      <c r="BR28" s="7">
        <v>0</v>
      </c>
      <c r="BS28">
        <v>0</v>
      </c>
      <c r="BT28" s="7">
        <v>0</v>
      </c>
      <c r="BU28">
        <v>0</v>
      </c>
      <c r="BV28" s="7">
        <v>0</v>
      </c>
      <c r="BW28">
        <v>0</v>
      </c>
      <c r="BX28" s="7">
        <v>0</v>
      </c>
      <c r="BY28">
        <v>0</v>
      </c>
      <c r="BZ28" s="7">
        <v>0</v>
      </c>
      <c r="CA28">
        <v>0</v>
      </c>
      <c r="CB28" s="7">
        <v>0</v>
      </c>
      <c r="CC28">
        <v>0</v>
      </c>
      <c r="CD28" s="7">
        <v>0</v>
      </c>
      <c r="CE28">
        <v>0</v>
      </c>
      <c r="CF28" s="7">
        <v>0</v>
      </c>
      <c r="CG28">
        <v>0</v>
      </c>
      <c r="CH28" s="7">
        <v>0</v>
      </c>
      <c r="CI28">
        <v>0</v>
      </c>
      <c r="CJ28" s="7">
        <v>0</v>
      </c>
      <c r="CK28">
        <v>0</v>
      </c>
      <c r="CL28" s="7">
        <v>0</v>
      </c>
      <c r="CM28">
        <v>0</v>
      </c>
      <c r="CN28" s="7">
        <v>0</v>
      </c>
      <c r="CO28">
        <v>0</v>
      </c>
      <c r="CP28" s="7">
        <v>0</v>
      </c>
      <c r="CQ28">
        <v>115</v>
      </c>
      <c r="CR28" s="7">
        <v>0</v>
      </c>
      <c r="CS28">
        <v>38</v>
      </c>
      <c r="CT28" s="7">
        <v>0</v>
      </c>
      <c r="CU28">
        <v>0</v>
      </c>
      <c r="CV28" s="7">
        <v>0</v>
      </c>
      <c r="CW28">
        <v>0</v>
      </c>
      <c r="CX28" s="7">
        <v>0</v>
      </c>
      <c r="CY28">
        <v>0</v>
      </c>
      <c r="CZ28" s="7">
        <v>0</v>
      </c>
      <c r="DA28">
        <v>0</v>
      </c>
      <c r="DB28" s="7">
        <v>0</v>
      </c>
      <c r="DC28">
        <v>0</v>
      </c>
      <c r="DD28" s="7">
        <v>0</v>
      </c>
      <c r="DE28">
        <v>0</v>
      </c>
      <c r="DF28" s="7">
        <v>0</v>
      </c>
      <c r="DG28">
        <v>0</v>
      </c>
      <c r="DH28" s="7">
        <v>0</v>
      </c>
      <c r="DI28">
        <v>0</v>
      </c>
      <c r="DJ28" s="7">
        <v>0</v>
      </c>
      <c r="DK28">
        <v>0</v>
      </c>
      <c r="DL28" s="7">
        <v>0</v>
      </c>
      <c r="DM28">
        <v>0</v>
      </c>
      <c r="DN28" s="7">
        <v>0</v>
      </c>
      <c r="DO28">
        <v>0</v>
      </c>
      <c r="DP28" s="7">
        <v>0</v>
      </c>
      <c r="DQ28">
        <v>0</v>
      </c>
      <c r="DR28" s="7">
        <v>0</v>
      </c>
      <c r="DS28">
        <v>0</v>
      </c>
      <c r="DT28" s="7">
        <v>0</v>
      </c>
      <c r="DU28">
        <v>234</v>
      </c>
      <c r="DV28" s="7">
        <v>0</v>
      </c>
      <c r="DW28">
        <v>0</v>
      </c>
      <c r="DX28" s="7">
        <v>0</v>
      </c>
      <c r="DY28">
        <v>0</v>
      </c>
      <c r="DZ28" s="7">
        <v>0</v>
      </c>
      <c r="EA28">
        <v>0</v>
      </c>
      <c r="EB28" s="7">
        <v>0</v>
      </c>
      <c r="EC28">
        <v>0</v>
      </c>
      <c r="ED28" s="7">
        <v>0</v>
      </c>
    </row>
    <row r="29" spans="1:134" x14ac:dyDescent="0.25">
      <c r="A29" s="1">
        <v>16043</v>
      </c>
      <c r="B29" s="7">
        <v>1</v>
      </c>
      <c r="C29" s="1">
        <v>15247</v>
      </c>
      <c r="D29" s="7">
        <v>1</v>
      </c>
      <c r="E29" s="1">
        <v>6264</v>
      </c>
      <c r="F29" s="7">
        <v>0</v>
      </c>
      <c r="G29" s="1">
        <v>3517</v>
      </c>
      <c r="H29" s="7">
        <v>0</v>
      </c>
      <c r="I29">
        <v>0</v>
      </c>
      <c r="J29" s="7">
        <v>0</v>
      </c>
      <c r="K29" s="1">
        <v>2670</v>
      </c>
      <c r="L29" s="7">
        <v>0</v>
      </c>
      <c r="M29">
        <v>0</v>
      </c>
      <c r="N29" s="7">
        <v>0</v>
      </c>
      <c r="O29">
        <v>0</v>
      </c>
      <c r="P29" s="7">
        <v>0</v>
      </c>
      <c r="Q29">
        <v>0</v>
      </c>
      <c r="R29" s="7">
        <v>0</v>
      </c>
      <c r="S29">
        <v>0</v>
      </c>
      <c r="T29" s="7">
        <v>0</v>
      </c>
      <c r="U29">
        <v>0</v>
      </c>
      <c r="V29" s="7">
        <v>0</v>
      </c>
      <c r="W29">
        <v>0</v>
      </c>
      <c r="X29" s="7">
        <v>0</v>
      </c>
      <c r="Y29">
        <v>0</v>
      </c>
      <c r="Z29" s="7">
        <v>0</v>
      </c>
      <c r="AA29">
        <v>0</v>
      </c>
      <c r="AB29" s="7">
        <v>0</v>
      </c>
      <c r="AC29">
        <v>0</v>
      </c>
      <c r="AD29" s="7">
        <v>0</v>
      </c>
      <c r="AE29">
        <v>0</v>
      </c>
      <c r="AF29" s="7">
        <v>0</v>
      </c>
      <c r="AG29">
        <v>0</v>
      </c>
      <c r="AH29" s="7">
        <v>0</v>
      </c>
      <c r="AI29">
        <v>0</v>
      </c>
      <c r="AJ29" s="7">
        <v>0</v>
      </c>
      <c r="AK29">
        <v>0</v>
      </c>
      <c r="AL29" s="7">
        <v>0</v>
      </c>
      <c r="AM29">
        <v>205</v>
      </c>
      <c r="AN29" s="7">
        <v>0</v>
      </c>
      <c r="AO29">
        <v>0</v>
      </c>
      <c r="AP29" s="7">
        <v>0</v>
      </c>
      <c r="AQ29">
        <v>95</v>
      </c>
      <c r="AR29" s="7">
        <v>0</v>
      </c>
      <c r="AS29">
        <v>95</v>
      </c>
      <c r="AT29" s="7">
        <v>0</v>
      </c>
      <c r="AU29">
        <v>0</v>
      </c>
      <c r="AV29" s="7">
        <v>0</v>
      </c>
      <c r="AW29">
        <v>0</v>
      </c>
      <c r="AX29" s="7">
        <v>0</v>
      </c>
      <c r="AY29">
        <v>0</v>
      </c>
      <c r="AZ29" s="7">
        <v>0</v>
      </c>
      <c r="BA29">
        <v>0</v>
      </c>
      <c r="BB29" s="7">
        <v>0</v>
      </c>
      <c r="BC29">
        <v>87</v>
      </c>
      <c r="BD29" s="7">
        <v>0</v>
      </c>
      <c r="BE29">
        <v>0</v>
      </c>
      <c r="BF29" s="7">
        <v>0</v>
      </c>
      <c r="BG29">
        <v>0</v>
      </c>
      <c r="BH29" s="7">
        <v>0</v>
      </c>
      <c r="BI29">
        <v>0</v>
      </c>
      <c r="BJ29" s="7">
        <v>0</v>
      </c>
      <c r="BK29">
        <v>0</v>
      </c>
      <c r="BL29" s="7">
        <v>0</v>
      </c>
      <c r="BM29">
        <v>0</v>
      </c>
      <c r="BN29" s="7">
        <v>0</v>
      </c>
      <c r="BO29">
        <v>0</v>
      </c>
      <c r="BP29" s="7">
        <v>0</v>
      </c>
      <c r="BQ29">
        <v>0</v>
      </c>
      <c r="BR29" s="7">
        <v>0</v>
      </c>
      <c r="BS29">
        <v>0</v>
      </c>
      <c r="BT29" s="7">
        <v>0</v>
      </c>
      <c r="BU29">
        <v>0</v>
      </c>
      <c r="BV29" s="7">
        <v>0</v>
      </c>
      <c r="BW29">
        <v>0</v>
      </c>
      <c r="BX29" s="7">
        <v>0</v>
      </c>
      <c r="BY29">
        <v>0</v>
      </c>
      <c r="BZ29" s="7">
        <v>0</v>
      </c>
      <c r="CA29">
        <v>0</v>
      </c>
      <c r="CB29" s="7">
        <v>0</v>
      </c>
      <c r="CC29">
        <v>0</v>
      </c>
      <c r="CD29" s="7">
        <v>0</v>
      </c>
      <c r="CE29">
        <v>0</v>
      </c>
      <c r="CF29" s="7">
        <v>0</v>
      </c>
      <c r="CG29">
        <v>0</v>
      </c>
      <c r="CH29" s="7">
        <v>0</v>
      </c>
      <c r="CI29">
        <v>0</v>
      </c>
      <c r="CJ29" s="7">
        <v>0</v>
      </c>
      <c r="CK29">
        <v>0</v>
      </c>
      <c r="CL29" s="7">
        <v>0</v>
      </c>
      <c r="CM29" s="1">
        <v>1466</v>
      </c>
      <c r="CN29" s="7">
        <v>0</v>
      </c>
      <c r="CO29">
        <v>0</v>
      </c>
      <c r="CP29" s="7">
        <v>0</v>
      </c>
      <c r="CQ29">
        <v>0</v>
      </c>
      <c r="CR29" s="7">
        <v>0</v>
      </c>
      <c r="CS29">
        <v>0</v>
      </c>
      <c r="CT29" s="7">
        <v>0</v>
      </c>
      <c r="CU29">
        <v>0</v>
      </c>
      <c r="CV29" s="7">
        <v>0</v>
      </c>
      <c r="CW29">
        <v>0</v>
      </c>
      <c r="CX29" s="7">
        <v>0</v>
      </c>
      <c r="CY29">
        <v>0</v>
      </c>
      <c r="CZ29" s="7">
        <v>0</v>
      </c>
      <c r="DA29">
        <v>0</v>
      </c>
      <c r="DB29" s="7">
        <v>0</v>
      </c>
      <c r="DC29">
        <v>0</v>
      </c>
      <c r="DD29" s="7">
        <v>0</v>
      </c>
      <c r="DE29">
        <v>0</v>
      </c>
      <c r="DF29" s="7">
        <v>0</v>
      </c>
      <c r="DG29">
        <v>0</v>
      </c>
      <c r="DH29" s="7">
        <v>0</v>
      </c>
      <c r="DI29">
        <v>0</v>
      </c>
      <c r="DJ29" s="7">
        <v>0</v>
      </c>
      <c r="DK29">
        <v>0</v>
      </c>
      <c r="DL29" s="7">
        <v>0</v>
      </c>
      <c r="DM29">
        <v>0</v>
      </c>
      <c r="DN29" s="7">
        <v>0</v>
      </c>
      <c r="DO29">
        <v>0</v>
      </c>
      <c r="DP29" s="7">
        <v>0</v>
      </c>
      <c r="DQ29">
        <v>0</v>
      </c>
      <c r="DR29" s="7">
        <v>0</v>
      </c>
      <c r="DS29">
        <v>0</v>
      </c>
      <c r="DT29" s="7">
        <v>0</v>
      </c>
      <c r="DU29">
        <v>0</v>
      </c>
      <c r="DV29" s="7">
        <v>0</v>
      </c>
      <c r="DW29">
        <v>0</v>
      </c>
      <c r="DX29" s="7">
        <v>0</v>
      </c>
      <c r="DY29">
        <v>0</v>
      </c>
      <c r="DZ29" s="7">
        <v>0</v>
      </c>
      <c r="EA29">
        <v>0</v>
      </c>
      <c r="EB29" s="7">
        <v>0</v>
      </c>
      <c r="EC29">
        <v>0</v>
      </c>
      <c r="ED29" s="7">
        <v>0</v>
      </c>
    </row>
    <row r="30" spans="1:134" x14ac:dyDescent="0.25">
      <c r="A30" s="1">
        <v>94384</v>
      </c>
      <c r="B30" s="7">
        <v>2</v>
      </c>
      <c r="C30" s="1">
        <v>91857</v>
      </c>
      <c r="D30" s="7">
        <v>2</v>
      </c>
      <c r="E30" s="1">
        <v>56353</v>
      </c>
      <c r="F30" s="7">
        <v>1</v>
      </c>
      <c r="G30" s="1">
        <v>34313</v>
      </c>
      <c r="H30" s="7">
        <v>0</v>
      </c>
      <c r="I30">
        <v>0</v>
      </c>
      <c r="J30" s="7">
        <v>0</v>
      </c>
      <c r="K30" s="1">
        <v>26947</v>
      </c>
      <c r="L30" s="7">
        <v>0</v>
      </c>
      <c r="M30">
        <v>0</v>
      </c>
      <c r="N30" s="7">
        <v>0</v>
      </c>
      <c r="O30">
        <v>0</v>
      </c>
      <c r="P30" s="7">
        <v>0</v>
      </c>
      <c r="Q30">
        <v>0</v>
      </c>
      <c r="R30" s="7">
        <v>0</v>
      </c>
      <c r="S30">
        <v>0</v>
      </c>
      <c r="T30" s="7">
        <v>0</v>
      </c>
      <c r="U30">
        <v>0</v>
      </c>
      <c r="V30" s="7">
        <v>0</v>
      </c>
      <c r="W30">
        <v>0</v>
      </c>
      <c r="X30" s="7">
        <v>0</v>
      </c>
      <c r="Y30">
        <v>0</v>
      </c>
      <c r="Z30" s="7">
        <v>0</v>
      </c>
      <c r="AA30">
        <v>0</v>
      </c>
      <c r="AB30" s="7">
        <v>0</v>
      </c>
      <c r="AC30">
        <v>0</v>
      </c>
      <c r="AD30" s="7">
        <v>0</v>
      </c>
      <c r="AE30">
        <v>0</v>
      </c>
      <c r="AF30" s="7">
        <v>0</v>
      </c>
      <c r="AG30">
        <v>0</v>
      </c>
      <c r="AH30" s="7">
        <v>0</v>
      </c>
      <c r="AI30">
        <v>0</v>
      </c>
      <c r="AJ30" s="7">
        <v>0</v>
      </c>
      <c r="AK30">
        <v>0</v>
      </c>
      <c r="AL30" s="7">
        <v>0</v>
      </c>
      <c r="AM30" s="1">
        <v>2088</v>
      </c>
      <c r="AN30" s="7">
        <v>0</v>
      </c>
      <c r="AO30">
        <v>0</v>
      </c>
      <c r="AP30" s="7">
        <v>0</v>
      </c>
      <c r="AQ30">
        <v>594</v>
      </c>
      <c r="AR30" s="7">
        <v>0</v>
      </c>
      <c r="AS30">
        <v>586</v>
      </c>
      <c r="AT30" s="7">
        <v>0</v>
      </c>
      <c r="AU30">
        <v>0</v>
      </c>
      <c r="AV30" s="7">
        <v>0</v>
      </c>
      <c r="AW30">
        <v>0</v>
      </c>
      <c r="AX30" s="7">
        <v>0</v>
      </c>
      <c r="AY30">
        <v>0</v>
      </c>
      <c r="AZ30" s="7">
        <v>0</v>
      </c>
      <c r="BA30">
        <v>223</v>
      </c>
      <c r="BB30" s="7">
        <v>0</v>
      </c>
      <c r="BC30">
        <v>281</v>
      </c>
      <c r="BD30" s="7">
        <v>0</v>
      </c>
      <c r="BE30">
        <v>0</v>
      </c>
      <c r="BF30" s="7">
        <v>0</v>
      </c>
      <c r="BG30">
        <v>0</v>
      </c>
      <c r="BH30" s="7">
        <v>0</v>
      </c>
      <c r="BI30">
        <v>0</v>
      </c>
      <c r="BJ30" s="7">
        <v>0</v>
      </c>
      <c r="BK30">
        <v>0</v>
      </c>
      <c r="BL30" s="7">
        <v>0</v>
      </c>
      <c r="BM30">
        <v>0</v>
      </c>
      <c r="BN30" s="7">
        <v>0</v>
      </c>
      <c r="BO30">
        <v>0</v>
      </c>
      <c r="BP30" s="7">
        <v>0</v>
      </c>
      <c r="BQ30">
        <v>0</v>
      </c>
      <c r="BR30" s="7">
        <v>0</v>
      </c>
      <c r="BS30">
        <v>0</v>
      </c>
      <c r="BT30" s="7">
        <v>0</v>
      </c>
      <c r="BU30">
        <v>0</v>
      </c>
      <c r="BV30" s="7">
        <v>0</v>
      </c>
      <c r="BW30">
        <v>0</v>
      </c>
      <c r="BX30" s="7">
        <v>0</v>
      </c>
      <c r="BY30">
        <v>0</v>
      </c>
      <c r="BZ30" s="7">
        <v>0</v>
      </c>
      <c r="CA30">
        <v>0</v>
      </c>
      <c r="CB30" s="7">
        <v>0</v>
      </c>
      <c r="CC30">
        <v>0</v>
      </c>
      <c r="CD30" s="7">
        <v>0</v>
      </c>
      <c r="CE30">
        <v>0</v>
      </c>
      <c r="CF30" s="7">
        <v>0</v>
      </c>
      <c r="CG30">
        <v>0</v>
      </c>
      <c r="CH30" s="7">
        <v>0</v>
      </c>
      <c r="CI30">
        <v>0</v>
      </c>
      <c r="CJ30" s="7">
        <v>0</v>
      </c>
      <c r="CK30">
        <v>0</v>
      </c>
      <c r="CL30" s="7">
        <v>0</v>
      </c>
      <c r="CM30">
        <v>0</v>
      </c>
      <c r="CN30" s="7">
        <v>0</v>
      </c>
      <c r="CO30">
        <v>0</v>
      </c>
      <c r="CP30" s="7">
        <v>0</v>
      </c>
      <c r="CQ30">
        <v>0</v>
      </c>
      <c r="CR30" s="7">
        <v>0</v>
      </c>
      <c r="CS30">
        <v>0</v>
      </c>
      <c r="CT30" s="7">
        <v>0</v>
      </c>
      <c r="CU30">
        <v>0</v>
      </c>
      <c r="CV30" s="7">
        <v>0</v>
      </c>
      <c r="CW30">
        <v>0</v>
      </c>
      <c r="CX30" s="7">
        <v>0</v>
      </c>
      <c r="CY30">
        <v>0</v>
      </c>
      <c r="CZ30" s="7">
        <v>0</v>
      </c>
      <c r="DA30">
        <v>0</v>
      </c>
      <c r="DB30" s="7">
        <v>0</v>
      </c>
      <c r="DC30">
        <v>0</v>
      </c>
      <c r="DD30" s="7">
        <v>0</v>
      </c>
      <c r="DE30">
        <v>0</v>
      </c>
      <c r="DF30" s="7">
        <v>0</v>
      </c>
      <c r="DG30">
        <v>151</v>
      </c>
      <c r="DH30" s="7">
        <v>0</v>
      </c>
      <c r="DI30">
        <v>0</v>
      </c>
      <c r="DJ30" s="7">
        <v>0</v>
      </c>
      <c r="DK30">
        <v>530</v>
      </c>
      <c r="DL30" s="7">
        <v>0</v>
      </c>
      <c r="DM30">
        <v>0</v>
      </c>
      <c r="DN30" s="7">
        <v>0</v>
      </c>
      <c r="DO30">
        <v>0</v>
      </c>
      <c r="DP30" s="7">
        <v>0</v>
      </c>
      <c r="DQ30">
        <v>0</v>
      </c>
      <c r="DR30" s="7">
        <v>0</v>
      </c>
      <c r="DS30">
        <v>0</v>
      </c>
      <c r="DT30" s="7">
        <v>0</v>
      </c>
      <c r="DU30">
        <v>0</v>
      </c>
      <c r="DV30" s="7">
        <v>0</v>
      </c>
      <c r="DW30">
        <v>0</v>
      </c>
      <c r="DX30" s="7">
        <v>0</v>
      </c>
      <c r="DY30">
        <v>0</v>
      </c>
      <c r="DZ30" s="7">
        <v>0</v>
      </c>
      <c r="EA30">
        <v>0</v>
      </c>
      <c r="EB30" s="7">
        <v>0</v>
      </c>
      <c r="EC30">
        <v>0</v>
      </c>
      <c r="ED30" s="7">
        <v>0</v>
      </c>
    </row>
    <row r="31" spans="1:134" x14ac:dyDescent="0.25">
      <c r="A31" s="1">
        <v>32747</v>
      </c>
      <c r="B31" s="7">
        <v>1</v>
      </c>
      <c r="C31" s="1">
        <v>33495</v>
      </c>
      <c r="D31" s="7">
        <v>1</v>
      </c>
      <c r="E31" s="1">
        <v>17036</v>
      </c>
      <c r="F31" s="7">
        <v>1</v>
      </c>
      <c r="G31" s="1">
        <v>7001</v>
      </c>
      <c r="H31" s="7">
        <v>0</v>
      </c>
      <c r="I31">
        <v>0</v>
      </c>
      <c r="J31" s="7">
        <v>0</v>
      </c>
      <c r="K31" s="1">
        <v>6835</v>
      </c>
      <c r="L31" s="7">
        <v>0</v>
      </c>
      <c r="M31">
        <v>0</v>
      </c>
      <c r="N31" s="7">
        <v>0</v>
      </c>
      <c r="O31">
        <v>0</v>
      </c>
      <c r="P31" s="7">
        <v>0</v>
      </c>
      <c r="Q31">
        <v>0</v>
      </c>
      <c r="R31" s="7">
        <v>0</v>
      </c>
      <c r="S31">
        <v>0</v>
      </c>
      <c r="T31" s="7">
        <v>0</v>
      </c>
      <c r="U31">
        <v>0</v>
      </c>
      <c r="V31" s="7">
        <v>0</v>
      </c>
      <c r="W31">
        <v>0</v>
      </c>
      <c r="X31" s="7">
        <v>0</v>
      </c>
      <c r="Y31">
        <v>0</v>
      </c>
      <c r="Z31" s="7">
        <v>0</v>
      </c>
      <c r="AA31">
        <v>0</v>
      </c>
      <c r="AB31" s="7">
        <v>0</v>
      </c>
      <c r="AC31">
        <v>0</v>
      </c>
      <c r="AD31" s="7">
        <v>0</v>
      </c>
      <c r="AE31">
        <v>0</v>
      </c>
      <c r="AF31" s="7">
        <v>0</v>
      </c>
      <c r="AG31">
        <v>0</v>
      </c>
      <c r="AH31" s="7">
        <v>0</v>
      </c>
      <c r="AI31">
        <v>0</v>
      </c>
      <c r="AJ31" s="7">
        <v>0</v>
      </c>
      <c r="AK31">
        <v>0</v>
      </c>
      <c r="AL31" s="7">
        <v>0</v>
      </c>
      <c r="AM31">
        <v>432</v>
      </c>
      <c r="AN31" s="7">
        <v>0</v>
      </c>
      <c r="AO31">
        <v>0</v>
      </c>
      <c r="AP31" s="7">
        <v>0</v>
      </c>
      <c r="AQ31">
        <v>129</v>
      </c>
      <c r="AR31" s="7">
        <v>0</v>
      </c>
      <c r="AS31">
        <v>143</v>
      </c>
      <c r="AT31" s="7">
        <v>0</v>
      </c>
      <c r="AU31">
        <v>0</v>
      </c>
      <c r="AV31" s="7">
        <v>0</v>
      </c>
      <c r="AW31">
        <v>0</v>
      </c>
      <c r="AX31" s="7">
        <v>0</v>
      </c>
      <c r="AY31">
        <v>0</v>
      </c>
      <c r="AZ31" s="7">
        <v>0</v>
      </c>
      <c r="BA31">
        <v>0</v>
      </c>
      <c r="BB31" s="7">
        <v>0</v>
      </c>
      <c r="BC31">
        <v>120</v>
      </c>
      <c r="BD31" s="7">
        <v>0</v>
      </c>
      <c r="BE31">
        <v>0</v>
      </c>
      <c r="BF31" s="7">
        <v>0</v>
      </c>
      <c r="BG31">
        <v>369</v>
      </c>
      <c r="BH31" s="7">
        <v>0</v>
      </c>
      <c r="BI31">
        <v>0</v>
      </c>
      <c r="BJ31" s="7">
        <v>0</v>
      </c>
      <c r="BK31">
        <v>0</v>
      </c>
      <c r="BL31" s="7">
        <v>0</v>
      </c>
      <c r="BM31">
        <v>0</v>
      </c>
      <c r="BN31" s="7">
        <v>0</v>
      </c>
      <c r="BO31">
        <v>0</v>
      </c>
      <c r="BP31" s="7">
        <v>0</v>
      </c>
      <c r="BQ31">
        <v>0</v>
      </c>
      <c r="BR31" s="7">
        <v>0</v>
      </c>
      <c r="BS31">
        <v>0</v>
      </c>
      <c r="BT31" s="7">
        <v>0</v>
      </c>
      <c r="BU31">
        <v>0</v>
      </c>
      <c r="BV31" s="7">
        <v>0</v>
      </c>
      <c r="BW31">
        <v>0</v>
      </c>
      <c r="BX31" s="7">
        <v>0</v>
      </c>
      <c r="BY31">
        <v>0</v>
      </c>
      <c r="BZ31" s="7">
        <v>0</v>
      </c>
      <c r="CA31">
        <v>0</v>
      </c>
      <c r="CB31" s="7">
        <v>0</v>
      </c>
      <c r="CC31">
        <v>0</v>
      </c>
      <c r="CD31" s="7">
        <v>0</v>
      </c>
      <c r="CE31">
        <v>0</v>
      </c>
      <c r="CF31" s="7">
        <v>0</v>
      </c>
      <c r="CG31">
        <v>0</v>
      </c>
      <c r="CH31" s="7">
        <v>0</v>
      </c>
      <c r="CI31">
        <v>0</v>
      </c>
      <c r="CJ31" s="7">
        <v>0</v>
      </c>
      <c r="CK31">
        <v>0</v>
      </c>
      <c r="CL31" s="7">
        <v>0</v>
      </c>
      <c r="CM31">
        <v>0</v>
      </c>
      <c r="CN31" s="7">
        <v>0</v>
      </c>
      <c r="CO31">
        <v>0</v>
      </c>
      <c r="CP31" s="7">
        <v>0</v>
      </c>
      <c r="CQ31">
        <v>0</v>
      </c>
      <c r="CR31" s="7">
        <v>0</v>
      </c>
      <c r="CS31">
        <v>0</v>
      </c>
      <c r="CT31" s="7">
        <v>0</v>
      </c>
      <c r="CU31">
        <v>0</v>
      </c>
      <c r="CV31" s="7">
        <v>0</v>
      </c>
      <c r="CW31">
        <v>0</v>
      </c>
      <c r="CX31" s="7">
        <v>0</v>
      </c>
      <c r="CY31">
        <v>278</v>
      </c>
      <c r="CZ31" s="7">
        <v>0</v>
      </c>
      <c r="DA31">
        <v>0</v>
      </c>
      <c r="DB31" s="7">
        <v>0</v>
      </c>
      <c r="DC31">
        <v>0</v>
      </c>
      <c r="DD31" s="7">
        <v>0</v>
      </c>
      <c r="DE31">
        <v>0</v>
      </c>
      <c r="DF31" s="7">
        <v>0</v>
      </c>
      <c r="DG31">
        <v>0</v>
      </c>
      <c r="DH31" s="7">
        <v>0</v>
      </c>
      <c r="DI31">
        <v>0</v>
      </c>
      <c r="DJ31" s="7">
        <v>0</v>
      </c>
      <c r="DK31">
        <v>0</v>
      </c>
      <c r="DL31" s="7">
        <v>0</v>
      </c>
      <c r="DM31">
        <v>0</v>
      </c>
      <c r="DN31" s="7">
        <v>0</v>
      </c>
      <c r="DO31">
        <v>0</v>
      </c>
      <c r="DP31" s="7">
        <v>0</v>
      </c>
      <c r="DQ31">
        <v>0</v>
      </c>
      <c r="DR31" s="7">
        <v>0</v>
      </c>
      <c r="DS31">
        <v>0</v>
      </c>
      <c r="DT31" s="7">
        <v>0</v>
      </c>
      <c r="DU31">
        <v>0</v>
      </c>
      <c r="DV31" s="7">
        <v>0</v>
      </c>
      <c r="DW31">
        <v>0</v>
      </c>
      <c r="DX31" s="7">
        <v>0</v>
      </c>
      <c r="DY31">
        <v>0</v>
      </c>
      <c r="DZ31" s="7">
        <v>0</v>
      </c>
      <c r="EA31">
        <v>0</v>
      </c>
      <c r="EB31" s="7">
        <v>0</v>
      </c>
      <c r="EC31">
        <v>0</v>
      </c>
      <c r="ED31" s="7">
        <v>0</v>
      </c>
    </row>
    <row r="32" spans="1:134" x14ac:dyDescent="0.25">
      <c r="A32" s="1">
        <v>638319</v>
      </c>
      <c r="B32" s="7">
        <v>8</v>
      </c>
      <c r="C32" s="1">
        <v>225645</v>
      </c>
      <c r="D32" s="7">
        <v>2</v>
      </c>
      <c r="E32" s="1">
        <v>184715</v>
      </c>
      <c r="F32" s="7">
        <v>2</v>
      </c>
      <c r="G32">
        <v>0</v>
      </c>
      <c r="H32" s="7">
        <v>0</v>
      </c>
      <c r="I32" s="1">
        <v>618909</v>
      </c>
      <c r="J32" s="7">
        <v>7</v>
      </c>
      <c r="K32" s="1">
        <v>174124</v>
      </c>
      <c r="L32" s="7">
        <v>2</v>
      </c>
      <c r="M32" s="1">
        <v>343931</v>
      </c>
      <c r="N32" s="7">
        <v>4</v>
      </c>
      <c r="O32" s="1">
        <v>452482</v>
      </c>
      <c r="P32" s="7">
        <v>5</v>
      </c>
      <c r="Q32">
        <v>0</v>
      </c>
      <c r="R32" s="7">
        <v>0</v>
      </c>
      <c r="S32">
        <v>0</v>
      </c>
      <c r="T32" s="7">
        <v>0</v>
      </c>
      <c r="U32">
        <v>0</v>
      </c>
      <c r="V32" s="7">
        <v>0</v>
      </c>
      <c r="W32" s="1">
        <v>179041</v>
      </c>
      <c r="X32" s="7">
        <v>2</v>
      </c>
      <c r="Y32">
        <v>0</v>
      </c>
      <c r="Z32" s="7">
        <v>0</v>
      </c>
      <c r="AA32">
        <v>0</v>
      </c>
      <c r="AB32" s="7">
        <v>0</v>
      </c>
      <c r="AC32">
        <v>0</v>
      </c>
      <c r="AD32" s="7">
        <v>0</v>
      </c>
      <c r="AE32">
        <v>0</v>
      </c>
      <c r="AF32" s="7">
        <v>0</v>
      </c>
      <c r="AG32">
        <v>0</v>
      </c>
      <c r="AH32" s="7">
        <v>0</v>
      </c>
      <c r="AI32">
        <v>0</v>
      </c>
      <c r="AJ32" s="7">
        <v>0</v>
      </c>
      <c r="AK32">
        <v>0</v>
      </c>
      <c r="AL32" s="7">
        <v>0</v>
      </c>
      <c r="AM32" s="1">
        <v>34752</v>
      </c>
      <c r="AN32" s="7">
        <v>0</v>
      </c>
      <c r="AO32" s="1">
        <v>41826</v>
      </c>
      <c r="AP32" s="7">
        <v>0</v>
      </c>
      <c r="AQ32" s="1">
        <v>4698</v>
      </c>
      <c r="AR32" s="7">
        <v>0</v>
      </c>
      <c r="AS32" s="1">
        <v>1577</v>
      </c>
      <c r="AT32" s="7">
        <v>0</v>
      </c>
      <c r="AU32">
        <v>0</v>
      </c>
      <c r="AV32" s="7">
        <v>0</v>
      </c>
      <c r="AW32">
        <v>0</v>
      </c>
      <c r="AX32" s="7">
        <v>0</v>
      </c>
      <c r="AY32">
        <v>0</v>
      </c>
      <c r="AZ32" s="7">
        <v>0</v>
      </c>
      <c r="BA32" s="1">
        <v>1509</v>
      </c>
      <c r="BB32" s="7">
        <v>0</v>
      </c>
      <c r="BC32" s="1">
        <v>1587</v>
      </c>
      <c r="BD32" s="7">
        <v>0</v>
      </c>
      <c r="BE32">
        <v>0</v>
      </c>
      <c r="BF32" s="7">
        <v>0</v>
      </c>
      <c r="BG32">
        <v>0</v>
      </c>
      <c r="BH32" s="7">
        <v>0</v>
      </c>
      <c r="BI32">
        <v>0</v>
      </c>
      <c r="BJ32" s="7">
        <v>0</v>
      </c>
      <c r="BK32">
        <v>0</v>
      </c>
      <c r="BL32" s="7">
        <v>0</v>
      </c>
      <c r="BM32">
        <v>0</v>
      </c>
      <c r="BN32" s="7">
        <v>0</v>
      </c>
      <c r="BO32">
        <v>0</v>
      </c>
      <c r="BP32" s="7">
        <v>0</v>
      </c>
      <c r="BQ32">
        <v>0</v>
      </c>
      <c r="BR32" s="7">
        <v>0</v>
      </c>
      <c r="BS32">
        <v>0</v>
      </c>
      <c r="BT32" s="7">
        <v>0</v>
      </c>
      <c r="BU32">
        <v>0</v>
      </c>
      <c r="BV32" s="7">
        <v>0</v>
      </c>
      <c r="BW32">
        <v>0</v>
      </c>
      <c r="BX32" s="7">
        <v>0</v>
      </c>
      <c r="BY32" s="1">
        <v>3005</v>
      </c>
      <c r="BZ32" s="7">
        <v>0</v>
      </c>
      <c r="CA32">
        <v>0</v>
      </c>
      <c r="CB32" s="7">
        <v>0</v>
      </c>
      <c r="CC32">
        <v>0</v>
      </c>
      <c r="CD32" s="7">
        <v>0</v>
      </c>
      <c r="CE32" s="1">
        <v>1178</v>
      </c>
      <c r="CF32" s="7">
        <v>0</v>
      </c>
      <c r="CG32">
        <v>0</v>
      </c>
      <c r="CH32" s="7">
        <v>0</v>
      </c>
      <c r="CI32">
        <v>0</v>
      </c>
      <c r="CJ32" s="7">
        <v>0</v>
      </c>
      <c r="CK32">
        <v>0</v>
      </c>
      <c r="CL32" s="7">
        <v>0</v>
      </c>
      <c r="CM32">
        <v>0</v>
      </c>
      <c r="CN32" s="7">
        <v>0</v>
      </c>
      <c r="CO32">
        <v>0</v>
      </c>
      <c r="CP32" s="7">
        <v>0</v>
      </c>
      <c r="CQ32">
        <v>0</v>
      </c>
      <c r="CR32" s="7">
        <v>0</v>
      </c>
      <c r="CS32">
        <v>0</v>
      </c>
      <c r="CT32" s="7">
        <v>0</v>
      </c>
      <c r="CU32">
        <v>0</v>
      </c>
      <c r="CV32" s="7">
        <v>0</v>
      </c>
      <c r="CW32">
        <v>0</v>
      </c>
      <c r="CX32" s="7">
        <v>0</v>
      </c>
      <c r="CY32">
        <v>0</v>
      </c>
      <c r="CZ32" s="7">
        <v>0</v>
      </c>
      <c r="DA32">
        <v>0</v>
      </c>
      <c r="DB32" s="7">
        <v>0</v>
      </c>
      <c r="DC32">
        <v>0</v>
      </c>
      <c r="DD32" s="7">
        <v>0</v>
      </c>
      <c r="DE32">
        <v>0</v>
      </c>
      <c r="DF32" s="7">
        <v>0</v>
      </c>
      <c r="DG32">
        <v>0</v>
      </c>
      <c r="DH32" s="7">
        <v>0</v>
      </c>
      <c r="DI32">
        <v>0</v>
      </c>
      <c r="DJ32" s="7">
        <v>0</v>
      </c>
      <c r="DK32">
        <v>0</v>
      </c>
      <c r="DL32" s="7">
        <v>0</v>
      </c>
      <c r="DM32">
        <v>0</v>
      </c>
      <c r="DN32" s="7">
        <v>0</v>
      </c>
      <c r="DO32">
        <v>0</v>
      </c>
      <c r="DP32" s="7">
        <v>0</v>
      </c>
      <c r="DQ32">
        <v>0</v>
      </c>
      <c r="DR32" s="7">
        <v>0</v>
      </c>
      <c r="DS32">
        <v>0</v>
      </c>
      <c r="DT32" s="7">
        <v>0</v>
      </c>
      <c r="DU32">
        <v>0</v>
      </c>
      <c r="DV32" s="7">
        <v>0</v>
      </c>
      <c r="DW32">
        <v>0</v>
      </c>
      <c r="DX32" s="7">
        <v>0</v>
      </c>
      <c r="DY32">
        <v>0</v>
      </c>
      <c r="DZ32" s="7">
        <v>0</v>
      </c>
      <c r="EA32">
        <v>0</v>
      </c>
      <c r="EB32" s="7">
        <v>0</v>
      </c>
      <c r="EC32">
        <v>0</v>
      </c>
      <c r="ED32" s="7">
        <v>0</v>
      </c>
    </row>
    <row r="33" spans="1:134" x14ac:dyDescent="0.25">
      <c r="A33" s="1">
        <v>52723</v>
      </c>
      <c r="B33" s="7">
        <v>1</v>
      </c>
      <c r="C33" s="1">
        <v>17449</v>
      </c>
      <c r="D33" s="7">
        <v>0</v>
      </c>
      <c r="E33" s="1">
        <v>18489</v>
      </c>
      <c r="F33" s="7">
        <v>0</v>
      </c>
      <c r="G33">
        <v>0</v>
      </c>
      <c r="H33" s="7">
        <v>0</v>
      </c>
      <c r="I33" s="1">
        <v>91932</v>
      </c>
      <c r="J33" s="7">
        <v>2</v>
      </c>
      <c r="K33" s="1">
        <v>13869</v>
      </c>
      <c r="L33" s="7">
        <v>0</v>
      </c>
      <c r="M33" s="1">
        <v>88060</v>
      </c>
      <c r="N33" s="7">
        <v>2</v>
      </c>
      <c r="O33" s="1">
        <v>33710</v>
      </c>
      <c r="P33" s="7">
        <v>1</v>
      </c>
      <c r="Q33">
        <v>0</v>
      </c>
      <c r="R33" s="7">
        <v>0</v>
      </c>
      <c r="S33">
        <v>0</v>
      </c>
      <c r="T33" s="7">
        <v>0</v>
      </c>
      <c r="U33">
        <v>0</v>
      </c>
      <c r="V33" s="7">
        <v>0</v>
      </c>
      <c r="W33" s="1">
        <v>31703</v>
      </c>
      <c r="X33" s="7">
        <v>0</v>
      </c>
      <c r="Y33">
        <v>0</v>
      </c>
      <c r="Z33" s="7">
        <v>0</v>
      </c>
      <c r="AA33">
        <v>0</v>
      </c>
      <c r="AB33" s="7">
        <v>0</v>
      </c>
      <c r="AC33">
        <v>0</v>
      </c>
      <c r="AD33" s="7">
        <v>0</v>
      </c>
      <c r="AE33">
        <v>0</v>
      </c>
      <c r="AF33" s="7">
        <v>0</v>
      </c>
      <c r="AG33">
        <v>0</v>
      </c>
      <c r="AH33" s="7">
        <v>0</v>
      </c>
      <c r="AI33">
        <v>0</v>
      </c>
      <c r="AJ33" s="7">
        <v>0</v>
      </c>
      <c r="AK33">
        <v>0</v>
      </c>
      <c r="AL33" s="7">
        <v>0</v>
      </c>
      <c r="AM33" s="1">
        <v>3724</v>
      </c>
      <c r="AN33" s="7">
        <v>0</v>
      </c>
      <c r="AO33">
        <v>0</v>
      </c>
      <c r="AP33" s="7">
        <v>0</v>
      </c>
      <c r="AQ33">
        <v>508</v>
      </c>
      <c r="AR33" s="7">
        <v>0</v>
      </c>
      <c r="AS33">
        <v>339</v>
      </c>
      <c r="AT33" s="7">
        <v>0</v>
      </c>
      <c r="AU33">
        <v>0</v>
      </c>
      <c r="AV33" s="7">
        <v>0</v>
      </c>
      <c r="AW33">
        <v>0</v>
      </c>
      <c r="AX33" s="7">
        <v>0</v>
      </c>
      <c r="AY33">
        <v>0</v>
      </c>
      <c r="AZ33" s="7">
        <v>0</v>
      </c>
      <c r="BA33">
        <v>327</v>
      </c>
      <c r="BB33" s="7">
        <v>0</v>
      </c>
      <c r="BC33">
        <v>316</v>
      </c>
      <c r="BD33" s="7">
        <v>0</v>
      </c>
      <c r="BE33">
        <v>0</v>
      </c>
      <c r="BF33" s="7">
        <v>0</v>
      </c>
      <c r="BG33">
        <v>0</v>
      </c>
      <c r="BH33" s="7">
        <v>0</v>
      </c>
      <c r="BI33">
        <v>0</v>
      </c>
      <c r="BJ33" s="7">
        <v>0</v>
      </c>
      <c r="BK33">
        <v>0</v>
      </c>
      <c r="BL33" s="7">
        <v>0</v>
      </c>
      <c r="BM33">
        <v>0</v>
      </c>
      <c r="BN33" s="7">
        <v>0</v>
      </c>
      <c r="BO33">
        <v>0</v>
      </c>
      <c r="BP33" s="7">
        <v>0</v>
      </c>
      <c r="BQ33">
        <v>0</v>
      </c>
      <c r="BR33" s="7">
        <v>0</v>
      </c>
      <c r="BS33">
        <v>0</v>
      </c>
      <c r="BT33" s="7">
        <v>0</v>
      </c>
      <c r="BU33">
        <v>0</v>
      </c>
      <c r="BV33" s="7">
        <v>0</v>
      </c>
      <c r="BW33">
        <v>0</v>
      </c>
      <c r="BX33" s="7">
        <v>0</v>
      </c>
      <c r="BY33">
        <v>0</v>
      </c>
      <c r="BZ33" s="7">
        <v>0</v>
      </c>
      <c r="CA33">
        <v>0</v>
      </c>
      <c r="CB33" s="7">
        <v>0</v>
      </c>
      <c r="CC33">
        <v>0</v>
      </c>
      <c r="CD33" s="7">
        <v>0</v>
      </c>
      <c r="CE33">
        <v>246</v>
      </c>
      <c r="CF33" s="7">
        <v>0</v>
      </c>
      <c r="CG33">
        <v>0</v>
      </c>
      <c r="CH33" s="7">
        <v>0</v>
      </c>
      <c r="CI33">
        <v>0</v>
      </c>
      <c r="CJ33" s="7">
        <v>0</v>
      </c>
      <c r="CK33">
        <v>0</v>
      </c>
      <c r="CL33" s="7">
        <v>0</v>
      </c>
      <c r="CM33">
        <v>0</v>
      </c>
      <c r="CN33" s="7">
        <v>0</v>
      </c>
      <c r="CO33">
        <v>0</v>
      </c>
      <c r="CP33" s="7">
        <v>0</v>
      </c>
      <c r="CQ33">
        <v>0</v>
      </c>
      <c r="CR33" s="7">
        <v>0</v>
      </c>
      <c r="CS33">
        <v>0</v>
      </c>
      <c r="CT33" s="7">
        <v>0</v>
      </c>
      <c r="CU33">
        <v>0</v>
      </c>
      <c r="CV33" s="7">
        <v>0</v>
      </c>
      <c r="CW33">
        <v>0</v>
      </c>
      <c r="CX33" s="7">
        <v>0</v>
      </c>
      <c r="CY33">
        <v>0</v>
      </c>
      <c r="CZ33" s="7">
        <v>0</v>
      </c>
      <c r="DA33">
        <v>0</v>
      </c>
      <c r="DB33" s="7">
        <v>0</v>
      </c>
      <c r="DC33">
        <v>0</v>
      </c>
      <c r="DD33" s="7">
        <v>0</v>
      </c>
      <c r="DE33">
        <v>0</v>
      </c>
      <c r="DF33" s="7">
        <v>0</v>
      </c>
      <c r="DG33">
        <v>0</v>
      </c>
      <c r="DH33" s="7">
        <v>0</v>
      </c>
      <c r="DI33">
        <v>0</v>
      </c>
      <c r="DJ33" s="7">
        <v>0</v>
      </c>
      <c r="DK33">
        <v>0</v>
      </c>
      <c r="DL33" s="7">
        <v>0</v>
      </c>
      <c r="DM33">
        <v>0</v>
      </c>
      <c r="DN33" s="7">
        <v>0</v>
      </c>
      <c r="DO33">
        <v>0</v>
      </c>
      <c r="DP33" s="7">
        <v>0</v>
      </c>
      <c r="DQ33">
        <v>0</v>
      </c>
      <c r="DR33" s="7">
        <v>0</v>
      </c>
      <c r="DS33">
        <v>0</v>
      </c>
      <c r="DT33" s="7">
        <v>0</v>
      </c>
      <c r="DU33">
        <v>0</v>
      </c>
      <c r="DV33" s="7">
        <v>0</v>
      </c>
      <c r="DW33">
        <v>0</v>
      </c>
      <c r="DX33" s="7">
        <v>0</v>
      </c>
      <c r="DY33">
        <v>0</v>
      </c>
      <c r="DZ33" s="7">
        <v>0</v>
      </c>
      <c r="EA33">
        <v>0</v>
      </c>
      <c r="EB33" s="7">
        <v>0</v>
      </c>
      <c r="EC33">
        <v>0</v>
      </c>
      <c r="ED33" s="7">
        <v>0</v>
      </c>
    </row>
    <row r="34" spans="1:134" x14ac:dyDescent="0.25">
      <c r="A34" s="1">
        <v>29983</v>
      </c>
      <c r="B34" s="7">
        <v>1</v>
      </c>
      <c r="C34" s="1">
        <v>14697</v>
      </c>
      <c r="D34" s="7">
        <v>0</v>
      </c>
      <c r="E34" s="1">
        <v>9312</v>
      </c>
      <c r="F34" s="7">
        <v>0</v>
      </c>
      <c r="G34">
        <v>0</v>
      </c>
      <c r="H34" s="7">
        <v>0</v>
      </c>
      <c r="I34" s="1">
        <v>65236</v>
      </c>
      <c r="J34" s="7">
        <v>2</v>
      </c>
      <c r="K34" s="1">
        <v>7128</v>
      </c>
      <c r="L34" s="7">
        <v>0</v>
      </c>
      <c r="M34" s="1">
        <v>46773</v>
      </c>
      <c r="N34" s="7">
        <v>1</v>
      </c>
      <c r="O34" s="1">
        <v>16337</v>
      </c>
      <c r="P34" s="7">
        <v>0</v>
      </c>
      <c r="Q34">
        <v>0</v>
      </c>
      <c r="R34" s="7">
        <v>0</v>
      </c>
      <c r="S34">
        <v>0</v>
      </c>
      <c r="T34" s="7">
        <v>0</v>
      </c>
      <c r="U34">
        <v>0</v>
      </c>
      <c r="V34" s="7">
        <v>0</v>
      </c>
      <c r="W34" s="1">
        <v>14098</v>
      </c>
      <c r="X34" s="7">
        <v>0</v>
      </c>
      <c r="Y34">
        <v>0</v>
      </c>
      <c r="Z34" s="7">
        <v>0</v>
      </c>
      <c r="AA34">
        <v>0</v>
      </c>
      <c r="AB34" s="7">
        <v>0</v>
      </c>
      <c r="AC34">
        <v>0</v>
      </c>
      <c r="AD34" s="7">
        <v>0</v>
      </c>
      <c r="AE34">
        <v>0</v>
      </c>
      <c r="AF34" s="7">
        <v>0</v>
      </c>
      <c r="AG34">
        <v>0</v>
      </c>
      <c r="AH34" s="7">
        <v>0</v>
      </c>
      <c r="AI34">
        <v>0</v>
      </c>
      <c r="AJ34" s="7">
        <v>0</v>
      </c>
      <c r="AK34">
        <v>0</v>
      </c>
      <c r="AL34" s="7">
        <v>0</v>
      </c>
      <c r="AM34" s="1">
        <v>1521</v>
      </c>
      <c r="AN34" s="7">
        <v>0</v>
      </c>
      <c r="AO34">
        <v>0</v>
      </c>
      <c r="AP34" s="7">
        <v>0</v>
      </c>
      <c r="AQ34">
        <v>183</v>
      </c>
      <c r="AR34" s="7">
        <v>0</v>
      </c>
      <c r="AS34">
        <v>169</v>
      </c>
      <c r="AT34" s="7">
        <v>0</v>
      </c>
      <c r="AU34">
        <v>0</v>
      </c>
      <c r="AV34" s="7">
        <v>0</v>
      </c>
      <c r="AW34">
        <v>0</v>
      </c>
      <c r="AX34" s="7">
        <v>0</v>
      </c>
      <c r="AY34">
        <v>0</v>
      </c>
      <c r="AZ34" s="7">
        <v>0</v>
      </c>
      <c r="BA34">
        <v>129</v>
      </c>
      <c r="BB34" s="7">
        <v>0</v>
      </c>
      <c r="BC34">
        <v>126</v>
      </c>
      <c r="BD34" s="7">
        <v>0</v>
      </c>
      <c r="BE34">
        <v>0</v>
      </c>
      <c r="BF34" s="7">
        <v>0</v>
      </c>
      <c r="BG34">
        <v>0</v>
      </c>
      <c r="BH34" s="7">
        <v>0</v>
      </c>
      <c r="BI34">
        <v>0</v>
      </c>
      <c r="BJ34" s="7">
        <v>0</v>
      </c>
      <c r="BK34">
        <v>0</v>
      </c>
      <c r="BL34" s="7">
        <v>0</v>
      </c>
      <c r="BM34">
        <v>0</v>
      </c>
      <c r="BN34" s="7">
        <v>0</v>
      </c>
      <c r="BO34">
        <v>0</v>
      </c>
      <c r="BP34" s="7">
        <v>0</v>
      </c>
      <c r="BQ34">
        <v>0</v>
      </c>
      <c r="BR34" s="7">
        <v>0</v>
      </c>
      <c r="BS34">
        <v>0</v>
      </c>
      <c r="BT34" s="7">
        <v>0</v>
      </c>
      <c r="BU34">
        <v>0</v>
      </c>
      <c r="BV34" s="7">
        <v>0</v>
      </c>
      <c r="BW34">
        <v>0</v>
      </c>
      <c r="BX34" s="7">
        <v>0</v>
      </c>
      <c r="BY34">
        <v>0</v>
      </c>
      <c r="BZ34" s="7">
        <v>0</v>
      </c>
      <c r="CA34">
        <v>0</v>
      </c>
      <c r="CB34" s="7">
        <v>0</v>
      </c>
      <c r="CC34">
        <v>0</v>
      </c>
      <c r="CD34" s="7">
        <v>0</v>
      </c>
      <c r="CE34">
        <v>124</v>
      </c>
      <c r="CF34" s="7">
        <v>0</v>
      </c>
      <c r="CG34">
        <v>0</v>
      </c>
      <c r="CH34" s="7">
        <v>0</v>
      </c>
      <c r="CI34">
        <v>0</v>
      </c>
      <c r="CJ34" s="7">
        <v>0</v>
      </c>
      <c r="CK34">
        <v>0</v>
      </c>
      <c r="CL34" s="7">
        <v>0</v>
      </c>
      <c r="CM34">
        <v>0</v>
      </c>
      <c r="CN34" s="7">
        <v>0</v>
      </c>
      <c r="CO34">
        <v>0</v>
      </c>
      <c r="CP34" s="7">
        <v>0</v>
      </c>
      <c r="CQ34">
        <v>0</v>
      </c>
      <c r="CR34" s="7">
        <v>0</v>
      </c>
      <c r="CS34">
        <v>0</v>
      </c>
      <c r="CT34" s="7">
        <v>0</v>
      </c>
      <c r="CU34">
        <v>0</v>
      </c>
      <c r="CV34" s="7">
        <v>0</v>
      </c>
      <c r="CW34">
        <v>0</v>
      </c>
      <c r="CX34" s="7">
        <v>0</v>
      </c>
      <c r="CY34">
        <v>0</v>
      </c>
      <c r="CZ34" s="7">
        <v>0</v>
      </c>
      <c r="DA34">
        <v>0</v>
      </c>
      <c r="DB34" s="7">
        <v>0</v>
      </c>
      <c r="DC34">
        <v>0</v>
      </c>
      <c r="DD34" s="7">
        <v>0</v>
      </c>
      <c r="DE34">
        <v>0</v>
      </c>
      <c r="DF34" s="7">
        <v>0</v>
      </c>
      <c r="DG34">
        <v>0</v>
      </c>
      <c r="DH34" s="7">
        <v>0</v>
      </c>
      <c r="DI34">
        <v>0</v>
      </c>
      <c r="DJ34" s="7">
        <v>0</v>
      </c>
      <c r="DK34">
        <v>0</v>
      </c>
      <c r="DL34" s="7">
        <v>0</v>
      </c>
      <c r="DM34">
        <v>0</v>
      </c>
      <c r="DN34" s="7">
        <v>0</v>
      </c>
      <c r="DO34">
        <v>0</v>
      </c>
      <c r="DP34" s="7">
        <v>0</v>
      </c>
      <c r="DQ34">
        <v>0</v>
      </c>
      <c r="DR34" s="7">
        <v>0</v>
      </c>
      <c r="DS34">
        <v>0</v>
      </c>
      <c r="DT34" s="7">
        <v>0</v>
      </c>
      <c r="DU34">
        <v>0</v>
      </c>
      <c r="DV34" s="7">
        <v>0</v>
      </c>
      <c r="DW34">
        <v>0</v>
      </c>
      <c r="DX34" s="7">
        <v>0</v>
      </c>
      <c r="DY34">
        <v>0</v>
      </c>
      <c r="DZ34" s="7">
        <v>0</v>
      </c>
      <c r="EA34">
        <v>0</v>
      </c>
      <c r="EB34" s="7">
        <v>0</v>
      </c>
      <c r="EC34">
        <v>0</v>
      </c>
      <c r="ED34" s="7">
        <v>0</v>
      </c>
    </row>
    <row r="35" spans="1:134" x14ac:dyDescent="0.25">
      <c r="A35" s="1">
        <v>73641</v>
      </c>
      <c r="B35" s="7">
        <v>2</v>
      </c>
      <c r="C35" s="1">
        <v>29923</v>
      </c>
      <c r="D35" s="7">
        <v>0</v>
      </c>
      <c r="E35" s="1">
        <v>31124</v>
      </c>
      <c r="F35" s="7">
        <v>0</v>
      </c>
      <c r="G35">
        <v>0</v>
      </c>
      <c r="H35" s="7">
        <v>0</v>
      </c>
      <c r="I35" s="1">
        <v>98782</v>
      </c>
      <c r="J35" s="7">
        <v>2</v>
      </c>
      <c r="K35" s="1">
        <v>22814</v>
      </c>
      <c r="L35" s="7">
        <v>0</v>
      </c>
      <c r="M35" s="1">
        <v>51461</v>
      </c>
      <c r="N35" s="7">
        <v>1</v>
      </c>
      <c r="O35" s="1">
        <v>46644</v>
      </c>
      <c r="P35" s="7">
        <v>1</v>
      </c>
      <c r="Q35">
        <v>0</v>
      </c>
      <c r="R35" s="7">
        <v>0</v>
      </c>
      <c r="S35">
        <v>0</v>
      </c>
      <c r="T35" s="7">
        <v>0</v>
      </c>
      <c r="U35">
        <v>0</v>
      </c>
      <c r="V35" s="7">
        <v>0</v>
      </c>
      <c r="W35" s="1">
        <v>22129</v>
      </c>
      <c r="X35" s="7">
        <v>0</v>
      </c>
      <c r="Y35">
        <v>0</v>
      </c>
      <c r="Z35" s="7">
        <v>0</v>
      </c>
      <c r="AA35">
        <v>0</v>
      </c>
      <c r="AB35" s="7">
        <v>0</v>
      </c>
      <c r="AC35">
        <v>0</v>
      </c>
      <c r="AD35" s="7">
        <v>0</v>
      </c>
      <c r="AE35">
        <v>0</v>
      </c>
      <c r="AF35" s="7">
        <v>0</v>
      </c>
      <c r="AG35">
        <v>0</v>
      </c>
      <c r="AH35" s="7">
        <v>0</v>
      </c>
      <c r="AI35">
        <v>0</v>
      </c>
      <c r="AJ35" s="7">
        <v>0</v>
      </c>
      <c r="AK35">
        <v>0</v>
      </c>
      <c r="AL35" s="7">
        <v>0</v>
      </c>
      <c r="AM35" s="1">
        <v>4588</v>
      </c>
      <c r="AN35" s="7">
        <v>0</v>
      </c>
      <c r="AO35">
        <v>0</v>
      </c>
      <c r="AP35" s="7">
        <v>0</v>
      </c>
      <c r="AQ35">
        <v>533</v>
      </c>
      <c r="AR35" s="7">
        <v>0</v>
      </c>
      <c r="AS35">
        <v>351</v>
      </c>
      <c r="AT35" s="7">
        <v>0</v>
      </c>
      <c r="AU35">
        <v>0</v>
      </c>
      <c r="AV35" s="7">
        <v>0</v>
      </c>
      <c r="AW35">
        <v>0</v>
      </c>
      <c r="AX35" s="7">
        <v>0</v>
      </c>
      <c r="AY35">
        <v>0</v>
      </c>
      <c r="AZ35" s="7">
        <v>0</v>
      </c>
      <c r="BA35">
        <v>180</v>
      </c>
      <c r="BB35" s="7">
        <v>0</v>
      </c>
      <c r="BC35">
        <v>191</v>
      </c>
      <c r="BD35" s="7">
        <v>0</v>
      </c>
      <c r="BE35">
        <v>0</v>
      </c>
      <c r="BF35" s="7">
        <v>0</v>
      </c>
      <c r="BG35">
        <v>0</v>
      </c>
      <c r="BH35" s="7">
        <v>0</v>
      </c>
      <c r="BI35">
        <v>0</v>
      </c>
      <c r="BJ35" s="7">
        <v>0</v>
      </c>
      <c r="BK35">
        <v>0</v>
      </c>
      <c r="BL35" s="7">
        <v>0</v>
      </c>
      <c r="BM35">
        <v>0</v>
      </c>
      <c r="BN35" s="7">
        <v>0</v>
      </c>
      <c r="BO35">
        <v>0</v>
      </c>
      <c r="BP35" s="7">
        <v>0</v>
      </c>
      <c r="BQ35">
        <v>0</v>
      </c>
      <c r="BR35" s="7">
        <v>0</v>
      </c>
      <c r="BS35">
        <v>0</v>
      </c>
      <c r="BT35" s="7">
        <v>0</v>
      </c>
      <c r="BU35">
        <v>0</v>
      </c>
      <c r="BV35" s="7">
        <v>0</v>
      </c>
      <c r="BW35">
        <v>0</v>
      </c>
      <c r="BX35" s="7">
        <v>0</v>
      </c>
      <c r="BY35">
        <v>0</v>
      </c>
      <c r="BZ35" s="7">
        <v>0</v>
      </c>
      <c r="CA35">
        <v>0</v>
      </c>
      <c r="CB35" s="7">
        <v>0</v>
      </c>
      <c r="CC35">
        <v>0</v>
      </c>
      <c r="CD35" s="7">
        <v>0</v>
      </c>
      <c r="CE35">
        <v>343</v>
      </c>
      <c r="CF35" s="7">
        <v>0</v>
      </c>
      <c r="CG35">
        <v>0</v>
      </c>
      <c r="CH35" s="7">
        <v>0</v>
      </c>
      <c r="CI35">
        <v>0</v>
      </c>
      <c r="CJ35" s="7">
        <v>0</v>
      </c>
      <c r="CK35">
        <v>0</v>
      </c>
      <c r="CL35" s="7">
        <v>0</v>
      </c>
      <c r="CM35">
        <v>0</v>
      </c>
      <c r="CN35" s="7">
        <v>0</v>
      </c>
      <c r="CO35">
        <v>0</v>
      </c>
      <c r="CP35" s="7">
        <v>0</v>
      </c>
      <c r="CQ35">
        <v>0</v>
      </c>
      <c r="CR35" s="7">
        <v>0</v>
      </c>
      <c r="CS35">
        <v>0</v>
      </c>
      <c r="CT35" s="7">
        <v>0</v>
      </c>
      <c r="CU35">
        <v>0</v>
      </c>
      <c r="CV35" s="7">
        <v>0</v>
      </c>
      <c r="CW35">
        <v>0</v>
      </c>
      <c r="CX35" s="7">
        <v>0</v>
      </c>
      <c r="CY35">
        <v>0</v>
      </c>
      <c r="CZ35" s="7">
        <v>0</v>
      </c>
      <c r="DA35">
        <v>0</v>
      </c>
      <c r="DB35" s="7">
        <v>0</v>
      </c>
      <c r="DC35">
        <v>0</v>
      </c>
      <c r="DD35" s="7">
        <v>0</v>
      </c>
      <c r="DE35">
        <v>0</v>
      </c>
      <c r="DF35" s="7">
        <v>0</v>
      </c>
      <c r="DG35">
        <v>0</v>
      </c>
      <c r="DH35" s="7">
        <v>0</v>
      </c>
      <c r="DI35">
        <v>0</v>
      </c>
      <c r="DJ35" s="7">
        <v>0</v>
      </c>
      <c r="DK35">
        <v>0</v>
      </c>
      <c r="DL35" s="7">
        <v>0</v>
      </c>
      <c r="DM35">
        <v>0</v>
      </c>
      <c r="DN35" s="7">
        <v>0</v>
      </c>
      <c r="DO35">
        <v>0</v>
      </c>
      <c r="DP35" s="7">
        <v>0</v>
      </c>
      <c r="DQ35">
        <v>0</v>
      </c>
      <c r="DR35" s="7">
        <v>0</v>
      </c>
      <c r="DS35">
        <v>0</v>
      </c>
      <c r="DT35" s="7">
        <v>0</v>
      </c>
      <c r="DU35">
        <v>0</v>
      </c>
      <c r="DV35" s="7">
        <v>0</v>
      </c>
      <c r="DW35">
        <v>0</v>
      </c>
      <c r="DX35" s="7">
        <v>0</v>
      </c>
      <c r="DY35">
        <v>0</v>
      </c>
      <c r="DZ35" s="7">
        <v>0</v>
      </c>
      <c r="EA35">
        <v>0</v>
      </c>
      <c r="EB35" s="7">
        <v>0</v>
      </c>
      <c r="EC35">
        <v>0</v>
      </c>
      <c r="ED35" s="7">
        <v>0</v>
      </c>
    </row>
    <row r="36" spans="1:134" x14ac:dyDescent="0.25">
      <c r="A36" s="1">
        <v>142312</v>
      </c>
      <c r="B36" s="7">
        <v>3</v>
      </c>
      <c r="C36" s="1">
        <v>92742</v>
      </c>
      <c r="D36" s="7">
        <v>2</v>
      </c>
      <c r="E36" s="1">
        <v>64016</v>
      </c>
      <c r="F36" s="7">
        <v>1</v>
      </c>
      <c r="G36" s="1">
        <v>33971</v>
      </c>
      <c r="H36" s="7">
        <v>0</v>
      </c>
      <c r="I36">
        <v>0</v>
      </c>
      <c r="J36" s="7">
        <v>0</v>
      </c>
      <c r="K36" s="1">
        <v>29520</v>
      </c>
      <c r="L36" s="7">
        <v>0</v>
      </c>
      <c r="M36">
        <v>0</v>
      </c>
      <c r="N36" s="7">
        <v>0</v>
      </c>
      <c r="O36">
        <v>0</v>
      </c>
      <c r="P36" s="7">
        <v>0</v>
      </c>
      <c r="Q36">
        <v>0</v>
      </c>
      <c r="R36" s="7">
        <v>0</v>
      </c>
      <c r="S36">
        <v>0</v>
      </c>
      <c r="T36" s="7">
        <v>0</v>
      </c>
      <c r="U36">
        <v>0</v>
      </c>
      <c r="V36" s="7">
        <v>0</v>
      </c>
      <c r="W36">
        <v>0</v>
      </c>
      <c r="X36" s="7">
        <v>0</v>
      </c>
      <c r="Y36">
        <v>0</v>
      </c>
      <c r="Z36" s="7">
        <v>0</v>
      </c>
      <c r="AA36">
        <v>0</v>
      </c>
      <c r="AB36" s="7">
        <v>0</v>
      </c>
      <c r="AC36">
        <v>0</v>
      </c>
      <c r="AD36" s="7">
        <v>0</v>
      </c>
      <c r="AE36">
        <v>0</v>
      </c>
      <c r="AF36" s="7">
        <v>0</v>
      </c>
      <c r="AG36">
        <v>0</v>
      </c>
      <c r="AH36" s="7">
        <v>0</v>
      </c>
      <c r="AI36">
        <v>0</v>
      </c>
      <c r="AJ36" s="7">
        <v>0</v>
      </c>
      <c r="AK36">
        <v>0</v>
      </c>
      <c r="AL36" s="7">
        <v>0</v>
      </c>
      <c r="AM36" s="1">
        <v>2400</v>
      </c>
      <c r="AN36" s="7">
        <v>0</v>
      </c>
      <c r="AO36">
        <v>0</v>
      </c>
      <c r="AP36" s="7">
        <v>0</v>
      </c>
      <c r="AQ36">
        <v>674</v>
      </c>
      <c r="AR36" s="7">
        <v>0</v>
      </c>
      <c r="AS36">
        <v>925</v>
      </c>
      <c r="AT36" s="7">
        <v>0</v>
      </c>
      <c r="AU36">
        <v>0</v>
      </c>
      <c r="AV36" s="7">
        <v>0</v>
      </c>
      <c r="AW36">
        <v>0</v>
      </c>
      <c r="AX36" s="7">
        <v>0</v>
      </c>
      <c r="AY36">
        <v>0</v>
      </c>
      <c r="AZ36" s="7">
        <v>0</v>
      </c>
      <c r="BA36">
        <v>0</v>
      </c>
      <c r="BB36" s="7">
        <v>0</v>
      </c>
      <c r="BC36">
        <v>0</v>
      </c>
      <c r="BD36" s="7">
        <v>0</v>
      </c>
      <c r="BE36">
        <v>0</v>
      </c>
      <c r="BF36" s="7">
        <v>0</v>
      </c>
      <c r="BG36">
        <v>0</v>
      </c>
      <c r="BH36" s="7">
        <v>0</v>
      </c>
      <c r="BI36">
        <v>0</v>
      </c>
      <c r="BJ36" s="7">
        <v>0</v>
      </c>
      <c r="BK36">
        <v>0</v>
      </c>
      <c r="BL36" s="7">
        <v>0</v>
      </c>
      <c r="BM36">
        <v>0</v>
      </c>
      <c r="BN36" s="7">
        <v>0</v>
      </c>
      <c r="BO36">
        <v>0</v>
      </c>
      <c r="BP36" s="7">
        <v>0</v>
      </c>
      <c r="BQ36">
        <v>0</v>
      </c>
      <c r="BR36" s="7">
        <v>0</v>
      </c>
      <c r="BS36">
        <v>0</v>
      </c>
      <c r="BT36" s="7">
        <v>0</v>
      </c>
      <c r="BU36">
        <v>0</v>
      </c>
      <c r="BV36" s="7">
        <v>0</v>
      </c>
      <c r="BW36">
        <v>0</v>
      </c>
      <c r="BX36" s="7">
        <v>0</v>
      </c>
      <c r="BY36">
        <v>0</v>
      </c>
      <c r="BZ36" s="7">
        <v>0</v>
      </c>
      <c r="CA36">
        <v>0</v>
      </c>
      <c r="CB36" s="7">
        <v>0</v>
      </c>
      <c r="CC36">
        <v>0</v>
      </c>
      <c r="CD36" s="7">
        <v>0</v>
      </c>
      <c r="CE36">
        <v>0</v>
      </c>
      <c r="CF36" s="7">
        <v>0</v>
      </c>
      <c r="CG36">
        <v>0</v>
      </c>
      <c r="CH36" s="7">
        <v>0</v>
      </c>
      <c r="CI36">
        <v>0</v>
      </c>
      <c r="CJ36" s="7">
        <v>0</v>
      </c>
      <c r="CK36">
        <v>0</v>
      </c>
      <c r="CL36" s="7">
        <v>0</v>
      </c>
      <c r="CM36">
        <v>0</v>
      </c>
      <c r="CN36" s="7">
        <v>0</v>
      </c>
      <c r="CO36">
        <v>0</v>
      </c>
      <c r="CP36" s="7">
        <v>0</v>
      </c>
      <c r="CQ36">
        <v>0</v>
      </c>
      <c r="CR36" s="7">
        <v>0</v>
      </c>
      <c r="CS36">
        <v>0</v>
      </c>
      <c r="CT36" s="7">
        <v>0</v>
      </c>
      <c r="CU36">
        <v>0</v>
      </c>
      <c r="CV36" s="7">
        <v>0</v>
      </c>
      <c r="CW36">
        <v>0</v>
      </c>
      <c r="CX36" s="7">
        <v>0</v>
      </c>
      <c r="CY36">
        <v>0</v>
      </c>
      <c r="CZ36" s="7">
        <v>0</v>
      </c>
      <c r="DA36">
        <v>0</v>
      </c>
      <c r="DB36" s="7">
        <v>0</v>
      </c>
      <c r="DC36">
        <v>0</v>
      </c>
      <c r="DD36" s="7">
        <v>0</v>
      </c>
      <c r="DE36">
        <v>0</v>
      </c>
      <c r="DF36" s="7">
        <v>0</v>
      </c>
      <c r="DG36">
        <v>0</v>
      </c>
      <c r="DH36" s="7">
        <v>0</v>
      </c>
      <c r="DI36">
        <v>0</v>
      </c>
      <c r="DJ36" s="7">
        <v>0</v>
      </c>
      <c r="DK36">
        <v>0</v>
      </c>
      <c r="DL36" s="7">
        <v>0</v>
      </c>
      <c r="DM36">
        <v>0</v>
      </c>
      <c r="DN36" s="7">
        <v>0</v>
      </c>
      <c r="DO36">
        <v>0</v>
      </c>
      <c r="DP36" s="7">
        <v>0</v>
      </c>
      <c r="DQ36">
        <v>0</v>
      </c>
      <c r="DR36" s="7">
        <v>0</v>
      </c>
      <c r="DS36">
        <v>0</v>
      </c>
      <c r="DT36" s="7">
        <v>0</v>
      </c>
      <c r="DU36">
        <v>0</v>
      </c>
      <c r="DV36" s="7">
        <v>0</v>
      </c>
      <c r="DW36">
        <v>0</v>
      </c>
      <c r="DX36" s="7">
        <v>0</v>
      </c>
      <c r="DY36">
        <v>0</v>
      </c>
      <c r="DZ36" s="7">
        <v>0</v>
      </c>
      <c r="EA36">
        <v>0</v>
      </c>
      <c r="EB36" s="7">
        <v>0</v>
      </c>
      <c r="EC36">
        <v>0</v>
      </c>
      <c r="ED36" s="7">
        <v>0</v>
      </c>
    </row>
    <row r="37" spans="1:134" x14ac:dyDescent="0.25">
      <c r="A37" s="1">
        <v>85135</v>
      </c>
      <c r="B37" s="7">
        <v>2</v>
      </c>
      <c r="C37" s="1">
        <v>61527</v>
      </c>
      <c r="D37" s="7">
        <v>1</v>
      </c>
      <c r="E37" s="1">
        <v>35807</v>
      </c>
      <c r="F37" s="7">
        <v>1</v>
      </c>
      <c r="G37" s="1">
        <v>20101</v>
      </c>
      <c r="H37" s="7">
        <v>0</v>
      </c>
      <c r="I37">
        <v>0</v>
      </c>
      <c r="J37" s="7">
        <v>0</v>
      </c>
      <c r="K37" s="1">
        <v>15533</v>
      </c>
      <c r="L37" s="7">
        <v>0</v>
      </c>
      <c r="M37">
        <v>0</v>
      </c>
      <c r="N37" s="7">
        <v>0</v>
      </c>
      <c r="O37">
        <v>0</v>
      </c>
      <c r="P37" s="7">
        <v>0</v>
      </c>
      <c r="Q37">
        <v>0</v>
      </c>
      <c r="R37" s="7">
        <v>0</v>
      </c>
      <c r="S37">
        <v>0</v>
      </c>
      <c r="T37" s="7">
        <v>0</v>
      </c>
      <c r="U37">
        <v>0</v>
      </c>
      <c r="V37" s="7">
        <v>0</v>
      </c>
      <c r="W37">
        <v>0</v>
      </c>
      <c r="X37" s="7">
        <v>0</v>
      </c>
      <c r="Y37">
        <v>0</v>
      </c>
      <c r="Z37" s="7">
        <v>0</v>
      </c>
      <c r="AA37">
        <v>0</v>
      </c>
      <c r="AB37" s="7">
        <v>0</v>
      </c>
      <c r="AC37">
        <v>0</v>
      </c>
      <c r="AD37" s="7">
        <v>0</v>
      </c>
      <c r="AE37">
        <v>0</v>
      </c>
      <c r="AF37" s="7">
        <v>0</v>
      </c>
      <c r="AG37">
        <v>0</v>
      </c>
      <c r="AH37" s="7">
        <v>0</v>
      </c>
      <c r="AI37">
        <v>0</v>
      </c>
      <c r="AJ37" s="7">
        <v>0</v>
      </c>
      <c r="AK37">
        <v>0</v>
      </c>
      <c r="AL37" s="7">
        <v>0</v>
      </c>
      <c r="AM37" s="1">
        <v>1276</v>
      </c>
      <c r="AN37" s="7">
        <v>0</v>
      </c>
      <c r="AO37">
        <v>0</v>
      </c>
      <c r="AP37" s="7">
        <v>0</v>
      </c>
      <c r="AQ37">
        <v>342</v>
      </c>
      <c r="AR37" s="7">
        <v>0</v>
      </c>
      <c r="AS37">
        <v>295</v>
      </c>
      <c r="AT37" s="7">
        <v>0</v>
      </c>
      <c r="AU37">
        <v>0</v>
      </c>
      <c r="AV37" s="7">
        <v>0</v>
      </c>
      <c r="AW37">
        <v>0</v>
      </c>
      <c r="AX37" s="7">
        <v>0</v>
      </c>
      <c r="AY37">
        <v>0</v>
      </c>
      <c r="AZ37" s="7">
        <v>0</v>
      </c>
      <c r="BA37">
        <v>0</v>
      </c>
      <c r="BB37" s="7">
        <v>0</v>
      </c>
      <c r="BC37">
        <v>0</v>
      </c>
      <c r="BD37" s="7">
        <v>0</v>
      </c>
      <c r="BE37">
        <v>0</v>
      </c>
      <c r="BF37" s="7">
        <v>0</v>
      </c>
      <c r="BG37">
        <v>0</v>
      </c>
      <c r="BH37" s="7">
        <v>0</v>
      </c>
      <c r="BI37">
        <v>0</v>
      </c>
      <c r="BJ37" s="7">
        <v>0</v>
      </c>
      <c r="BK37">
        <v>0</v>
      </c>
      <c r="BL37" s="7">
        <v>0</v>
      </c>
      <c r="BM37">
        <v>0</v>
      </c>
      <c r="BN37" s="7">
        <v>0</v>
      </c>
      <c r="BO37">
        <v>0</v>
      </c>
      <c r="BP37" s="7">
        <v>0</v>
      </c>
      <c r="BQ37">
        <v>0</v>
      </c>
      <c r="BR37" s="7">
        <v>0</v>
      </c>
      <c r="BS37">
        <v>0</v>
      </c>
      <c r="BT37" s="7">
        <v>0</v>
      </c>
      <c r="BU37">
        <v>0</v>
      </c>
      <c r="BV37" s="7">
        <v>0</v>
      </c>
      <c r="BW37">
        <v>0</v>
      </c>
      <c r="BX37" s="7">
        <v>0</v>
      </c>
      <c r="BY37">
        <v>0</v>
      </c>
      <c r="BZ37" s="7">
        <v>0</v>
      </c>
      <c r="CA37">
        <v>0</v>
      </c>
      <c r="CB37" s="7">
        <v>0</v>
      </c>
      <c r="CC37">
        <v>0</v>
      </c>
      <c r="CD37" s="7">
        <v>0</v>
      </c>
      <c r="CE37">
        <v>0</v>
      </c>
      <c r="CF37" s="7">
        <v>0</v>
      </c>
      <c r="CG37">
        <v>0</v>
      </c>
      <c r="CH37" s="7">
        <v>0</v>
      </c>
      <c r="CI37">
        <v>0</v>
      </c>
      <c r="CJ37" s="7">
        <v>0</v>
      </c>
      <c r="CK37">
        <v>0</v>
      </c>
      <c r="CL37" s="7">
        <v>0</v>
      </c>
      <c r="CM37">
        <v>0</v>
      </c>
      <c r="CN37" s="7">
        <v>0</v>
      </c>
      <c r="CO37" s="1">
        <v>1347</v>
      </c>
      <c r="CP37" s="7">
        <v>0</v>
      </c>
      <c r="CQ37">
        <v>0</v>
      </c>
      <c r="CR37" s="7">
        <v>0</v>
      </c>
      <c r="CS37">
        <v>0</v>
      </c>
      <c r="CT37" s="7">
        <v>0</v>
      </c>
      <c r="CU37">
        <v>0</v>
      </c>
      <c r="CV37" s="7">
        <v>0</v>
      </c>
      <c r="CW37">
        <v>0</v>
      </c>
      <c r="CX37" s="7">
        <v>0</v>
      </c>
      <c r="CY37">
        <v>0</v>
      </c>
      <c r="CZ37" s="7">
        <v>0</v>
      </c>
      <c r="DA37">
        <v>0</v>
      </c>
      <c r="DB37" s="7">
        <v>0</v>
      </c>
      <c r="DC37">
        <v>0</v>
      </c>
      <c r="DD37" s="7">
        <v>0</v>
      </c>
      <c r="DE37">
        <v>0</v>
      </c>
      <c r="DF37" s="7">
        <v>0</v>
      </c>
      <c r="DG37">
        <v>0</v>
      </c>
      <c r="DH37" s="7">
        <v>0</v>
      </c>
      <c r="DI37">
        <v>0</v>
      </c>
      <c r="DJ37" s="7">
        <v>0</v>
      </c>
      <c r="DK37">
        <v>0</v>
      </c>
      <c r="DL37" s="7">
        <v>0</v>
      </c>
      <c r="DM37">
        <v>0</v>
      </c>
      <c r="DN37" s="7">
        <v>0</v>
      </c>
      <c r="DO37">
        <v>0</v>
      </c>
      <c r="DP37" s="7">
        <v>0</v>
      </c>
      <c r="DQ37">
        <v>0</v>
      </c>
      <c r="DR37" s="7">
        <v>0</v>
      </c>
      <c r="DS37">
        <v>0</v>
      </c>
      <c r="DT37" s="7">
        <v>0</v>
      </c>
      <c r="DU37">
        <v>0</v>
      </c>
      <c r="DV37" s="7">
        <v>0</v>
      </c>
      <c r="DW37">
        <v>0</v>
      </c>
      <c r="DX37" s="7">
        <v>0</v>
      </c>
      <c r="DY37">
        <v>0</v>
      </c>
      <c r="DZ37" s="7">
        <v>0</v>
      </c>
      <c r="EA37">
        <v>0</v>
      </c>
      <c r="EB37" s="7">
        <v>0</v>
      </c>
      <c r="EC37">
        <v>0</v>
      </c>
      <c r="ED37" s="7">
        <v>0</v>
      </c>
    </row>
    <row r="38" spans="1:134" x14ac:dyDescent="0.25">
      <c r="A38" s="1">
        <v>184178</v>
      </c>
      <c r="B38" s="7">
        <v>3</v>
      </c>
      <c r="C38" s="1">
        <v>187127</v>
      </c>
      <c r="D38" s="7">
        <v>3</v>
      </c>
      <c r="E38" s="1">
        <v>50325</v>
      </c>
      <c r="F38" s="7">
        <v>0</v>
      </c>
      <c r="G38">
        <v>0</v>
      </c>
      <c r="H38" s="7">
        <v>0</v>
      </c>
      <c r="I38">
        <v>0</v>
      </c>
      <c r="J38" s="7">
        <v>0</v>
      </c>
      <c r="K38" s="1">
        <v>28469</v>
      </c>
      <c r="L38" s="7">
        <v>0</v>
      </c>
      <c r="M38">
        <v>0</v>
      </c>
      <c r="N38" s="7">
        <v>0</v>
      </c>
      <c r="O38">
        <v>0</v>
      </c>
      <c r="P38" s="7">
        <v>0</v>
      </c>
      <c r="Q38">
        <v>0</v>
      </c>
      <c r="R38" s="7">
        <v>0</v>
      </c>
      <c r="S38">
        <v>0</v>
      </c>
      <c r="T38" s="7">
        <v>0</v>
      </c>
      <c r="U38" s="1">
        <v>12619</v>
      </c>
      <c r="V38" s="7">
        <v>0</v>
      </c>
      <c r="W38">
        <v>0</v>
      </c>
      <c r="X38" s="7">
        <v>0</v>
      </c>
      <c r="Y38" s="1">
        <v>77069</v>
      </c>
      <c r="Z38" s="7">
        <v>1</v>
      </c>
      <c r="AA38">
        <v>0</v>
      </c>
      <c r="AB38" s="7">
        <v>0</v>
      </c>
      <c r="AC38">
        <v>0</v>
      </c>
      <c r="AD38" s="7">
        <v>0</v>
      </c>
      <c r="AE38">
        <v>0</v>
      </c>
      <c r="AF38" s="7">
        <v>0</v>
      </c>
      <c r="AG38" s="1">
        <v>58135</v>
      </c>
      <c r="AH38" s="7">
        <v>1</v>
      </c>
      <c r="AI38">
        <v>0</v>
      </c>
      <c r="AJ38" s="7">
        <v>0</v>
      </c>
      <c r="AK38">
        <v>0</v>
      </c>
      <c r="AL38" s="7">
        <v>0</v>
      </c>
      <c r="AM38" s="1">
        <v>4572</v>
      </c>
      <c r="AN38" s="7">
        <v>0</v>
      </c>
      <c r="AO38">
        <v>0</v>
      </c>
      <c r="AP38" s="7">
        <v>0</v>
      </c>
      <c r="AQ38">
        <v>925</v>
      </c>
      <c r="AR38" s="7">
        <v>0</v>
      </c>
      <c r="AS38">
        <v>607</v>
      </c>
      <c r="AT38" s="7">
        <v>0</v>
      </c>
      <c r="AU38">
        <v>0</v>
      </c>
      <c r="AV38" s="7">
        <v>0</v>
      </c>
      <c r="AW38">
        <v>0</v>
      </c>
      <c r="AX38" s="7">
        <v>0</v>
      </c>
      <c r="AY38">
        <v>0</v>
      </c>
      <c r="AZ38" s="7">
        <v>0</v>
      </c>
      <c r="BA38">
        <v>0</v>
      </c>
      <c r="BB38" s="7">
        <v>0</v>
      </c>
      <c r="BC38">
        <v>472</v>
      </c>
      <c r="BD38" s="7">
        <v>0</v>
      </c>
      <c r="BE38">
        <v>0</v>
      </c>
      <c r="BF38" s="7">
        <v>0</v>
      </c>
      <c r="BG38">
        <v>0</v>
      </c>
      <c r="BH38" s="7">
        <v>0</v>
      </c>
      <c r="BI38" s="1">
        <v>1689</v>
      </c>
      <c r="BJ38" s="7">
        <v>0</v>
      </c>
      <c r="BK38">
        <v>0</v>
      </c>
      <c r="BL38" s="7">
        <v>0</v>
      </c>
      <c r="BM38">
        <v>0</v>
      </c>
      <c r="BN38" s="7">
        <v>0</v>
      </c>
      <c r="BO38">
        <v>0</v>
      </c>
      <c r="BP38" s="7">
        <v>0</v>
      </c>
      <c r="BQ38">
        <v>0</v>
      </c>
      <c r="BR38" s="7">
        <v>0</v>
      </c>
      <c r="BS38">
        <v>0</v>
      </c>
      <c r="BT38" s="7">
        <v>0</v>
      </c>
      <c r="BU38">
        <v>0</v>
      </c>
      <c r="BV38" s="7">
        <v>0</v>
      </c>
      <c r="BW38">
        <v>0</v>
      </c>
      <c r="BX38" s="7">
        <v>0</v>
      </c>
      <c r="BY38">
        <v>0</v>
      </c>
      <c r="BZ38" s="7">
        <v>0</v>
      </c>
      <c r="CA38">
        <v>0</v>
      </c>
      <c r="CB38" s="7">
        <v>0</v>
      </c>
      <c r="CC38">
        <v>0</v>
      </c>
      <c r="CD38" s="7">
        <v>0</v>
      </c>
      <c r="CE38">
        <v>0</v>
      </c>
      <c r="CF38" s="7">
        <v>0</v>
      </c>
      <c r="CG38">
        <v>0</v>
      </c>
      <c r="CH38" s="7">
        <v>0</v>
      </c>
      <c r="CI38">
        <v>0</v>
      </c>
      <c r="CJ38" s="7">
        <v>0</v>
      </c>
      <c r="CK38">
        <v>0</v>
      </c>
      <c r="CL38" s="7">
        <v>0</v>
      </c>
      <c r="CM38">
        <v>0</v>
      </c>
      <c r="CN38" s="7">
        <v>0</v>
      </c>
      <c r="CO38">
        <v>0</v>
      </c>
      <c r="CP38" s="7">
        <v>0</v>
      </c>
      <c r="CQ38">
        <v>0</v>
      </c>
      <c r="CR38" s="7">
        <v>0</v>
      </c>
      <c r="CS38">
        <v>0</v>
      </c>
      <c r="CT38" s="7">
        <v>0</v>
      </c>
      <c r="CU38">
        <v>0</v>
      </c>
      <c r="CV38" s="7">
        <v>0</v>
      </c>
      <c r="CW38">
        <v>0</v>
      </c>
      <c r="CX38" s="7">
        <v>0</v>
      </c>
      <c r="CY38">
        <v>0</v>
      </c>
      <c r="CZ38" s="7">
        <v>0</v>
      </c>
      <c r="DA38">
        <v>0</v>
      </c>
      <c r="DB38" s="7">
        <v>0</v>
      </c>
      <c r="DC38">
        <v>0</v>
      </c>
      <c r="DD38" s="7">
        <v>0</v>
      </c>
      <c r="DE38">
        <v>0</v>
      </c>
      <c r="DF38" s="7">
        <v>0</v>
      </c>
      <c r="DG38">
        <v>0</v>
      </c>
      <c r="DH38" s="7">
        <v>0</v>
      </c>
      <c r="DI38">
        <v>0</v>
      </c>
      <c r="DJ38" s="7">
        <v>0</v>
      </c>
      <c r="DK38">
        <v>0</v>
      </c>
      <c r="DL38" s="7">
        <v>0</v>
      </c>
      <c r="DM38">
        <v>0</v>
      </c>
      <c r="DN38" s="7">
        <v>0</v>
      </c>
      <c r="DO38">
        <v>0</v>
      </c>
      <c r="DP38" s="7">
        <v>0</v>
      </c>
      <c r="DQ38">
        <v>0</v>
      </c>
      <c r="DR38" s="7">
        <v>0</v>
      </c>
      <c r="DS38">
        <v>0</v>
      </c>
      <c r="DT38" s="7">
        <v>0</v>
      </c>
      <c r="DU38">
        <v>0</v>
      </c>
      <c r="DV38" s="7">
        <v>0</v>
      </c>
      <c r="DW38">
        <v>0</v>
      </c>
      <c r="DX38" s="7">
        <v>0</v>
      </c>
      <c r="DY38">
        <v>0</v>
      </c>
      <c r="DZ38" s="7">
        <v>0</v>
      </c>
      <c r="EA38">
        <v>0</v>
      </c>
      <c r="EB38" s="7">
        <v>0</v>
      </c>
      <c r="EC38">
        <v>0</v>
      </c>
      <c r="ED38" s="7">
        <v>0</v>
      </c>
    </row>
    <row r="39" spans="1:134" x14ac:dyDescent="0.25">
      <c r="A39" s="1">
        <v>57537</v>
      </c>
      <c r="B39" s="7">
        <v>2</v>
      </c>
      <c r="C39" s="1">
        <v>68530</v>
      </c>
      <c r="D39" s="7">
        <v>2</v>
      </c>
      <c r="E39" s="1">
        <v>14652</v>
      </c>
      <c r="F39" s="7">
        <v>0</v>
      </c>
      <c r="G39">
        <v>0</v>
      </c>
      <c r="H39" s="7">
        <v>0</v>
      </c>
      <c r="I39">
        <v>0</v>
      </c>
      <c r="J39" s="7">
        <v>0</v>
      </c>
      <c r="K39" s="1">
        <v>5811</v>
      </c>
      <c r="L39" s="7">
        <v>0</v>
      </c>
      <c r="M39">
        <v>0</v>
      </c>
      <c r="N39" s="7">
        <v>0</v>
      </c>
      <c r="O39">
        <v>0</v>
      </c>
      <c r="P39" s="7">
        <v>0</v>
      </c>
      <c r="Q39">
        <v>0</v>
      </c>
      <c r="R39" s="7">
        <v>0</v>
      </c>
      <c r="S39">
        <v>0</v>
      </c>
      <c r="T39" s="7">
        <v>0</v>
      </c>
      <c r="U39">
        <v>0</v>
      </c>
      <c r="V39" s="7">
        <v>0</v>
      </c>
      <c r="W39">
        <v>0</v>
      </c>
      <c r="X39" s="7">
        <v>0</v>
      </c>
      <c r="Y39" s="1">
        <v>16548</v>
      </c>
      <c r="Z39" s="7">
        <v>0</v>
      </c>
      <c r="AA39">
        <v>0</v>
      </c>
      <c r="AB39" s="7">
        <v>0</v>
      </c>
      <c r="AC39">
        <v>0</v>
      </c>
      <c r="AD39" s="7">
        <v>0</v>
      </c>
      <c r="AE39">
        <v>0</v>
      </c>
      <c r="AF39" s="7">
        <v>0</v>
      </c>
      <c r="AG39" s="1">
        <v>12940</v>
      </c>
      <c r="AH39" s="7">
        <v>0</v>
      </c>
      <c r="AI39">
        <v>0</v>
      </c>
      <c r="AJ39" s="7">
        <v>0</v>
      </c>
      <c r="AK39">
        <v>0</v>
      </c>
      <c r="AL39" s="7">
        <v>0</v>
      </c>
      <c r="AM39" s="1">
        <v>1190</v>
      </c>
      <c r="AN39" s="7">
        <v>0</v>
      </c>
      <c r="AO39">
        <v>0</v>
      </c>
      <c r="AP39" s="7">
        <v>0</v>
      </c>
      <c r="AQ39">
        <v>237</v>
      </c>
      <c r="AR39" s="7">
        <v>0</v>
      </c>
      <c r="AS39">
        <v>221</v>
      </c>
      <c r="AT39" s="7">
        <v>0</v>
      </c>
      <c r="AU39">
        <v>0</v>
      </c>
      <c r="AV39" s="7">
        <v>0</v>
      </c>
      <c r="AW39">
        <v>0</v>
      </c>
      <c r="AX39" s="7">
        <v>0</v>
      </c>
      <c r="AY39">
        <v>0</v>
      </c>
      <c r="AZ39" s="7">
        <v>0</v>
      </c>
      <c r="BA39">
        <v>0</v>
      </c>
      <c r="BB39" s="7">
        <v>0</v>
      </c>
      <c r="BC39">
        <v>135</v>
      </c>
      <c r="BD39" s="7">
        <v>0</v>
      </c>
      <c r="BE39">
        <v>0</v>
      </c>
      <c r="BF39" s="7">
        <v>0</v>
      </c>
      <c r="BG39">
        <v>0</v>
      </c>
      <c r="BH39" s="7">
        <v>0</v>
      </c>
      <c r="BI39">
        <v>178</v>
      </c>
      <c r="BJ39" s="7">
        <v>0</v>
      </c>
      <c r="BK39">
        <v>0</v>
      </c>
      <c r="BL39" s="7">
        <v>0</v>
      </c>
      <c r="BM39">
        <v>0</v>
      </c>
      <c r="BN39" s="7">
        <v>0</v>
      </c>
      <c r="BO39">
        <v>0</v>
      </c>
      <c r="BP39" s="7">
        <v>0</v>
      </c>
      <c r="BQ39">
        <v>0</v>
      </c>
      <c r="BR39" s="7">
        <v>0</v>
      </c>
      <c r="BS39">
        <v>0</v>
      </c>
      <c r="BT39" s="7">
        <v>0</v>
      </c>
      <c r="BU39">
        <v>0</v>
      </c>
      <c r="BV39" s="7">
        <v>0</v>
      </c>
      <c r="BW39">
        <v>0</v>
      </c>
      <c r="BX39" s="7">
        <v>0</v>
      </c>
      <c r="BY39">
        <v>0</v>
      </c>
      <c r="BZ39" s="7">
        <v>0</v>
      </c>
      <c r="CA39">
        <v>0</v>
      </c>
      <c r="CB39" s="7">
        <v>0</v>
      </c>
      <c r="CC39">
        <v>0</v>
      </c>
      <c r="CD39" s="7">
        <v>0</v>
      </c>
      <c r="CE39">
        <v>0</v>
      </c>
      <c r="CF39" s="7">
        <v>0</v>
      </c>
      <c r="CG39">
        <v>0</v>
      </c>
      <c r="CH39" s="7">
        <v>0</v>
      </c>
      <c r="CI39">
        <v>0</v>
      </c>
      <c r="CJ39" s="7">
        <v>0</v>
      </c>
      <c r="CK39">
        <v>0</v>
      </c>
      <c r="CL39" s="7">
        <v>0</v>
      </c>
      <c r="CM39">
        <v>0</v>
      </c>
      <c r="CN39" s="7">
        <v>0</v>
      </c>
      <c r="CO39">
        <v>0</v>
      </c>
      <c r="CP39" s="7">
        <v>0</v>
      </c>
      <c r="CQ39">
        <v>0</v>
      </c>
      <c r="CR39" s="7">
        <v>0</v>
      </c>
      <c r="CS39">
        <v>0</v>
      </c>
      <c r="CT39" s="7">
        <v>0</v>
      </c>
      <c r="CU39">
        <v>0</v>
      </c>
      <c r="CV39" s="7">
        <v>0</v>
      </c>
      <c r="CW39">
        <v>0</v>
      </c>
      <c r="CX39" s="7">
        <v>0</v>
      </c>
      <c r="CY39">
        <v>0</v>
      </c>
      <c r="CZ39" s="7">
        <v>0</v>
      </c>
      <c r="DA39">
        <v>0</v>
      </c>
      <c r="DB39" s="7">
        <v>0</v>
      </c>
      <c r="DC39">
        <v>0</v>
      </c>
      <c r="DD39" s="7">
        <v>0</v>
      </c>
      <c r="DE39">
        <v>0</v>
      </c>
      <c r="DF39" s="7">
        <v>0</v>
      </c>
      <c r="DG39">
        <v>0</v>
      </c>
      <c r="DH39" s="7">
        <v>0</v>
      </c>
      <c r="DI39">
        <v>0</v>
      </c>
      <c r="DJ39" s="7">
        <v>0</v>
      </c>
      <c r="DK39">
        <v>0</v>
      </c>
      <c r="DL39" s="7">
        <v>0</v>
      </c>
      <c r="DM39">
        <v>0</v>
      </c>
      <c r="DN39" s="7">
        <v>0</v>
      </c>
      <c r="DO39">
        <v>0</v>
      </c>
      <c r="DP39" s="7">
        <v>0</v>
      </c>
      <c r="DQ39">
        <v>0</v>
      </c>
      <c r="DR39" s="7">
        <v>0</v>
      </c>
      <c r="DS39">
        <v>0</v>
      </c>
      <c r="DT39" s="7">
        <v>0</v>
      </c>
      <c r="DU39">
        <v>0</v>
      </c>
      <c r="DV39" s="7">
        <v>0</v>
      </c>
      <c r="DW39">
        <v>0</v>
      </c>
      <c r="DX39" s="7">
        <v>0</v>
      </c>
      <c r="DY39">
        <v>0</v>
      </c>
      <c r="DZ39" s="7">
        <v>0</v>
      </c>
      <c r="EA39">
        <v>72</v>
      </c>
      <c r="EB39" s="7">
        <v>0</v>
      </c>
      <c r="EC39">
        <v>0</v>
      </c>
      <c r="ED39" s="7">
        <v>0</v>
      </c>
    </row>
    <row r="40" spans="1:134" x14ac:dyDescent="0.25">
      <c r="A40" s="1">
        <v>56934</v>
      </c>
      <c r="B40" s="7">
        <v>2</v>
      </c>
      <c r="C40" s="1">
        <v>67580</v>
      </c>
      <c r="D40" s="7">
        <v>2</v>
      </c>
      <c r="E40" s="1">
        <v>13285</v>
      </c>
      <c r="F40" s="7">
        <v>0</v>
      </c>
      <c r="G40">
        <v>0</v>
      </c>
      <c r="H40" s="7">
        <v>0</v>
      </c>
      <c r="I40">
        <v>0</v>
      </c>
      <c r="J40" s="7">
        <v>0</v>
      </c>
      <c r="K40" s="1">
        <v>6397</v>
      </c>
      <c r="L40" s="7">
        <v>0</v>
      </c>
      <c r="M40">
        <v>0</v>
      </c>
      <c r="N40" s="7">
        <v>0</v>
      </c>
      <c r="O40">
        <v>0</v>
      </c>
      <c r="P40" s="7">
        <v>0</v>
      </c>
      <c r="Q40">
        <v>0</v>
      </c>
      <c r="R40" s="7">
        <v>0</v>
      </c>
      <c r="S40">
        <v>0</v>
      </c>
      <c r="T40" s="7">
        <v>0</v>
      </c>
      <c r="U40">
        <v>0</v>
      </c>
      <c r="V40" s="7">
        <v>0</v>
      </c>
      <c r="W40">
        <v>0</v>
      </c>
      <c r="X40" s="7">
        <v>0</v>
      </c>
      <c r="Y40" s="1">
        <v>13573</v>
      </c>
      <c r="Z40" s="7">
        <v>0</v>
      </c>
      <c r="AA40">
        <v>0</v>
      </c>
      <c r="AB40" s="7">
        <v>0</v>
      </c>
      <c r="AC40">
        <v>0</v>
      </c>
      <c r="AD40" s="7">
        <v>0</v>
      </c>
      <c r="AE40">
        <v>0</v>
      </c>
      <c r="AF40" s="7">
        <v>0</v>
      </c>
      <c r="AG40" s="1">
        <v>10256</v>
      </c>
      <c r="AH40" s="7">
        <v>0</v>
      </c>
      <c r="AI40">
        <v>0</v>
      </c>
      <c r="AJ40" s="7">
        <v>0</v>
      </c>
      <c r="AK40">
        <v>0</v>
      </c>
      <c r="AL40" s="7">
        <v>0</v>
      </c>
      <c r="AM40" s="1">
        <v>1094</v>
      </c>
      <c r="AN40" s="7">
        <v>0</v>
      </c>
      <c r="AO40">
        <v>0</v>
      </c>
      <c r="AP40" s="7">
        <v>0</v>
      </c>
      <c r="AQ40">
        <v>221</v>
      </c>
      <c r="AR40" s="7">
        <v>0</v>
      </c>
      <c r="AS40">
        <v>307</v>
      </c>
      <c r="AT40" s="7">
        <v>0</v>
      </c>
      <c r="AU40">
        <v>0</v>
      </c>
      <c r="AV40" s="7">
        <v>0</v>
      </c>
      <c r="AW40">
        <v>0</v>
      </c>
      <c r="AX40" s="7">
        <v>0</v>
      </c>
      <c r="AY40">
        <v>0</v>
      </c>
      <c r="AZ40" s="7">
        <v>0</v>
      </c>
      <c r="BA40">
        <v>0</v>
      </c>
      <c r="BB40" s="7">
        <v>0</v>
      </c>
      <c r="BC40">
        <v>158</v>
      </c>
      <c r="BD40" s="7">
        <v>0</v>
      </c>
      <c r="BE40">
        <v>0</v>
      </c>
      <c r="BF40" s="7">
        <v>0</v>
      </c>
      <c r="BG40">
        <v>0</v>
      </c>
      <c r="BH40" s="7">
        <v>0</v>
      </c>
      <c r="BI40">
        <v>0</v>
      </c>
      <c r="BJ40" s="7">
        <v>0</v>
      </c>
      <c r="BK40">
        <v>0</v>
      </c>
      <c r="BL40" s="7">
        <v>0</v>
      </c>
      <c r="BM40">
        <v>0</v>
      </c>
      <c r="BN40" s="7">
        <v>0</v>
      </c>
      <c r="BO40">
        <v>0</v>
      </c>
      <c r="BP40" s="7">
        <v>0</v>
      </c>
      <c r="BQ40">
        <v>0</v>
      </c>
      <c r="BR40" s="7">
        <v>0</v>
      </c>
      <c r="BS40">
        <v>0</v>
      </c>
      <c r="BT40" s="7">
        <v>0</v>
      </c>
      <c r="BU40">
        <v>0</v>
      </c>
      <c r="BV40" s="7">
        <v>0</v>
      </c>
      <c r="BW40">
        <v>0</v>
      </c>
      <c r="BX40" s="7">
        <v>0</v>
      </c>
      <c r="BY40">
        <v>0</v>
      </c>
      <c r="BZ40" s="7">
        <v>0</v>
      </c>
      <c r="CA40">
        <v>0</v>
      </c>
      <c r="CB40" s="7">
        <v>0</v>
      </c>
      <c r="CC40">
        <v>0</v>
      </c>
      <c r="CD40" s="7">
        <v>0</v>
      </c>
      <c r="CE40">
        <v>0</v>
      </c>
      <c r="CF40" s="7">
        <v>0</v>
      </c>
      <c r="CG40">
        <v>0</v>
      </c>
      <c r="CH40" s="7">
        <v>0</v>
      </c>
      <c r="CI40">
        <v>0</v>
      </c>
      <c r="CJ40" s="7">
        <v>0</v>
      </c>
      <c r="CK40">
        <v>0</v>
      </c>
      <c r="CL40" s="7">
        <v>0</v>
      </c>
      <c r="CM40">
        <v>0</v>
      </c>
      <c r="CN40" s="7">
        <v>0</v>
      </c>
      <c r="CO40">
        <v>0</v>
      </c>
      <c r="CP40" s="7">
        <v>0</v>
      </c>
      <c r="CQ40">
        <v>0</v>
      </c>
      <c r="CR40" s="7">
        <v>0</v>
      </c>
      <c r="CS40">
        <v>0</v>
      </c>
      <c r="CT40" s="7">
        <v>0</v>
      </c>
      <c r="CU40">
        <v>0</v>
      </c>
      <c r="CV40" s="7">
        <v>0</v>
      </c>
      <c r="CW40">
        <v>0</v>
      </c>
      <c r="CX40" s="7">
        <v>0</v>
      </c>
      <c r="CY40">
        <v>0</v>
      </c>
      <c r="CZ40" s="7">
        <v>0</v>
      </c>
      <c r="DA40">
        <v>0</v>
      </c>
      <c r="DB40" s="7">
        <v>0</v>
      </c>
      <c r="DC40">
        <v>0</v>
      </c>
      <c r="DD40" s="7">
        <v>0</v>
      </c>
      <c r="DE40">
        <v>0</v>
      </c>
      <c r="DF40" s="7">
        <v>0</v>
      </c>
      <c r="DG40">
        <v>0</v>
      </c>
      <c r="DH40" s="7">
        <v>0</v>
      </c>
      <c r="DI40">
        <v>0</v>
      </c>
      <c r="DJ40" s="7">
        <v>0</v>
      </c>
      <c r="DK40">
        <v>0</v>
      </c>
      <c r="DL40" s="7">
        <v>0</v>
      </c>
      <c r="DM40">
        <v>0</v>
      </c>
      <c r="DN40" s="7">
        <v>0</v>
      </c>
      <c r="DO40">
        <v>0</v>
      </c>
      <c r="DP40" s="7">
        <v>0</v>
      </c>
      <c r="DQ40">
        <v>0</v>
      </c>
      <c r="DR40" s="7">
        <v>0</v>
      </c>
      <c r="DS40">
        <v>0</v>
      </c>
      <c r="DT40" s="7">
        <v>0</v>
      </c>
      <c r="DU40">
        <v>0</v>
      </c>
      <c r="DV40" s="7">
        <v>0</v>
      </c>
      <c r="DW40">
        <v>0</v>
      </c>
      <c r="DX40" s="7">
        <v>0</v>
      </c>
      <c r="DY40">
        <v>0</v>
      </c>
      <c r="DZ40" s="7">
        <v>0</v>
      </c>
      <c r="EA40">
        <v>0</v>
      </c>
      <c r="EB40" s="7">
        <v>0</v>
      </c>
      <c r="EC40">
        <v>0</v>
      </c>
      <c r="ED40" s="7">
        <v>0</v>
      </c>
    </row>
    <row r="41" spans="1:134" x14ac:dyDescent="0.25">
      <c r="A41" s="1">
        <v>166377</v>
      </c>
      <c r="B41" s="7">
        <v>3</v>
      </c>
      <c r="C41" s="1">
        <v>151961</v>
      </c>
      <c r="D41" s="7">
        <v>3</v>
      </c>
      <c r="E41" s="1">
        <v>38119</v>
      </c>
      <c r="F41" s="7">
        <v>0</v>
      </c>
      <c r="G41">
        <v>0</v>
      </c>
      <c r="H41" s="7">
        <v>0</v>
      </c>
      <c r="I41">
        <v>0</v>
      </c>
      <c r="J41" s="7">
        <v>0</v>
      </c>
      <c r="K41" s="1">
        <v>23984</v>
      </c>
      <c r="L41" s="7">
        <v>0</v>
      </c>
      <c r="M41">
        <v>0</v>
      </c>
      <c r="N41" s="7">
        <v>0</v>
      </c>
      <c r="O41">
        <v>0</v>
      </c>
      <c r="P41" s="7">
        <v>0</v>
      </c>
      <c r="Q41">
        <v>0</v>
      </c>
      <c r="R41" s="7">
        <v>0</v>
      </c>
      <c r="S41">
        <v>0</v>
      </c>
      <c r="T41" s="7">
        <v>0</v>
      </c>
      <c r="U41" s="1">
        <v>10207</v>
      </c>
      <c r="V41" s="7">
        <v>0</v>
      </c>
      <c r="W41">
        <v>0</v>
      </c>
      <c r="X41" s="7">
        <v>0</v>
      </c>
      <c r="Y41" s="1">
        <v>81041</v>
      </c>
      <c r="Z41" s="7">
        <v>1</v>
      </c>
      <c r="AA41">
        <v>0</v>
      </c>
      <c r="AB41" s="7">
        <v>0</v>
      </c>
      <c r="AC41">
        <v>0</v>
      </c>
      <c r="AD41" s="7">
        <v>0</v>
      </c>
      <c r="AE41">
        <v>0</v>
      </c>
      <c r="AF41" s="7">
        <v>0</v>
      </c>
      <c r="AG41" s="1">
        <v>39125</v>
      </c>
      <c r="AH41" s="7">
        <v>0</v>
      </c>
      <c r="AI41">
        <v>0</v>
      </c>
      <c r="AJ41" s="7">
        <v>0</v>
      </c>
      <c r="AK41">
        <v>0</v>
      </c>
      <c r="AL41" s="7">
        <v>0</v>
      </c>
      <c r="AM41" s="1">
        <v>4619</v>
      </c>
      <c r="AN41" s="7">
        <v>0</v>
      </c>
      <c r="AO41">
        <v>0</v>
      </c>
      <c r="AP41" s="7">
        <v>0</v>
      </c>
      <c r="AQ41">
        <v>790</v>
      </c>
      <c r="AR41" s="7">
        <v>0</v>
      </c>
      <c r="AS41">
        <v>447</v>
      </c>
      <c r="AT41" s="7">
        <v>0</v>
      </c>
      <c r="AU41">
        <v>0</v>
      </c>
      <c r="AV41" s="7">
        <v>0</v>
      </c>
      <c r="AW41">
        <v>0</v>
      </c>
      <c r="AX41" s="7">
        <v>0</v>
      </c>
      <c r="AY41">
        <v>0</v>
      </c>
      <c r="AZ41" s="7">
        <v>0</v>
      </c>
      <c r="BA41">
        <v>0</v>
      </c>
      <c r="BB41" s="7">
        <v>0</v>
      </c>
      <c r="BC41">
        <v>493</v>
      </c>
      <c r="BD41" s="7">
        <v>0</v>
      </c>
      <c r="BE41">
        <v>0</v>
      </c>
      <c r="BF41" s="7">
        <v>0</v>
      </c>
      <c r="BG41">
        <v>0</v>
      </c>
      <c r="BH41" s="7">
        <v>0</v>
      </c>
      <c r="BI41">
        <v>0</v>
      </c>
      <c r="BJ41" s="7">
        <v>0</v>
      </c>
      <c r="BK41">
        <v>0</v>
      </c>
      <c r="BL41" s="7">
        <v>0</v>
      </c>
      <c r="BM41">
        <v>692</v>
      </c>
      <c r="BN41" s="7">
        <v>0</v>
      </c>
      <c r="BO41">
        <v>0</v>
      </c>
      <c r="BP41" s="7">
        <v>0</v>
      </c>
      <c r="BQ41">
        <v>0</v>
      </c>
      <c r="BR41" s="7">
        <v>0</v>
      </c>
      <c r="BS41">
        <v>0</v>
      </c>
      <c r="BT41" s="7">
        <v>0</v>
      </c>
      <c r="BU41">
        <v>0</v>
      </c>
      <c r="BV41" s="7">
        <v>0</v>
      </c>
      <c r="BW41">
        <v>0</v>
      </c>
      <c r="BX41" s="7">
        <v>0</v>
      </c>
      <c r="BY41">
        <v>0</v>
      </c>
      <c r="BZ41" s="7">
        <v>0</v>
      </c>
      <c r="CA41">
        <v>0</v>
      </c>
      <c r="CB41" s="7">
        <v>0</v>
      </c>
      <c r="CC41">
        <v>0</v>
      </c>
      <c r="CD41" s="7">
        <v>0</v>
      </c>
      <c r="CE41">
        <v>0</v>
      </c>
      <c r="CF41" s="7">
        <v>0</v>
      </c>
      <c r="CG41">
        <v>0</v>
      </c>
      <c r="CH41" s="7">
        <v>0</v>
      </c>
      <c r="CI41">
        <v>0</v>
      </c>
      <c r="CJ41" s="7">
        <v>0</v>
      </c>
      <c r="CK41">
        <v>0</v>
      </c>
      <c r="CL41" s="7">
        <v>0</v>
      </c>
      <c r="CM41">
        <v>0</v>
      </c>
      <c r="CN41" s="7">
        <v>0</v>
      </c>
      <c r="CO41">
        <v>0</v>
      </c>
      <c r="CP41" s="7">
        <v>0</v>
      </c>
      <c r="CQ41">
        <v>0</v>
      </c>
      <c r="CR41" s="7">
        <v>0</v>
      </c>
      <c r="CS41">
        <v>0</v>
      </c>
      <c r="CT41" s="7">
        <v>0</v>
      </c>
      <c r="CU41">
        <v>0</v>
      </c>
      <c r="CV41" s="7">
        <v>0</v>
      </c>
      <c r="CW41">
        <v>0</v>
      </c>
      <c r="CX41" s="7">
        <v>0</v>
      </c>
      <c r="CY41">
        <v>0</v>
      </c>
      <c r="CZ41" s="7">
        <v>0</v>
      </c>
      <c r="DA41">
        <v>0</v>
      </c>
      <c r="DB41" s="7">
        <v>0</v>
      </c>
      <c r="DC41">
        <v>0</v>
      </c>
      <c r="DD41" s="7">
        <v>0</v>
      </c>
      <c r="DE41">
        <v>0</v>
      </c>
      <c r="DF41" s="7">
        <v>0</v>
      </c>
      <c r="DG41">
        <v>0</v>
      </c>
      <c r="DH41" s="7">
        <v>0</v>
      </c>
      <c r="DI41">
        <v>0</v>
      </c>
      <c r="DJ41" s="7">
        <v>0</v>
      </c>
      <c r="DK41">
        <v>0</v>
      </c>
      <c r="DL41" s="7">
        <v>0</v>
      </c>
      <c r="DM41">
        <v>0</v>
      </c>
      <c r="DN41" s="7">
        <v>0</v>
      </c>
      <c r="DO41">
        <v>0</v>
      </c>
      <c r="DP41" s="7">
        <v>0</v>
      </c>
      <c r="DQ41">
        <v>0</v>
      </c>
      <c r="DR41" s="7">
        <v>0</v>
      </c>
      <c r="DS41">
        <v>0</v>
      </c>
      <c r="DT41" s="7">
        <v>0</v>
      </c>
      <c r="DU41">
        <v>0</v>
      </c>
      <c r="DV41" s="7">
        <v>0</v>
      </c>
      <c r="DW41">
        <v>0</v>
      </c>
      <c r="DX41" s="7">
        <v>0</v>
      </c>
      <c r="DY41">
        <v>0</v>
      </c>
      <c r="DZ41" s="7">
        <v>0</v>
      </c>
      <c r="EA41">
        <v>0</v>
      </c>
      <c r="EB41" s="7">
        <v>0</v>
      </c>
      <c r="EC41">
        <v>0</v>
      </c>
      <c r="ED41" s="7">
        <v>0</v>
      </c>
    </row>
    <row r="42" spans="1:134" x14ac:dyDescent="0.25">
      <c r="A42" s="1">
        <v>957401</v>
      </c>
      <c r="B42" s="7">
        <v>10</v>
      </c>
      <c r="C42" s="1">
        <v>887474</v>
      </c>
      <c r="D42" s="7">
        <v>10</v>
      </c>
      <c r="E42" s="1">
        <v>653476</v>
      </c>
      <c r="F42" s="7">
        <v>7</v>
      </c>
      <c r="G42" s="1">
        <v>463629</v>
      </c>
      <c r="H42" s="7">
        <v>5</v>
      </c>
      <c r="I42">
        <v>0</v>
      </c>
      <c r="J42" s="7">
        <v>0</v>
      </c>
      <c r="K42" s="1">
        <v>323076</v>
      </c>
      <c r="L42" s="7">
        <v>3</v>
      </c>
      <c r="M42">
        <v>0</v>
      </c>
      <c r="N42" s="7">
        <v>0</v>
      </c>
      <c r="O42">
        <v>0</v>
      </c>
      <c r="P42" s="7">
        <v>0</v>
      </c>
      <c r="Q42">
        <v>0</v>
      </c>
      <c r="R42" s="7">
        <v>0</v>
      </c>
      <c r="S42">
        <v>0</v>
      </c>
      <c r="T42" s="7">
        <v>0</v>
      </c>
      <c r="U42" s="1">
        <v>201389</v>
      </c>
      <c r="V42" s="7">
        <v>2</v>
      </c>
      <c r="W42">
        <v>0</v>
      </c>
      <c r="X42" s="7">
        <v>0</v>
      </c>
      <c r="Y42">
        <v>0</v>
      </c>
      <c r="Z42" s="7">
        <v>0</v>
      </c>
      <c r="AA42">
        <v>0</v>
      </c>
      <c r="AB42" s="7">
        <v>0</v>
      </c>
      <c r="AC42">
        <v>0</v>
      </c>
      <c r="AD42" s="7">
        <v>0</v>
      </c>
      <c r="AE42">
        <v>0</v>
      </c>
      <c r="AF42" s="7">
        <v>0</v>
      </c>
      <c r="AG42">
        <v>0</v>
      </c>
      <c r="AH42" s="7">
        <v>0</v>
      </c>
      <c r="AI42">
        <v>0</v>
      </c>
      <c r="AJ42" s="7">
        <v>0</v>
      </c>
      <c r="AK42">
        <v>0</v>
      </c>
      <c r="AL42" s="7">
        <v>0</v>
      </c>
      <c r="AM42" s="1">
        <v>31983</v>
      </c>
      <c r="AN42" s="7">
        <v>0</v>
      </c>
      <c r="AO42">
        <v>0</v>
      </c>
      <c r="AP42" s="7">
        <v>0</v>
      </c>
      <c r="AQ42" s="1">
        <v>5129</v>
      </c>
      <c r="AR42" s="7">
        <v>0</v>
      </c>
      <c r="AS42" s="1">
        <v>4305</v>
      </c>
      <c r="AT42" s="7">
        <v>0</v>
      </c>
      <c r="AU42">
        <v>0</v>
      </c>
      <c r="AV42" s="7">
        <v>0</v>
      </c>
      <c r="AW42">
        <v>0</v>
      </c>
      <c r="AX42" s="7">
        <v>0</v>
      </c>
      <c r="AY42">
        <v>0</v>
      </c>
      <c r="AZ42" s="7">
        <v>0</v>
      </c>
      <c r="BA42" s="1">
        <v>2099</v>
      </c>
      <c r="BB42" s="7">
        <v>0</v>
      </c>
      <c r="BC42" s="1">
        <v>1895</v>
      </c>
      <c r="BD42" s="7">
        <v>0</v>
      </c>
      <c r="BE42">
        <v>0</v>
      </c>
      <c r="BF42" s="7">
        <v>0</v>
      </c>
      <c r="BG42">
        <v>0</v>
      </c>
      <c r="BH42" s="7">
        <v>0</v>
      </c>
      <c r="BI42">
        <v>0</v>
      </c>
      <c r="BJ42" s="7">
        <v>0</v>
      </c>
      <c r="BK42">
        <v>0</v>
      </c>
      <c r="BL42" s="7">
        <v>0</v>
      </c>
      <c r="BM42">
        <v>0</v>
      </c>
      <c r="BN42" s="7">
        <v>0</v>
      </c>
      <c r="BO42">
        <v>0</v>
      </c>
      <c r="BP42" s="7">
        <v>0</v>
      </c>
      <c r="BQ42">
        <v>0</v>
      </c>
      <c r="BR42" s="7">
        <v>0</v>
      </c>
      <c r="BS42">
        <v>0</v>
      </c>
      <c r="BT42" s="7">
        <v>0</v>
      </c>
      <c r="BU42">
        <v>0</v>
      </c>
      <c r="BV42" s="7">
        <v>0</v>
      </c>
      <c r="BW42" s="1">
        <v>2508</v>
      </c>
      <c r="BX42" s="7">
        <v>0</v>
      </c>
      <c r="BY42">
        <v>0</v>
      </c>
      <c r="BZ42" s="7">
        <v>0</v>
      </c>
      <c r="CA42">
        <v>0</v>
      </c>
      <c r="CB42" s="7">
        <v>0</v>
      </c>
      <c r="CC42">
        <v>0</v>
      </c>
      <c r="CD42" s="7">
        <v>0</v>
      </c>
      <c r="CE42">
        <v>0</v>
      </c>
      <c r="CF42" s="7">
        <v>0</v>
      </c>
      <c r="CG42">
        <v>0</v>
      </c>
      <c r="CH42" s="7">
        <v>0</v>
      </c>
      <c r="CI42">
        <v>0</v>
      </c>
      <c r="CJ42" s="7">
        <v>0</v>
      </c>
      <c r="CK42">
        <v>0</v>
      </c>
      <c r="CL42" s="7">
        <v>0</v>
      </c>
      <c r="CM42">
        <v>0</v>
      </c>
      <c r="CN42" s="7">
        <v>0</v>
      </c>
      <c r="CO42">
        <v>0</v>
      </c>
      <c r="CP42" s="7">
        <v>0</v>
      </c>
      <c r="CQ42">
        <v>0</v>
      </c>
      <c r="CR42" s="7">
        <v>0</v>
      </c>
      <c r="CS42">
        <v>0</v>
      </c>
      <c r="CT42" s="7">
        <v>0</v>
      </c>
      <c r="CU42">
        <v>0</v>
      </c>
      <c r="CV42" s="7">
        <v>0</v>
      </c>
      <c r="CW42">
        <v>0</v>
      </c>
      <c r="CX42" s="7">
        <v>0</v>
      </c>
      <c r="CY42">
        <v>0</v>
      </c>
      <c r="CZ42" s="7">
        <v>0</v>
      </c>
      <c r="DA42">
        <v>0</v>
      </c>
      <c r="DB42" s="7">
        <v>0</v>
      </c>
      <c r="DC42">
        <v>0</v>
      </c>
      <c r="DD42" s="7">
        <v>0</v>
      </c>
      <c r="DE42">
        <v>0</v>
      </c>
      <c r="DF42" s="7">
        <v>0</v>
      </c>
      <c r="DG42">
        <v>0</v>
      </c>
      <c r="DH42" s="7">
        <v>0</v>
      </c>
      <c r="DI42">
        <v>0</v>
      </c>
      <c r="DJ42" s="7">
        <v>0</v>
      </c>
      <c r="DK42">
        <v>0</v>
      </c>
      <c r="DL42" s="7">
        <v>0</v>
      </c>
      <c r="DM42">
        <v>0</v>
      </c>
      <c r="DN42" s="7">
        <v>0</v>
      </c>
      <c r="DO42">
        <v>0</v>
      </c>
      <c r="DP42" s="7">
        <v>0</v>
      </c>
      <c r="DQ42">
        <v>0</v>
      </c>
      <c r="DR42" s="7">
        <v>0</v>
      </c>
      <c r="DS42">
        <v>0</v>
      </c>
      <c r="DT42" s="7">
        <v>0</v>
      </c>
      <c r="DU42">
        <v>0</v>
      </c>
      <c r="DV42" s="7">
        <v>0</v>
      </c>
      <c r="DW42">
        <v>0</v>
      </c>
      <c r="DX42" s="7">
        <v>0</v>
      </c>
      <c r="DY42">
        <v>0</v>
      </c>
      <c r="DZ42" s="7">
        <v>0</v>
      </c>
      <c r="EA42">
        <v>0</v>
      </c>
      <c r="EB42" s="7">
        <v>0</v>
      </c>
      <c r="EC42">
        <v>0</v>
      </c>
      <c r="ED42" s="7">
        <v>0</v>
      </c>
    </row>
    <row r="43" spans="1:134" x14ac:dyDescent="0.25">
      <c r="A43" s="1">
        <v>83734</v>
      </c>
      <c r="B43" s="7">
        <v>1</v>
      </c>
      <c r="C43">
        <v>0</v>
      </c>
      <c r="D43" s="7">
        <v>0</v>
      </c>
      <c r="E43" s="1">
        <v>19440</v>
      </c>
      <c r="F43" s="7">
        <v>0</v>
      </c>
      <c r="G43" s="1">
        <v>55498</v>
      </c>
      <c r="H43" s="7">
        <v>1</v>
      </c>
      <c r="I43">
        <v>0</v>
      </c>
      <c r="J43" s="7">
        <v>0</v>
      </c>
      <c r="K43">
        <v>0</v>
      </c>
      <c r="L43" s="7">
        <v>0</v>
      </c>
      <c r="M43">
        <v>0</v>
      </c>
      <c r="N43" s="7">
        <v>0</v>
      </c>
      <c r="O43">
        <v>0</v>
      </c>
      <c r="P43" s="7">
        <v>0</v>
      </c>
      <c r="Q43">
        <v>0</v>
      </c>
      <c r="R43" s="7">
        <v>0</v>
      </c>
      <c r="S43" s="1">
        <v>56548</v>
      </c>
      <c r="T43" s="7">
        <v>1</v>
      </c>
      <c r="U43">
        <v>0</v>
      </c>
      <c r="V43" s="7">
        <v>0</v>
      </c>
      <c r="W43">
        <v>0</v>
      </c>
      <c r="X43" s="7">
        <v>0</v>
      </c>
      <c r="Y43">
        <v>0</v>
      </c>
      <c r="Z43" s="7">
        <v>0</v>
      </c>
      <c r="AA43">
        <v>0</v>
      </c>
      <c r="AB43" s="7">
        <v>0</v>
      </c>
      <c r="AC43" s="1">
        <v>99078</v>
      </c>
      <c r="AD43" s="7">
        <v>2</v>
      </c>
      <c r="AE43">
        <v>0</v>
      </c>
      <c r="AF43" s="7">
        <v>0</v>
      </c>
      <c r="AG43">
        <v>0</v>
      </c>
      <c r="AH43" s="7">
        <v>0</v>
      </c>
      <c r="AI43">
        <v>0</v>
      </c>
      <c r="AJ43" s="7">
        <v>0</v>
      </c>
      <c r="AK43">
        <v>0</v>
      </c>
      <c r="AL43" s="7">
        <v>0</v>
      </c>
      <c r="AM43" s="1">
        <v>2250</v>
      </c>
      <c r="AN43" s="7">
        <v>0</v>
      </c>
      <c r="AO43">
        <v>0</v>
      </c>
      <c r="AP43" s="7">
        <v>0</v>
      </c>
      <c r="AQ43">
        <v>965</v>
      </c>
      <c r="AR43" s="7">
        <v>0</v>
      </c>
      <c r="AS43">
        <v>928</v>
      </c>
      <c r="AT43" s="7">
        <v>0</v>
      </c>
      <c r="AU43">
        <v>0</v>
      </c>
      <c r="AV43" s="7">
        <v>0</v>
      </c>
      <c r="AW43">
        <v>0</v>
      </c>
      <c r="AX43" s="7">
        <v>0</v>
      </c>
      <c r="AY43">
        <v>0</v>
      </c>
      <c r="AZ43" s="7">
        <v>0</v>
      </c>
      <c r="BA43">
        <v>0</v>
      </c>
      <c r="BB43" s="7">
        <v>0</v>
      </c>
      <c r="BC43">
        <v>381</v>
      </c>
      <c r="BD43" s="7">
        <v>0</v>
      </c>
      <c r="BE43" s="1">
        <v>12709</v>
      </c>
      <c r="BF43" s="7">
        <v>0</v>
      </c>
      <c r="BG43">
        <v>0</v>
      </c>
      <c r="BH43" s="7">
        <v>0</v>
      </c>
      <c r="BI43">
        <v>0</v>
      </c>
      <c r="BJ43" s="7">
        <v>0</v>
      </c>
      <c r="BK43">
        <v>0</v>
      </c>
      <c r="BL43" s="7">
        <v>0</v>
      </c>
      <c r="BM43">
        <v>0</v>
      </c>
      <c r="BN43" s="7">
        <v>0</v>
      </c>
      <c r="BO43">
        <v>0</v>
      </c>
      <c r="BP43" s="7">
        <v>0</v>
      </c>
      <c r="BQ43">
        <v>0</v>
      </c>
      <c r="BR43" s="7">
        <v>0</v>
      </c>
      <c r="BS43">
        <v>0</v>
      </c>
      <c r="BT43" s="7">
        <v>0</v>
      </c>
      <c r="BU43">
        <v>0</v>
      </c>
      <c r="BV43" s="7">
        <v>0</v>
      </c>
      <c r="BW43">
        <v>0</v>
      </c>
      <c r="BX43" s="7">
        <v>0</v>
      </c>
      <c r="BY43">
        <v>0</v>
      </c>
      <c r="BZ43" s="7">
        <v>0</v>
      </c>
      <c r="CA43">
        <v>0</v>
      </c>
      <c r="CB43" s="7">
        <v>0</v>
      </c>
      <c r="CC43">
        <v>0</v>
      </c>
      <c r="CD43" s="7">
        <v>0</v>
      </c>
      <c r="CE43">
        <v>0</v>
      </c>
      <c r="CF43" s="7">
        <v>0</v>
      </c>
      <c r="CG43">
        <v>0</v>
      </c>
      <c r="CH43" s="7">
        <v>0</v>
      </c>
      <c r="CI43">
        <v>0</v>
      </c>
      <c r="CJ43" s="7">
        <v>0</v>
      </c>
      <c r="CK43">
        <v>0</v>
      </c>
      <c r="CL43" s="7">
        <v>0</v>
      </c>
      <c r="CM43">
        <v>0</v>
      </c>
      <c r="CN43" s="7">
        <v>0</v>
      </c>
      <c r="CO43">
        <v>0</v>
      </c>
      <c r="CP43" s="7">
        <v>0</v>
      </c>
      <c r="CQ43">
        <v>0</v>
      </c>
      <c r="CR43" s="7">
        <v>0</v>
      </c>
      <c r="CS43">
        <v>0</v>
      </c>
      <c r="CT43" s="7">
        <v>0</v>
      </c>
      <c r="CU43">
        <v>0</v>
      </c>
      <c r="CV43" s="7">
        <v>0</v>
      </c>
      <c r="CW43">
        <v>0</v>
      </c>
      <c r="CX43" s="7">
        <v>0</v>
      </c>
      <c r="CY43">
        <v>0</v>
      </c>
      <c r="CZ43" s="7">
        <v>0</v>
      </c>
      <c r="DA43">
        <v>0</v>
      </c>
      <c r="DB43" s="7">
        <v>0</v>
      </c>
      <c r="DC43">
        <v>0</v>
      </c>
      <c r="DD43" s="7">
        <v>0</v>
      </c>
      <c r="DE43">
        <v>0</v>
      </c>
      <c r="DF43" s="7">
        <v>0</v>
      </c>
      <c r="DG43">
        <v>0</v>
      </c>
      <c r="DH43" s="7">
        <v>0</v>
      </c>
      <c r="DI43">
        <v>0</v>
      </c>
      <c r="DJ43" s="7">
        <v>0</v>
      </c>
      <c r="DK43">
        <v>0</v>
      </c>
      <c r="DL43" s="7">
        <v>0</v>
      </c>
      <c r="DM43">
        <v>0</v>
      </c>
      <c r="DN43" s="7">
        <v>0</v>
      </c>
      <c r="DO43">
        <v>0</v>
      </c>
      <c r="DP43" s="7">
        <v>0</v>
      </c>
      <c r="DQ43">
        <v>0</v>
      </c>
      <c r="DR43" s="7">
        <v>0</v>
      </c>
      <c r="DS43">
        <v>0</v>
      </c>
      <c r="DT43" s="7">
        <v>0</v>
      </c>
      <c r="DU43">
        <v>0</v>
      </c>
      <c r="DV43" s="7">
        <v>0</v>
      </c>
      <c r="DW43">
        <v>0</v>
      </c>
      <c r="DX43" s="7">
        <v>0</v>
      </c>
      <c r="DY43">
        <v>0</v>
      </c>
      <c r="DZ43" s="7">
        <v>0</v>
      </c>
      <c r="EA43">
        <v>0</v>
      </c>
      <c r="EB43" s="7">
        <v>0</v>
      </c>
      <c r="EC43">
        <v>0</v>
      </c>
      <c r="ED43" s="7">
        <v>0</v>
      </c>
    </row>
    <row r="44" spans="1:134" x14ac:dyDescent="0.25">
      <c r="A44" s="1">
        <v>37488</v>
      </c>
      <c r="B44" s="7">
        <v>1</v>
      </c>
      <c r="C44" s="1">
        <v>25506</v>
      </c>
      <c r="D44" s="7">
        <v>0</v>
      </c>
      <c r="E44" s="1">
        <v>6421</v>
      </c>
      <c r="F44" s="7">
        <v>0</v>
      </c>
      <c r="G44" s="1">
        <v>28186</v>
      </c>
      <c r="H44" s="7">
        <v>1</v>
      </c>
      <c r="I44">
        <v>0</v>
      </c>
      <c r="J44" s="7">
        <v>0</v>
      </c>
      <c r="K44" s="1">
        <v>2526</v>
      </c>
      <c r="L44" s="7">
        <v>0</v>
      </c>
      <c r="M44">
        <v>0</v>
      </c>
      <c r="N44" s="7">
        <v>0</v>
      </c>
      <c r="O44">
        <v>0</v>
      </c>
      <c r="P44" s="7">
        <v>0</v>
      </c>
      <c r="Q44" s="1">
        <v>40262</v>
      </c>
      <c r="R44" s="7">
        <v>1</v>
      </c>
      <c r="S44" s="1">
        <v>27453</v>
      </c>
      <c r="T44" s="7">
        <v>1</v>
      </c>
      <c r="U44">
        <v>0</v>
      </c>
      <c r="V44" s="7">
        <v>0</v>
      </c>
      <c r="W44">
        <v>0</v>
      </c>
      <c r="X44" s="7">
        <v>0</v>
      </c>
      <c r="Y44">
        <v>0</v>
      </c>
      <c r="Z44" s="7">
        <v>0</v>
      </c>
      <c r="AA44">
        <v>0</v>
      </c>
      <c r="AB44" s="7">
        <v>0</v>
      </c>
      <c r="AC44">
        <v>0</v>
      </c>
      <c r="AD44" s="7">
        <v>0</v>
      </c>
      <c r="AE44">
        <v>0</v>
      </c>
      <c r="AF44" s="7">
        <v>0</v>
      </c>
      <c r="AG44">
        <v>0</v>
      </c>
      <c r="AH44" s="7">
        <v>0</v>
      </c>
      <c r="AI44">
        <v>0</v>
      </c>
      <c r="AJ44" s="7">
        <v>0</v>
      </c>
      <c r="AK44">
        <v>0</v>
      </c>
      <c r="AL44" s="7">
        <v>0</v>
      </c>
      <c r="AM44" s="1">
        <v>1152</v>
      </c>
      <c r="AN44" s="7">
        <v>0</v>
      </c>
      <c r="AO44">
        <v>0</v>
      </c>
      <c r="AP44" s="7">
        <v>0</v>
      </c>
      <c r="AQ44">
        <v>409</v>
      </c>
      <c r="AR44" s="7">
        <v>0</v>
      </c>
      <c r="AS44">
        <v>326</v>
      </c>
      <c r="AT44" s="7">
        <v>0</v>
      </c>
      <c r="AU44">
        <v>0</v>
      </c>
      <c r="AV44" s="7">
        <v>0</v>
      </c>
      <c r="AW44">
        <v>0</v>
      </c>
      <c r="AX44" s="7">
        <v>0</v>
      </c>
      <c r="AY44">
        <v>0</v>
      </c>
      <c r="AZ44" s="7">
        <v>0</v>
      </c>
      <c r="BA44">
        <v>0</v>
      </c>
      <c r="BB44" s="7">
        <v>0</v>
      </c>
      <c r="BC44">
        <v>215</v>
      </c>
      <c r="BD44" s="7">
        <v>0</v>
      </c>
      <c r="BE44">
        <v>0</v>
      </c>
      <c r="BF44" s="7">
        <v>0</v>
      </c>
      <c r="BG44">
        <v>0</v>
      </c>
      <c r="BH44" s="7">
        <v>0</v>
      </c>
      <c r="BI44">
        <v>0</v>
      </c>
      <c r="BJ44" s="7">
        <v>0</v>
      </c>
      <c r="BK44">
        <v>0</v>
      </c>
      <c r="BL44" s="7">
        <v>0</v>
      </c>
      <c r="BM44">
        <v>0</v>
      </c>
      <c r="BN44" s="7">
        <v>0</v>
      </c>
      <c r="BO44">
        <v>0</v>
      </c>
      <c r="BP44" s="7">
        <v>0</v>
      </c>
      <c r="BQ44">
        <v>0</v>
      </c>
      <c r="BR44" s="7">
        <v>0</v>
      </c>
      <c r="BS44">
        <v>0</v>
      </c>
      <c r="BT44" s="7">
        <v>0</v>
      </c>
      <c r="BU44">
        <v>0</v>
      </c>
      <c r="BV44" s="7">
        <v>0</v>
      </c>
      <c r="BW44">
        <v>0</v>
      </c>
      <c r="BX44" s="7">
        <v>0</v>
      </c>
      <c r="BY44">
        <v>0</v>
      </c>
      <c r="BZ44" s="7">
        <v>0</v>
      </c>
      <c r="CA44">
        <v>0</v>
      </c>
      <c r="CB44" s="7">
        <v>0</v>
      </c>
      <c r="CC44">
        <v>0</v>
      </c>
      <c r="CD44" s="7">
        <v>0</v>
      </c>
      <c r="CE44">
        <v>0</v>
      </c>
      <c r="CF44" s="7">
        <v>0</v>
      </c>
      <c r="CG44">
        <v>0</v>
      </c>
      <c r="CH44" s="7">
        <v>0</v>
      </c>
      <c r="CI44">
        <v>0</v>
      </c>
      <c r="CJ44" s="7">
        <v>0</v>
      </c>
      <c r="CK44">
        <v>0</v>
      </c>
      <c r="CL44" s="7">
        <v>0</v>
      </c>
      <c r="CM44">
        <v>0</v>
      </c>
      <c r="CN44" s="7">
        <v>0</v>
      </c>
      <c r="CO44">
        <v>0</v>
      </c>
      <c r="CP44" s="7">
        <v>0</v>
      </c>
      <c r="CQ44">
        <v>0</v>
      </c>
      <c r="CR44" s="7">
        <v>0</v>
      </c>
      <c r="CS44">
        <v>0</v>
      </c>
      <c r="CT44" s="7">
        <v>0</v>
      </c>
      <c r="CU44">
        <v>0</v>
      </c>
      <c r="CV44" s="7">
        <v>0</v>
      </c>
      <c r="CW44">
        <v>0</v>
      </c>
      <c r="CX44" s="7">
        <v>0</v>
      </c>
      <c r="CY44">
        <v>0</v>
      </c>
      <c r="CZ44" s="7">
        <v>0</v>
      </c>
      <c r="DA44">
        <v>0</v>
      </c>
      <c r="DB44" s="7">
        <v>0</v>
      </c>
      <c r="DC44">
        <v>0</v>
      </c>
      <c r="DD44" s="7">
        <v>0</v>
      </c>
      <c r="DE44">
        <v>0</v>
      </c>
      <c r="DF44" s="7">
        <v>0</v>
      </c>
      <c r="DG44">
        <v>0</v>
      </c>
      <c r="DH44" s="7">
        <v>0</v>
      </c>
      <c r="DI44">
        <v>0</v>
      </c>
      <c r="DJ44" s="7">
        <v>0</v>
      </c>
      <c r="DK44">
        <v>0</v>
      </c>
      <c r="DL44" s="7">
        <v>0</v>
      </c>
      <c r="DM44">
        <v>0</v>
      </c>
      <c r="DN44" s="7">
        <v>0</v>
      </c>
      <c r="DO44">
        <v>0</v>
      </c>
      <c r="DP44" s="7">
        <v>0</v>
      </c>
      <c r="DQ44">
        <v>0</v>
      </c>
      <c r="DR44" s="7">
        <v>0</v>
      </c>
      <c r="DS44">
        <v>0</v>
      </c>
      <c r="DT44" s="7">
        <v>0</v>
      </c>
      <c r="DU44">
        <v>0</v>
      </c>
      <c r="DV44" s="7">
        <v>0</v>
      </c>
      <c r="DW44">
        <v>0</v>
      </c>
      <c r="DX44" s="7">
        <v>0</v>
      </c>
      <c r="DY44">
        <v>0</v>
      </c>
      <c r="DZ44" s="7">
        <v>0</v>
      </c>
      <c r="EA44">
        <v>0</v>
      </c>
      <c r="EB44" s="7">
        <v>0</v>
      </c>
      <c r="EC44">
        <v>0</v>
      </c>
      <c r="ED44" s="7">
        <v>0</v>
      </c>
    </row>
    <row r="45" spans="1:134" x14ac:dyDescent="0.25">
      <c r="A45" s="1">
        <v>69342</v>
      </c>
      <c r="B45" s="7">
        <v>1</v>
      </c>
      <c r="C45" s="1">
        <v>23619</v>
      </c>
      <c r="D45" s="7">
        <v>0</v>
      </c>
      <c r="E45" s="1">
        <v>7274</v>
      </c>
      <c r="F45" s="7">
        <v>0</v>
      </c>
      <c r="G45" s="1">
        <v>57363</v>
      </c>
      <c r="H45" s="7">
        <v>1</v>
      </c>
      <c r="I45">
        <v>0</v>
      </c>
      <c r="J45" s="7">
        <v>0</v>
      </c>
      <c r="K45" s="1">
        <v>3824</v>
      </c>
      <c r="L45" s="7">
        <v>0</v>
      </c>
      <c r="M45">
        <v>0</v>
      </c>
      <c r="N45" s="7">
        <v>0</v>
      </c>
      <c r="O45">
        <v>0</v>
      </c>
      <c r="P45" s="7">
        <v>0</v>
      </c>
      <c r="Q45" s="1">
        <v>116761</v>
      </c>
      <c r="R45" s="7">
        <v>2</v>
      </c>
      <c r="S45" s="1">
        <v>98951</v>
      </c>
      <c r="T45" s="7">
        <v>2</v>
      </c>
      <c r="U45">
        <v>0</v>
      </c>
      <c r="V45" s="7">
        <v>0</v>
      </c>
      <c r="W45">
        <v>0</v>
      </c>
      <c r="X45" s="7">
        <v>0</v>
      </c>
      <c r="Y45">
        <v>0</v>
      </c>
      <c r="Z45" s="7">
        <v>0</v>
      </c>
      <c r="AA45">
        <v>0</v>
      </c>
      <c r="AB45" s="7">
        <v>0</v>
      </c>
      <c r="AC45">
        <v>0</v>
      </c>
      <c r="AD45" s="7">
        <v>0</v>
      </c>
      <c r="AE45">
        <v>0</v>
      </c>
      <c r="AF45" s="7">
        <v>0</v>
      </c>
      <c r="AG45">
        <v>0</v>
      </c>
      <c r="AH45" s="7">
        <v>0</v>
      </c>
      <c r="AI45">
        <v>0</v>
      </c>
      <c r="AJ45" s="7">
        <v>0</v>
      </c>
      <c r="AK45">
        <v>0</v>
      </c>
      <c r="AL45" s="7">
        <v>0</v>
      </c>
      <c r="AM45" s="1">
        <v>2070</v>
      </c>
      <c r="AN45" s="7">
        <v>0</v>
      </c>
      <c r="AO45">
        <v>0</v>
      </c>
      <c r="AP45" s="7">
        <v>0</v>
      </c>
      <c r="AQ45">
        <v>510</v>
      </c>
      <c r="AR45" s="7">
        <v>0</v>
      </c>
      <c r="AS45">
        <v>401</v>
      </c>
      <c r="AT45" s="7">
        <v>0</v>
      </c>
      <c r="AU45">
        <v>0</v>
      </c>
      <c r="AV45" s="7">
        <v>0</v>
      </c>
      <c r="AW45">
        <v>0</v>
      </c>
      <c r="AX45" s="7">
        <v>0</v>
      </c>
      <c r="AY45">
        <v>0</v>
      </c>
      <c r="AZ45" s="7">
        <v>0</v>
      </c>
      <c r="BA45">
        <v>0</v>
      </c>
      <c r="BB45" s="7">
        <v>0</v>
      </c>
      <c r="BC45">
        <v>276</v>
      </c>
      <c r="BD45" s="7">
        <v>0</v>
      </c>
      <c r="BE45">
        <v>0</v>
      </c>
      <c r="BF45" s="7">
        <v>0</v>
      </c>
      <c r="BG45">
        <v>0</v>
      </c>
      <c r="BH45" s="7">
        <v>0</v>
      </c>
      <c r="BI45">
        <v>0</v>
      </c>
      <c r="BJ45" s="7">
        <v>0</v>
      </c>
      <c r="BK45">
        <v>0</v>
      </c>
      <c r="BL45" s="7">
        <v>0</v>
      </c>
      <c r="BM45">
        <v>570</v>
      </c>
      <c r="BN45" s="7">
        <v>0</v>
      </c>
      <c r="BO45">
        <v>0</v>
      </c>
      <c r="BP45" s="7">
        <v>0</v>
      </c>
      <c r="BQ45">
        <v>0</v>
      </c>
      <c r="BR45" s="7">
        <v>0</v>
      </c>
      <c r="BS45">
        <v>0</v>
      </c>
      <c r="BT45" s="7">
        <v>0</v>
      </c>
      <c r="BU45">
        <v>0</v>
      </c>
      <c r="BV45" s="7">
        <v>0</v>
      </c>
      <c r="BW45">
        <v>0</v>
      </c>
      <c r="BX45" s="7">
        <v>0</v>
      </c>
      <c r="BY45">
        <v>0</v>
      </c>
      <c r="BZ45" s="7">
        <v>0</v>
      </c>
      <c r="CA45">
        <v>0</v>
      </c>
      <c r="CB45" s="7">
        <v>0</v>
      </c>
      <c r="CC45">
        <v>0</v>
      </c>
      <c r="CD45" s="7">
        <v>0</v>
      </c>
      <c r="CE45">
        <v>0</v>
      </c>
      <c r="CF45" s="7">
        <v>0</v>
      </c>
      <c r="CG45">
        <v>0</v>
      </c>
      <c r="CH45" s="7">
        <v>0</v>
      </c>
      <c r="CI45">
        <v>0</v>
      </c>
      <c r="CJ45" s="7">
        <v>0</v>
      </c>
      <c r="CK45">
        <v>0</v>
      </c>
      <c r="CL45" s="7">
        <v>0</v>
      </c>
      <c r="CM45">
        <v>0</v>
      </c>
      <c r="CN45" s="7">
        <v>0</v>
      </c>
      <c r="CO45">
        <v>0</v>
      </c>
      <c r="CP45" s="7">
        <v>0</v>
      </c>
      <c r="CQ45">
        <v>0</v>
      </c>
      <c r="CR45" s="7">
        <v>0</v>
      </c>
      <c r="CS45">
        <v>0</v>
      </c>
      <c r="CT45" s="7">
        <v>0</v>
      </c>
      <c r="CU45">
        <v>0</v>
      </c>
      <c r="CV45" s="7">
        <v>0</v>
      </c>
      <c r="CW45">
        <v>0</v>
      </c>
      <c r="CX45" s="7">
        <v>0</v>
      </c>
      <c r="CY45">
        <v>0</v>
      </c>
      <c r="CZ45" s="7">
        <v>0</v>
      </c>
      <c r="DA45">
        <v>0</v>
      </c>
      <c r="DB45" s="7">
        <v>0</v>
      </c>
      <c r="DC45">
        <v>0</v>
      </c>
      <c r="DD45" s="7">
        <v>0</v>
      </c>
      <c r="DE45">
        <v>0</v>
      </c>
      <c r="DF45" s="7">
        <v>0</v>
      </c>
      <c r="DG45">
        <v>0</v>
      </c>
      <c r="DH45" s="7">
        <v>0</v>
      </c>
      <c r="DI45">
        <v>0</v>
      </c>
      <c r="DJ45" s="7">
        <v>0</v>
      </c>
      <c r="DK45">
        <v>0</v>
      </c>
      <c r="DL45" s="7">
        <v>0</v>
      </c>
      <c r="DM45">
        <v>0</v>
      </c>
      <c r="DN45" s="7">
        <v>0</v>
      </c>
      <c r="DO45">
        <v>0</v>
      </c>
      <c r="DP45" s="7">
        <v>0</v>
      </c>
      <c r="DQ45">
        <v>0</v>
      </c>
      <c r="DR45" s="7">
        <v>0</v>
      </c>
      <c r="DS45">
        <v>0</v>
      </c>
      <c r="DT45" s="7">
        <v>0</v>
      </c>
      <c r="DU45">
        <v>0</v>
      </c>
      <c r="DV45" s="7">
        <v>0</v>
      </c>
      <c r="DW45">
        <v>0</v>
      </c>
      <c r="DX45" s="7">
        <v>0</v>
      </c>
      <c r="DY45">
        <v>0</v>
      </c>
      <c r="DZ45" s="7">
        <v>0</v>
      </c>
      <c r="EA45">
        <v>0</v>
      </c>
      <c r="EB45" s="7">
        <v>0</v>
      </c>
      <c r="EC45">
        <v>0</v>
      </c>
      <c r="ED45" s="7">
        <v>0</v>
      </c>
    </row>
    <row r="46" spans="1:134" x14ac:dyDescent="0.25">
      <c r="A46" s="1">
        <v>120566</v>
      </c>
      <c r="B46" s="7">
        <v>2</v>
      </c>
      <c r="C46" s="1">
        <v>55621</v>
      </c>
      <c r="D46" s="7">
        <v>1</v>
      </c>
      <c r="E46" s="1">
        <v>15284</v>
      </c>
      <c r="F46" s="7">
        <v>0</v>
      </c>
      <c r="G46" s="1">
        <v>97125</v>
      </c>
      <c r="H46" s="7">
        <v>1</v>
      </c>
      <c r="I46">
        <v>0</v>
      </c>
      <c r="J46" s="7">
        <v>0</v>
      </c>
      <c r="K46" s="1">
        <v>6929</v>
      </c>
      <c r="L46" s="7">
        <v>0</v>
      </c>
      <c r="M46">
        <v>0</v>
      </c>
      <c r="N46" s="7">
        <v>0</v>
      </c>
      <c r="O46">
        <v>0</v>
      </c>
      <c r="P46" s="7">
        <v>0</v>
      </c>
      <c r="Q46" s="1">
        <v>221979</v>
      </c>
      <c r="R46" s="7">
        <v>3</v>
      </c>
      <c r="S46" s="1">
        <v>94669</v>
      </c>
      <c r="T46" s="7">
        <v>1</v>
      </c>
      <c r="U46" s="1">
        <v>8542</v>
      </c>
      <c r="V46" s="7">
        <v>0</v>
      </c>
      <c r="W46">
        <v>0</v>
      </c>
      <c r="X46" s="7">
        <v>0</v>
      </c>
      <c r="Y46">
        <v>0</v>
      </c>
      <c r="Z46" s="7">
        <v>0</v>
      </c>
      <c r="AA46">
        <v>0</v>
      </c>
      <c r="AB46" s="7">
        <v>0</v>
      </c>
      <c r="AC46">
        <v>0</v>
      </c>
      <c r="AD46" s="7">
        <v>0</v>
      </c>
      <c r="AE46">
        <v>0</v>
      </c>
      <c r="AF46" s="7">
        <v>0</v>
      </c>
      <c r="AG46">
        <v>0</v>
      </c>
      <c r="AH46" s="7">
        <v>0</v>
      </c>
      <c r="AI46">
        <v>0</v>
      </c>
      <c r="AJ46" s="7">
        <v>0</v>
      </c>
      <c r="AK46">
        <v>0</v>
      </c>
      <c r="AL46" s="7">
        <v>0</v>
      </c>
      <c r="AM46" s="1">
        <v>3783</v>
      </c>
      <c r="AN46" s="7">
        <v>0</v>
      </c>
      <c r="AO46">
        <v>0</v>
      </c>
      <c r="AP46" s="7">
        <v>0</v>
      </c>
      <c r="AQ46">
        <v>753</v>
      </c>
      <c r="AR46" s="7">
        <v>0</v>
      </c>
      <c r="AS46">
        <v>494</v>
      </c>
      <c r="AT46" s="7">
        <v>0</v>
      </c>
      <c r="AU46">
        <v>0</v>
      </c>
      <c r="AV46" s="7">
        <v>0</v>
      </c>
      <c r="AW46">
        <v>0</v>
      </c>
      <c r="AX46" s="7">
        <v>0</v>
      </c>
      <c r="AY46">
        <v>0</v>
      </c>
      <c r="AZ46" s="7">
        <v>0</v>
      </c>
      <c r="BA46">
        <v>0</v>
      </c>
      <c r="BB46" s="7">
        <v>0</v>
      </c>
      <c r="BC46">
        <v>491</v>
      </c>
      <c r="BD46" s="7">
        <v>0</v>
      </c>
      <c r="BE46">
        <v>0</v>
      </c>
      <c r="BF46" s="7">
        <v>0</v>
      </c>
      <c r="BG46">
        <v>0</v>
      </c>
      <c r="BH46" s="7">
        <v>0</v>
      </c>
      <c r="BI46">
        <v>0</v>
      </c>
      <c r="BJ46" s="7">
        <v>0</v>
      </c>
      <c r="BK46">
        <v>0</v>
      </c>
      <c r="BL46" s="7">
        <v>0</v>
      </c>
      <c r="BM46">
        <v>0</v>
      </c>
      <c r="BN46" s="7">
        <v>0</v>
      </c>
      <c r="BO46">
        <v>0</v>
      </c>
      <c r="BP46" s="7">
        <v>0</v>
      </c>
      <c r="BQ46">
        <v>0</v>
      </c>
      <c r="BR46" s="7">
        <v>0</v>
      </c>
      <c r="BS46">
        <v>0</v>
      </c>
      <c r="BT46" s="7">
        <v>0</v>
      </c>
      <c r="BU46">
        <v>0</v>
      </c>
      <c r="BV46" s="7">
        <v>0</v>
      </c>
      <c r="BW46">
        <v>0</v>
      </c>
      <c r="BX46" s="7">
        <v>0</v>
      </c>
      <c r="BY46">
        <v>0</v>
      </c>
      <c r="BZ46" s="7">
        <v>0</v>
      </c>
      <c r="CA46">
        <v>0</v>
      </c>
      <c r="CB46" s="7">
        <v>0</v>
      </c>
      <c r="CC46">
        <v>0</v>
      </c>
      <c r="CD46" s="7">
        <v>0</v>
      </c>
      <c r="CE46">
        <v>0</v>
      </c>
      <c r="CF46" s="7">
        <v>0</v>
      </c>
      <c r="CG46">
        <v>0</v>
      </c>
      <c r="CH46" s="7">
        <v>0</v>
      </c>
      <c r="CI46">
        <v>0</v>
      </c>
      <c r="CJ46" s="7">
        <v>0</v>
      </c>
      <c r="CK46">
        <v>0</v>
      </c>
      <c r="CL46" s="7">
        <v>0</v>
      </c>
      <c r="CM46">
        <v>0</v>
      </c>
      <c r="CN46" s="7">
        <v>0</v>
      </c>
      <c r="CO46">
        <v>0</v>
      </c>
      <c r="CP46" s="7">
        <v>0</v>
      </c>
      <c r="CQ46">
        <v>0</v>
      </c>
      <c r="CR46" s="7">
        <v>0</v>
      </c>
      <c r="CS46">
        <v>0</v>
      </c>
      <c r="CT46" s="7">
        <v>0</v>
      </c>
      <c r="CU46">
        <v>0</v>
      </c>
      <c r="CV46" s="7">
        <v>0</v>
      </c>
      <c r="CW46">
        <v>0</v>
      </c>
      <c r="CX46" s="7">
        <v>0</v>
      </c>
      <c r="CY46">
        <v>0</v>
      </c>
      <c r="CZ46" s="7">
        <v>0</v>
      </c>
      <c r="DA46">
        <v>0</v>
      </c>
      <c r="DB46" s="7">
        <v>0</v>
      </c>
      <c r="DC46">
        <v>0</v>
      </c>
      <c r="DD46" s="7">
        <v>0</v>
      </c>
      <c r="DE46">
        <v>0</v>
      </c>
      <c r="DF46" s="7">
        <v>0</v>
      </c>
      <c r="DG46">
        <v>0</v>
      </c>
      <c r="DH46" s="7">
        <v>0</v>
      </c>
      <c r="DI46">
        <v>0</v>
      </c>
      <c r="DJ46" s="7">
        <v>0</v>
      </c>
      <c r="DK46">
        <v>0</v>
      </c>
      <c r="DL46" s="7">
        <v>0</v>
      </c>
      <c r="DM46">
        <v>0</v>
      </c>
      <c r="DN46" s="7">
        <v>0</v>
      </c>
      <c r="DO46">
        <v>0</v>
      </c>
      <c r="DP46" s="7">
        <v>0</v>
      </c>
      <c r="DQ46">
        <v>270</v>
      </c>
      <c r="DR46" s="7">
        <v>0</v>
      </c>
      <c r="DS46">
        <v>0</v>
      </c>
      <c r="DT46" s="7">
        <v>0</v>
      </c>
      <c r="DU46">
        <v>0</v>
      </c>
      <c r="DV46" s="7">
        <v>0</v>
      </c>
      <c r="DW46">
        <v>0</v>
      </c>
      <c r="DX46" s="7">
        <v>0</v>
      </c>
      <c r="DY46">
        <v>0</v>
      </c>
      <c r="DZ46" s="7">
        <v>0</v>
      </c>
      <c r="EA46">
        <v>0</v>
      </c>
      <c r="EB46" s="7">
        <v>0</v>
      </c>
      <c r="EC46">
        <v>0</v>
      </c>
      <c r="ED46" s="7">
        <v>0</v>
      </c>
    </row>
    <row r="47" spans="1:134" x14ac:dyDescent="0.25">
      <c r="A47" s="1">
        <v>177154</v>
      </c>
      <c r="B47" s="7">
        <v>3</v>
      </c>
      <c r="C47" s="1">
        <v>189500</v>
      </c>
      <c r="D47" s="7">
        <v>3</v>
      </c>
      <c r="E47" s="1">
        <v>199829</v>
      </c>
      <c r="F47" s="7">
        <v>3</v>
      </c>
      <c r="G47" s="1">
        <v>63461</v>
      </c>
      <c r="H47" s="7">
        <v>1</v>
      </c>
      <c r="I47">
        <v>0</v>
      </c>
      <c r="J47" s="7">
        <v>0</v>
      </c>
      <c r="K47" s="1">
        <v>53201</v>
      </c>
      <c r="L47" s="7">
        <v>0</v>
      </c>
      <c r="M47">
        <v>0</v>
      </c>
      <c r="N47" s="7">
        <v>0</v>
      </c>
      <c r="O47">
        <v>0</v>
      </c>
      <c r="P47" s="7">
        <v>0</v>
      </c>
      <c r="Q47">
        <v>0</v>
      </c>
      <c r="R47" s="7">
        <v>0</v>
      </c>
      <c r="S47">
        <v>0</v>
      </c>
      <c r="T47" s="7">
        <v>0</v>
      </c>
      <c r="U47" s="1">
        <v>13439</v>
      </c>
      <c r="V47" s="7">
        <v>0</v>
      </c>
      <c r="W47">
        <v>0</v>
      </c>
      <c r="X47" s="7">
        <v>0</v>
      </c>
      <c r="Y47">
        <v>0</v>
      </c>
      <c r="Z47" s="7">
        <v>0</v>
      </c>
      <c r="AA47">
        <v>0</v>
      </c>
      <c r="AB47" s="7">
        <v>0</v>
      </c>
      <c r="AC47">
        <v>0</v>
      </c>
      <c r="AD47" s="7">
        <v>0</v>
      </c>
      <c r="AE47">
        <v>0</v>
      </c>
      <c r="AF47" s="7">
        <v>0</v>
      </c>
      <c r="AG47">
        <v>0</v>
      </c>
      <c r="AH47" s="7">
        <v>0</v>
      </c>
      <c r="AI47">
        <v>0</v>
      </c>
      <c r="AJ47" s="7">
        <v>0</v>
      </c>
      <c r="AK47">
        <v>0</v>
      </c>
      <c r="AL47" s="7">
        <v>0</v>
      </c>
      <c r="AM47" s="1">
        <v>7005</v>
      </c>
      <c r="AN47" s="7">
        <v>0</v>
      </c>
      <c r="AO47">
        <v>0</v>
      </c>
      <c r="AP47" s="7">
        <v>0</v>
      </c>
      <c r="AQ47">
        <v>881</v>
      </c>
      <c r="AR47" s="7">
        <v>0</v>
      </c>
      <c r="AS47">
        <v>431</v>
      </c>
      <c r="AT47" s="7">
        <v>0</v>
      </c>
      <c r="AU47">
        <v>0</v>
      </c>
      <c r="AV47" s="7">
        <v>0</v>
      </c>
      <c r="AW47">
        <v>0</v>
      </c>
      <c r="AX47" s="7">
        <v>0</v>
      </c>
      <c r="AY47">
        <v>0</v>
      </c>
      <c r="AZ47" s="7">
        <v>0</v>
      </c>
      <c r="BA47">
        <v>490</v>
      </c>
      <c r="BB47" s="7">
        <v>0</v>
      </c>
      <c r="BC47">
        <v>0</v>
      </c>
      <c r="BD47" s="7">
        <v>0</v>
      </c>
      <c r="BE47">
        <v>0</v>
      </c>
      <c r="BF47" s="7">
        <v>0</v>
      </c>
      <c r="BG47">
        <v>0</v>
      </c>
      <c r="BH47" s="7">
        <v>0</v>
      </c>
      <c r="BI47">
        <v>990</v>
      </c>
      <c r="BJ47" s="7">
        <v>0</v>
      </c>
      <c r="BK47">
        <v>0</v>
      </c>
      <c r="BL47" s="7">
        <v>0</v>
      </c>
      <c r="BM47">
        <v>0</v>
      </c>
      <c r="BN47" s="7">
        <v>0</v>
      </c>
      <c r="BO47">
        <v>0</v>
      </c>
      <c r="BP47" s="7">
        <v>0</v>
      </c>
      <c r="BQ47">
        <v>0</v>
      </c>
      <c r="BR47" s="7">
        <v>0</v>
      </c>
      <c r="BS47">
        <v>0</v>
      </c>
      <c r="BT47" s="7">
        <v>0</v>
      </c>
      <c r="BU47">
        <v>0</v>
      </c>
      <c r="BV47" s="7">
        <v>0</v>
      </c>
      <c r="BW47">
        <v>0</v>
      </c>
      <c r="BX47" s="7">
        <v>0</v>
      </c>
      <c r="BY47">
        <v>0</v>
      </c>
      <c r="BZ47" s="7">
        <v>0</v>
      </c>
      <c r="CA47">
        <v>0</v>
      </c>
      <c r="CB47" s="7">
        <v>0</v>
      </c>
      <c r="CC47" s="1">
        <v>2328</v>
      </c>
      <c r="CD47" s="7">
        <v>0</v>
      </c>
      <c r="CE47">
        <v>434</v>
      </c>
      <c r="CF47" s="7">
        <v>0</v>
      </c>
      <c r="CG47">
        <v>0</v>
      </c>
      <c r="CH47" s="7">
        <v>0</v>
      </c>
      <c r="CI47">
        <v>317</v>
      </c>
      <c r="CJ47" s="7">
        <v>0</v>
      </c>
      <c r="CK47">
        <v>0</v>
      </c>
      <c r="CL47" s="7">
        <v>0</v>
      </c>
      <c r="CM47">
        <v>0</v>
      </c>
      <c r="CN47" s="7">
        <v>0</v>
      </c>
      <c r="CO47">
        <v>0</v>
      </c>
      <c r="CP47" s="7">
        <v>0</v>
      </c>
      <c r="CQ47">
        <v>0</v>
      </c>
      <c r="CR47" s="7">
        <v>0</v>
      </c>
      <c r="CS47">
        <v>0</v>
      </c>
      <c r="CT47" s="7">
        <v>0</v>
      </c>
      <c r="CU47">
        <v>0</v>
      </c>
      <c r="CV47" s="7">
        <v>0</v>
      </c>
      <c r="CW47">
        <v>0</v>
      </c>
      <c r="CX47" s="7">
        <v>0</v>
      </c>
      <c r="CY47">
        <v>0</v>
      </c>
      <c r="CZ47" s="7">
        <v>0</v>
      </c>
      <c r="DA47">
        <v>0</v>
      </c>
      <c r="DB47" s="7">
        <v>0</v>
      </c>
      <c r="DC47">
        <v>0</v>
      </c>
      <c r="DD47" s="7">
        <v>0</v>
      </c>
      <c r="DE47">
        <v>0</v>
      </c>
      <c r="DF47" s="7">
        <v>0</v>
      </c>
      <c r="DG47">
        <v>0</v>
      </c>
      <c r="DH47" s="7">
        <v>0</v>
      </c>
      <c r="DI47">
        <v>0</v>
      </c>
      <c r="DJ47" s="7">
        <v>0</v>
      </c>
      <c r="DK47">
        <v>0</v>
      </c>
      <c r="DL47" s="7">
        <v>0</v>
      </c>
      <c r="DM47">
        <v>0</v>
      </c>
      <c r="DN47" s="7">
        <v>0</v>
      </c>
      <c r="DO47">
        <v>0</v>
      </c>
      <c r="DP47" s="7">
        <v>0</v>
      </c>
      <c r="DQ47">
        <v>0</v>
      </c>
      <c r="DR47" s="7">
        <v>0</v>
      </c>
      <c r="DS47">
        <v>0</v>
      </c>
      <c r="DT47" s="7">
        <v>0</v>
      </c>
      <c r="DU47">
        <v>0</v>
      </c>
      <c r="DV47" s="7">
        <v>0</v>
      </c>
      <c r="DW47">
        <v>214</v>
      </c>
      <c r="DX47" s="7">
        <v>0</v>
      </c>
      <c r="DY47">
        <v>0</v>
      </c>
      <c r="DZ47" s="7">
        <v>0</v>
      </c>
      <c r="EA47">
        <v>0</v>
      </c>
      <c r="EB47" s="7">
        <v>0</v>
      </c>
      <c r="EC47">
        <v>0</v>
      </c>
      <c r="ED47" s="7">
        <v>0</v>
      </c>
    </row>
    <row r="48" spans="1:134" x14ac:dyDescent="0.25">
      <c r="A48" s="1">
        <v>57485</v>
      </c>
      <c r="B48" s="7">
        <v>2</v>
      </c>
      <c r="C48" s="1">
        <v>56450</v>
      </c>
      <c r="D48" s="7">
        <v>2</v>
      </c>
      <c r="E48" s="1">
        <v>18908</v>
      </c>
      <c r="F48" s="7">
        <v>0</v>
      </c>
      <c r="G48" s="1">
        <v>16273</v>
      </c>
      <c r="H48" s="7">
        <v>0</v>
      </c>
      <c r="I48">
        <v>0</v>
      </c>
      <c r="J48" s="7">
        <v>0</v>
      </c>
      <c r="K48" s="1">
        <v>11673</v>
      </c>
      <c r="L48" s="7">
        <v>0</v>
      </c>
      <c r="M48">
        <v>0</v>
      </c>
      <c r="N48" s="7">
        <v>0</v>
      </c>
      <c r="O48">
        <v>0</v>
      </c>
      <c r="P48" s="7">
        <v>0</v>
      </c>
      <c r="Q48">
        <v>0</v>
      </c>
      <c r="R48" s="7">
        <v>0</v>
      </c>
      <c r="S48">
        <v>0</v>
      </c>
      <c r="T48" s="7">
        <v>0</v>
      </c>
      <c r="U48">
        <v>0</v>
      </c>
      <c r="V48" s="7">
        <v>0</v>
      </c>
      <c r="W48">
        <v>0</v>
      </c>
      <c r="X48" s="7">
        <v>0</v>
      </c>
      <c r="Y48">
        <v>0</v>
      </c>
      <c r="Z48" s="7">
        <v>0</v>
      </c>
      <c r="AA48">
        <v>0</v>
      </c>
      <c r="AB48" s="7">
        <v>0</v>
      </c>
      <c r="AC48">
        <v>0</v>
      </c>
      <c r="AD48" s="7">
        <v>0</v>
      </c>
      <c r="AE48">
        <v>0</v>
      </c>
      <c r="AF48" s="7">
        <v>0</v>
      </c>
      <c r="AG48">
        <v>0</v>
      </c>
      <c r="AH48" s="7">
        <v>0</v>
      </c>
      <c r="AI48">
        <v>0</v>
      </c>
      <c r="AJ48" s="7">
        <v>0</v>
      </c>
      <c r="AK48">
        <v>0</v>
      </c>
      <c r="AL48" s="7">
        <v>0</v>
      </c>
      <c r="AM48" s="1">
        <v>1096</v>
      </c>
      <c r="AN48" s="7">
        <v>0</v>
      </c>
      <c r="AO48">
        <v>0</v>
      </c>
      <c r="AP48" s="7">
        <v>0</v>
      </c>
      <c r="AQ48">
        <v>307</v>
      </c>
      <c r="AR48" s="7">
        <v>0</v>
      </c>
      <c r="AS48">
        <v>297</v>
      </c>
      <c r="AT48" s="7">
        <v>0</v>
      </c>
      <c r="AU48">
        <v>0</v>
      </c>
      <c r="AV48" s="7">
        <v>0</v>
      </c>
      <c r="AW48">
        <v>0</v>
      </c>
      <c r="AX48" s="7">
        <v>0</v>
      </c>
      <c r="AY48">
        <v>0</v>
      </c>
      <c r="AZ48" s="7">
        <v>0</v>
      </c>
      <c r="BA48">
        <v>0</v>
      </c>
      <c r="BB48" s="7">
        <v>0</v>
      </c>
      <c r="BC48">
        <v>263</v>
      </c>
      <c r="BD48" s="7">
        <v>0</v>
      </c>
      <c r="BE48">
        <v>0</v>
      </c>
      <c r="BF48" s="7">
        <v>0</v>
      </c>
      <c r="BG48">
        <v>0</v>
      </c>
      <c r="BH48" s="7">
        <v>0</v>
      </c>
      <c r="BI48">
        <v>0</v>
      </c>
      <c r="BJ48" s="7">
        <v>0</v>
      </c>
      <c r="BK48">
        <v>0</v>
      </c>
      <c r="BL48" s="7">
        <v>0</v>
      </c>
      <c r="BM48">
        <v>425</v>
      </c>
      <c r="BN48" s="7">
        <v>0</v>
      </c>
      <c r="BO48">
        <v>0</v>
      </c>
      <c r="BP48" s="7">
        <v>0</v>
      </c>
      <c r="BQ48">
        <v>0</v>
      </c>
      <c r="BR48" s="7">
        <v>0</v>
      </c>
      <c r="BS48">
        <v>0</v>
      </c>
      <c r="BT48" s="7">
        <v>0</v>
      </c>
      <c r="BU48">
        <v>0</v>
      </c>
      <c r="BV48" s="7">
        <v>0</v>
      </c>
      <c r="BW48">
        <v>0</v>
      </c>
      <c r="BX48" s="7">
        <v>0</v>
      </c>
      <c r="BY48">
        <v>0</v>
      </c>
      <c r="BZ48" s="7">
        <v>0</v>
      </c>
      <c r="CA48">
        <v>0</v>
      </c>
      <c r="CB48" s="7">
        <v>0</v>
      </c>
      <c r="CC48">
        <v>0</v>
      </c>
      <c r="CD48" s="7">
        <v>0</v>
      </c>
      <c r="CE48">
        <v>0</v>
      </c>
      <c r="CF48" s="7">
        <v>0</v>
      </c>
      <c r="CG48">
        <v>0</v>
      </c>
      <c r="CH48" s="7">
        <v>0</v>
      </c>
      <c r="CI48">
        <v>0</v>
      </c>
      <c r="CJ48" s="7">
        <v>0</v>
      </c>
      <c r="CK48">
        <v>0</v>
      </c>
      <c r="CL48" s="7">
        <v>0</v>
      </c>
      <c r="CM48">
        <v>0</v>
      </c>
      <c r="CN48" s="7">
        <v>0</v>
      </c>
      <c r="CO48">
        <v>0</v>
      </c>
      <c r="CP48" s="7">
        <v>0</v>
      </c>
      <c r="CQ48">
        <v>0</v>
      </c>
      <c r="CR48" s="7">
        <v>0</v>
      </c>
      <c r="CS48">
        <v>0</v>
      </c>
      <c r="CT48" s="7">
        <v>0</v>
      </c>
      <c r="CU48">
        <v>0</v>
      </c>
      <c r="CV48" s="7">
        <v>0</v>
      </c>
      <c r="CW48">
        <v>0</v>
      </c>
      <c r="CX48" s="7">
        <v>0</v>
      </c>
      <c r="CY48">
        <v>0</v>
      </c>
      <c r="CZ48" s="7">
        <v>0</v>
      </c>
      <c r="DA48">
        <v>0</v>
      </c>
      <c r="DB48" s="7">
        <v>0</v>
      </c>
      <c r="DC48">
        <v>0</v>
      </c>
      <c r="DD48" s="7">
        <v>0</v>
      </c>
      <c r="DE48">
        <v>0</v>
      </c>
      <c r="DF48" s="7">
        <v>0</v>
      </c>
      <c r="DG48">
        <v>0</v>
      </c>
      <c r="DH48" s="7">
        <v>0</v>
      </c>
      <c r="DI48">
        <v>0</v>
      </c>
      <c r="DJ48" s="7">
        <v>0</v>
      </c>
      <c r="DK48">
        <v>0</v>
      </c>
      <c r="DL48" s="7">
        <v>0</v>
      </c>
      <c r="DM48">
        <v>0</v>
      </c>
      <c r="DN48" s="7">
        <v>0</v>
      </c>
      <c r="DO48">
        <v>0</v>
      </c>
      <c r="DP48" s="7">
        <v>0</v>
      </c>
      <c r="DQ48">
        <v>0</v>
      </c>
      <c r="DR48" s="7">
        <v>0</v>
      </c>
      <c r="DS48">
        <v>0</v>
      </c>
      <c r="DT48" s="7">
        <v>0</v>
      </c>
      <c r="DU48">
        <v>0</v>
      </c>
      <c r="DV48" s="7">
        <v>0</v>
      </c>
      <c r="DW48">
        <v>0</v>
      </c>
      <c r="DX48" s="7">
        <v>0</v>
      </c>
      <c r="DY48">
        <v>0</v>
      </c>
      <c r="DZ48" s="7">
        <v>0</v>
      </c>
      <c r="EA48">
        <v>0</v>
      </c>
      <c r="EB48" s="7">
        <v>0</v>
      </c>
      <c r="EC48">
        <v>0</v>
      </c>
      <c r="ED48" s="7">
        <v>0</v>
      </c>
    </row>
    <row r="49" spans="1:134" x14ac:dyDescent="0.25">
      <c r="A49" s="1">
        <v>240202</v>
      </c>
      <c r="B49" s="7">
        <v>4</v>
      </c>
      <c r="C49" s="1">
        <v>207310</v>
      </c>
      <c r="D49" s="7">
        <v>3</v>
      </c>
      <c r="E49" s="1">
        <v>167395</v>
      </c>
      <c r="F49" s="7">
        <v>3</v>
      </c>
      <c r="G49" s="1">
        <v>108533</v>
      </c>
      <c r="H49" s="7">
        <v>1</v>
      </c>
      <c r="I49">
        <v>0</v>
      </c>
      <c r="J49" s="7">
        <v>0</v>
      </c>
      <c r="K49" s="1">
        <v>69143</v>
      </c>
      <c r="L49" s="7">
        <v>1</v>
      </c>
      <c r="M49">
        <v>0</v>
      </c>
      <c r="N49" s="7">
        <v>0</v>
      </c>
      <c r="O49">
        <v>0</v>
      </c>
      <c r="P49" s="7">
        <v>0</v>
      </c>
      <c r="Q49">
        <v>0</v>
      </c>
      <c r="R49" s="7">
        <v>0</v>
      </c>
      <c r="S49">
        <v>0</v>
      </c>
      <c r="T49" s="7">
        <v>0</v>
      </c>
      <c r="U49">
        <v>0</v>
      </c>
      <c r="V49" s="7">
        <v>0</v>
      </c>
      <c r="W49">
        <v>0</v>
      </c>
      <c r="X49" s="7">
        <v>0</v>
      </c>
      <c r="Y49">
        <v>0</v>
      </c>
      <c r="Z49" s="7">
        <v>0</v>
      </c>
      <c r="AA49">
        <v>0</v>
      </c>
      <c r="AB49" s="7">
        <v>0</v>
      </c>
      <c r="AC49">
        <v>0</v>
      </c>
      <c r="AD49" s="7">
        <v>0</v>
      </c>
      <c r="AE49" s="1">
        <v>35612</v>
      </c>
      <c r="AF49" s="7">
        <v>0</v>
      </c>
      <c r="AG49">
        <v>0</v>
      </c>
      <c r="AH49" s="7">
        <v>0</v>
      </c>
      <c r="AI49">
        <v>0</v>
      </c>
      <c r="AJ49" s="7">
        <v>0</v>
      </c>
      <c r="AK49">
        <v>0</v>
      </c>
      <c r="AL49" s="7">
        <v>0</v>
      </c>
      <c r="AM49" s="1">
        <v>9417</v>
      </c>
      <c r="AN49" s="7">
        <v>0</v>
      </c>
      <c r="AO49">
        <v>0</v>
      </c>
      <c r="AP49" s="7">
        <v>0</v>
      </c>
      <c r="AQ49">
        <v>891</v>
      </c>
      <c r="AR49" s="7">
        <v>0</v>
      </c>
      <c r="AS49">
        <v>948</v>
      </c>
      <c r="AT49" s="7">
        <v>0</v>
      </c>
      <c r="AU49">
        <v>0</v>
      </c>
      <c r="AV49" s="7">
        <v>0</v>
      </c>
      <c r="AW49">
        <v>0</v>
      </c>
      <c r="AX49" s="7">
        <v>0</v>
      </c>
      <c r="AY49">
        <v>0</v>
      </c>
      <c r="AZ49" s="7">
        <v>0</v>
      </c>
      <c r="BA49">
        <v>911</v>
      </c>
      <c r="BB49" s="7">
        <v>0</v>
      </c>
      <c r="BC49">
        <v>0</v>
      </c>
      <c r="BD49" s="7">
        <v>0</v>
      </c>
      <c r="BE49">
        <v>0</v>
      </c>
      <c r="BF49" s="7">
        <v>0</v>
      </c>
      <c r="BG49">
        <v>0</v>
      </c>
      <c r="BH49" s="7">
        <v>0</v>
      </c>
      <c r="BI49">
        <v>0</v>
      </c>
      <c r="BJ49" s="7">
        <v>0</v>
      </c>
      <c r="BK49">
        <v>0</v>
      </c>
      <c r="BL49" s="7">
        <v>0</v>
      </c>
      <c r="BM49">
        <v>0</v>
      </c>
      <c r="BN49" s="7">
        <v>0</v>
      </c>
      <c r="BO49" s="1">
        <v>1683</v>
      </c>
      <c r="BP49" s="7">
        <v>0</v>
      </c>
      <c r="BQ49">
        <v>0</v>
      </c>
      <c r="BR49" s="7">
        <v>0</v>
      </c>
      <c r="BS49" s="1">
        <v>2337</v>
      </c>
      <c r="BT49" s="7">
        <v>0</v>
      </c>
      <c r="BU49">
        <v>0</v>
      </c>
      <c r="BV49" s="7">
        <v>0</v>
      </c>
      <c r="BW49">
        <v>0</v>
      </c>
      <c r="BX49" s="7">
        <v>0</v>
      </c>
      <c r="BY49">
        <v>0</v>
      </c>
      <c r="BZ49" s="7">
        <v>0</v>
      </c>
      <c r="CA49">
        <v>0</v>
      </c>
      <c r="CB49" s="7">
        <v>0</v>
      </c>
      <c r="CC49">
        <v>0</v>
      </c>
      <c r="CD49" s="7">
        <v>0</v>
      </c>
      <c r="CE49">
        <v>0</v>
      </c>
      <c r="CF49" s="7">
        <v>0</v>
      </c>
      <c r="CG49">
        <v>0</v>
      </c>
      <c r="CH49" s="7">
        <v>0</v>
      </c>
      <c r="CI49">
        <v>0</v>
      </c>
      <c r="CJ49" s="7">
        <v>0</v>
      </c>
      <c r="CK49">
        <v>0</v>
      </c>
      <c r="CL49" s="7">
        <v>0</v>
      </c>
      <c r="CM49">
        <v>0</v>
      </c>
      <c r="CN49" s="7">
        <v>0</v>
      </c>
      <c r="CO49">
        <v>0</v>
      </c>
      <c r="CP49" s="7">
        <v>0</v>
      </c>
      <c r="CQ49">
        <v>0</v>
      </c>
      <c r="CR49" s="7">
        <v>0</v>
      </c>
      <c r="CS49">
        <v>556</v>
      </c>
      <c r="CT49" s="7">
        <v>0</v>
      </c>
      <c r="CU49">
        <v>0</v>
      </c>
      <c r="CV49" s="7">
        <v>0</v>
      </c>
      <c r="CW49">
        <v>0</v>
      </c>
      <c r="CX49" s="7">
        <v>0</v>
      </c>
      <c r="CY49">
        <v>0</v>
      </c>
      <c r="CZ49" s="7">
        <v>0</v>
      </c>
      <c r="DA49">
        <v>0</v>
      </c>
      <c r="DB49" s="7">
        <v>0</v>
      </c>
      <c r="DC49">
        <v>0</v>
      </c>
      <c r="DD49" s="7">
        <v>0</v>
      </c>
      <c r="DE49">
        <v>0</v>
      </c>
      <c r="DF49" s="7">
        <v>0</v>
      </c>
      <c r="DG49">
        <v>0</v>
      </c>
      <c r="DH49" s="7">
        <v>0</v>
      </c>
      <c r="DI49">
        <v>0</v>
      </c>
      <c r="DJ49" s="7">
        <v>0</v>
      </c>
      <c r="DK49">
        <v>0</v>
      </c>
      <c r="DL49" s="7">
        <v>0</v>
      </c>
      <c r="DM49">
        <v>0</v>
      </c>
      <c r="DN49" s="7">
        <v>0</v>
      </c>
      <c r="DO49">
        <v>0</v>
      </c>
      <c r="DP49" s="7">
        <v>0</v>
      </c>
      <c r="DQ49">
        <v>0</v>
      </c>
      <c r="DR49" s="7">
        <v>0</v>
      </c>
      <c r="DS49">
        <v>0</v>
      </c>
      <c r="DT49" s="7">
        <v>0</v>
      </c>
      <c r="DU49">
        <v>0</v>
      </c>
      <c r="DV49" s="7">
        <v>0</v>
      </c>
      <c r="DW49">
        <v>0</v>
      </c>
      <c r="DX49" s="7">
        <v>0</v>
      </c>
      <c r="DY49">
        <v>0</v>
      </c>
      <c r="DZ49" s="7">
        <v>0</v>
      </c>
      <c r="EA49">
        <v>0</v>
      </c>
      <c r="EB49" s="7">
        <v>0</v>
      </c>
      <c r="EC49">
        <v>0</v>
      </c>
      <c r="ED49" s="7">
        <v>0</v>
      </c>
    </row>
    <row r="50" spans="1:134" x14ac:dyDescent="0.25">
      <c r="A50" s="1">
        <v>84078</v>
      </c>
      <c r="B50" s="7">
        <v>2</v>
      </c>
      <c r="C50" s="1">
        <v>70176</v>
      </c>
      <c r="D50" s="7">
        <v>1</v>
      </c>
      <c r="E50" s="1">
        <v>54849</v>
      </c>
      <c r="F50" s="7">
        <v>1</v>
      </c>
      <c r="G50" s="1">
        <v>39251</v>
      </c>
      <c r="H50" s="7">
        <v>1</v>
      </c>
      <c r="I50">
        <v>0</v>
      </c>
      <c r="J50" s="7">
        <v>0</v>
      </c>
      <c r="K50" s="1">
        <v>20302</v>
      </c>
      <c r="L50" s="7">
        <v>0</v>
      </c>
      <c r="M50">
        <v>0</v>
      </c>
      <c r="N50" s="7">
        <v>0</v>
      </c>
      <c r="O50">
        <v>0</v>
      </c>
      <c r="P50" s="7">
        <v>0</v>
      </c>
      <c r="Q50">
        <v>0</v>
      </c>
      <c r="R50" s="7">
        <v>0</v>
      </c>
      <c r="S50">
        <v>0</v>
      </c>
      <c r="T50" s="7">
        <v>0</v>
      </c>
      <c r="U50">
        <v>0</v>
      </c>
      <c r="V50" s="7">
        <v>0</v>
      </c>
      <c r="W50">
        <v>0</v>
      </c>
      <c r="X50" s="7">
        <v>0</v>
      </c>
      <c r="Y50">
        <v>0</v>
      </c>
      <c r="Z50" s="7">
        <v>0</v>
      </c>
      <c r="AA50">
        <v>0</v>
      </c>
      <c r="AB50" s="7">
        <v>0</v>
      </c>
      <c r="AC50">
        <v>0</v>
      </c>
      <c r="AD50" s="7">
        <v>0</v>
      </c>
      <c r="AE50" s="1">
        <v>18140</v>
      </c>
      <c r="AF50" s="7">
        <v>0</v>
      </c>
      <c r="AG50">
        <v>0</v>
      </c>
      <c r="AH50" s="7">
        <v>0</v>
      </c>
      <c r="AI50">
        <v>0</v>
      </c>
      <c r="AJ50" s="7">
        <v>0</v>
      </c>
      <c r="AK50">
        <v>0</v>
      </c>
      <c r="AL50" s="7">
        <v>0</v>
      </c>
      <c r="AM50" s="1">
        <v>2483</v>
      </c>
      <c r="AN50" s="7">
        <v>0</v>
      </c>
      <c r="AO50">
        <v>0</v>
      </c>
      <c r="AP50" s="7">
        <v>0</v>
      </c>
      <c r="AQ50">
        <v>257</v>
      </c>
      <c r="AR50" s="7">
        <v>0</v>
      </c>
      <c r="AS50">
        <v>370</v>
      </c>
      <c r="AT50" s="7">
        <v>0</v>
      </c>
      <c r="AU50">
        <v>0</v>
      </c>
      <c r="AV50" s="7">
        <v>0</v>
      </c>
      <c r="AW50">
        <v>0</v>
      </c>
      <c r="AX50" s="7">
        <v>0</v>
      </c>
      <c r="AY50">
        <v>0</v>
      </c>
      <c r="AZ50" s="7">
        <v>0</v>
      </c>
      <c r="BA50">
        <v>194</v>
      </c>
      <c r="BB50" s="7">
        <v>0</v>
      </c>
      <c r="BC50">
        <v>0</v>
      </c>
      <c r="BD50" s="7">
        <v>0</v>
      </c>
      <c r="BE50">
        <v>0</v>
      </c>
      <c r="BF50" s="7">
        <v>0</v>
      </c>
      <c r="BG50">
        <v>0</v>
      </c>
      <c r="BH50" s="7">
        <v>0</v>
      </c>
      <c r="BI50">
        <v>379</v>
      </c>
      <c r="BJ50" s="7">
        <v>0</v>
      </c>
      <c r="BK50">
        <v>0</v>
      </c>
      <c r="BL50" s="7">
        <v>0</v>
      </c>
      <c r="BM50">
        <v>0</v>
      </c>
      <c r="BN50" s="7">
        <v>0</v>
      </c>
      <c r="BO50" s="1">
        <v>1106</v>
      </c>
      <c r="BP50" s="7">
        <v>0</v>
      </c>
      <c r="BQ50">
        <v>0</v>
      </c>
      <c r="BR50" s="7">
        <v>0</v>
      </c>
      <c r="BS50">
        <v>405</v>
      </c>
      <c r="BT50" s="7">
        <v>0</v>
      </c>
      <c r="BU50">
        <v>0</v>
      </c>
      <c r="BV50" s="7">
        <v>0</v>
      </c>
      <c r="BW50">
        <v>0</v>
      </c>
      <c r="BX50" s="7">
        <v>0</v>
      </c>
      <c r="BY50">
        <v>0</v>
      </c>
      <c r="BZ50" s="7">
        <v>0</v>
      </c>
      <c r="CA50">
        <v>0</v>
      </c>
      <c r="CB50" s="7">
        <v>0</v>
      </c>
      <c r="CC50">
        <v>0</v>
      </c>
      <c r="CD50" s="7">
        <v>0</v>
      </c>
      <c r="CE50">
        <v>0</v>
      </c>
      <c r="CF50" s="7">
        <v>0</v>
      </c>
      <c r="CG50">
        <v>0</v>
      </c>
      <c r="CH50" s="7">
        <v>0</v>
      </c>
      <c r="CI50">
        <v>0</v>
      </c>
      <c r="CJ50" s="7">
        <v>0</v>
      </c>
      <c r="CK50">
        <v>0</v>
      </c>
      <c r="CL50" s="7">
        <v>0</v>
      </c>
      <c r="CM50">
        <v>0</v>
      </c>
      <c r="CN50" s="7">
        <v>0</v>
      </c>
      <c r="CO50">
        <v>0</v>
      </c>
      <c r="CP50" s="7">
        <v>0</v>
      </c>
      <c r="CQ50">
        <v>0</v>
      </c>
      <c r="CR50" s="7">
        <v>0</v>
      </c>
      <c r="CS50">
        <v>0</v>
      </c>
      <c r="CT50" s="7">
        <v>0</v>
      </c>
      <c r="CU50">
        <v>0</v>
      </c>
      <c r="CV50" s="7">
        <v>0</v>
      </c>
      <c r="CW50">
        <v>0</v>
      </c>
      <c r="CX50" s="7">
        <v>0</v>
      </c>
      <c r="CY50">
        <v>0</v>
      </c>
      <c r="CZ50" s="7">
        <v>0</v>
      </c>
      <c r="DA50">
        <v>0</v>
      </c>
      <c r="DB50" s="7">
        <v>0</v>
      </c>
      <c r="DC50">
        <v>0</v>
      </c>
      <c r="DD50" s="7">
        <v>0</v>
      </c>
      <c r="DE50">
        <v>0</v>
      </c>
      <c r="DF50" s="7">
        <v>0</v>
      </c>
      <c r="DG50">
        <v>137</v>
      </c>
      <c r="DH50" s="7">
        <v>0</v>
      </c>
      <c r="DI50">
        <v>104</v>
      </c>
      <c r="DJ50" s="7">
        <v>0</v>
      </c>
      <c r="DK50">
        <v>0</v>
      </c>
      <c r="DL50" s="7">
        <v>0</v>
      </c>
      <c r="DM50">
        <v>0</v>
      </c>
      <c r="DN50" s="7">
        <v>0</v>
      </c>
      <c r="DO50">
        <v>0</v>
      </c>
      <c r="DP50" s="7">
        <v>0</v>
      </c>
      <c r="DQ50">
        <v>0</v>
      </c>
      <c r="DR50" s="7">
        <v>0</v>
      </c>
      <c r="DS50">
        <v>0</v>
      </c>
      <c r="DT50" s="7">
        <v>0</v>
      </c>
      <c r="DU50">
        <v>0</v>
      </c>
      <c r="DV50" s="7">
        <v>0</v>
      </c>
      <c r="DW50">
        <v>0</v>
      </c>
      <c r="DX50" s="7">
        <v>0</v>
      </c>
      <c r="DY50">
        <v>0</v>
      </c>
      <c r="DZ50" s="7">
        <v>0</v>
      </c>
      <c r="EA50">
        <v>0</v>
      </c>
      <c r="EB50" s="7">
        <v>0</v>
      </c>
      <c r="EC50">
        <v>0</v>
      </c>
      <c r="ED50" s="7">
        <v>0</v>
      </c>
    </row>
    <row r="51" spans="1:134" x14ac:dyDescent="0.25">
      <c r="A51" s="1">
        <v>375879</v>
      </c>
      <c r="B51" s="7">
        <v>4</v>
      </c>
      <c r="C51" s="1">
        <v>306929</v>
      </c>
      <c r="D51" s="7">
        <v>4</v>
      </c>
      <c r="E51" s="1">
        <v>245890</v>
      </c>
      <c r="F51" s="7">
        <v>3</v>
      </c>
      <c r="G51" s="1">
        <v>191812</v>
      </c>
      <c r="H51" s="7">
        <v>2</v>
      </c>
      <c r="I51">
        <v>0</v>
      </c>
      <c r="J51" s="7">
        <v>0</v>
      </c>
      <c r="K51" s="1">
        <v>106820</v>
      </c>
      <c r="L51" s="7">
        <v>1</v>
      </c>
      <c r="M51">
        <v>0</v>
      </c>
      <c r="N51" s="7">
        <v>0</v>
      </c>
      <c r="O51">
        <v>0</v>
      </c>
      <c r="P51" s="7">
        <v>0</v>
      </c>
      <c r="Q51">
        <v>0</v>
      </c>
      <c r="R51" s="7">
        <v>0</v>
      </c>
      <c r="S51">
        <v>0</v>
      </c>
      <c r="T51" s="7">
        <v>0</v>
      </c>
      <c r="U51">
        <v>0</v>
      </c>
      <c r="V51" s="7">
        <v>0</v>
      </c>
      <c r="W51">
        <v>0</v>
      </c>
      <c r="X51" s="7">
        <v>0</v>
      </c>
      <c r="Y51">
        <v>0</v>
      </c>
      <c r="Z51" s="7">
        <v>0</v>
      </c>
      <c r="AA51">
        <v>0</v>
      </c>
      <c r="AB51" s="7">
        <v>0</v>
      </c>
      <c r="AC51">
        <v>0</v>
      </c>
      <c r="AD51" s="7">
        <v>0</v>
      </c>
      <c r="AE51" s="1">
        <v>122535</v>
      </c>
      <c r="AF51" s="7">
        <v>1</v>
      </c>
      <c r="AG51">
        <v>0</v>
      </c>
      <c r="AH51" s="7">
        <v>0</v>
      </c>
      <c r="AI51">
        <v>0</v>
      </c>
      <c r="AJ51" s="7">
        <v>0</v>
      </c>
      <c r="AK51">
        <v>0</v>
      </c>
      <c r="AL51" s="7">
        <v>0</v>
      </c>
      <c r="AM51" s="1">
        <v>15395</v>
      </c>
      <c r="AN51" s="7">
        <v>0</v>
      </c>
      <c r="AO51">
        <v>0</v>
      </c>
      <c r="AP51" s="7">
        <v>0</v>
      </c>
      <c r="AQ51" s="1">
        <v>1540</v>
      </c>
      <c r="AR51" s="7">
        <v>0</v>
      </c>
      <c r="AS51" s="1">
        <v>1009</v>
      </c>
      <c r="AT51" s="7">
        <v>0</v>
      </c>
      <c r="AU51">
        <v>0</v>
      </c>
      <c r="AV51" s="7">
        <v>0</v>
      </c>
      <c r="AW51">
        <v>0</v>
      </c>
      <c r="AX51" s="7">
        <v>0</v>
      </c>
      <c r="AY51">
        <v>0</v>
      </c>
      <c r="AZ51" s="7">
        <v>0</v>
      </c>
      <c r="BA51" s="1">
        <v>1142</v>
      </c>
      <c r="BB51" s="7">
        <v>0</v>
      </c>
      <c r="BC51">
        <v>0</v>
      </c>
      <c r="BD51" s="7">
        <v>0</v>
      </c>
      <c r="BE51">
        <v>0</v>
      </c>
      <c r="BF51" s="7">
        <v>0</v>
      </c>
      <c r="BG51">
        <v>0</v>
      </c>
      <c r="BH51" s="7">
        <v>0</v>
      </c>
      <c r="BI51">
        <v>0</v>
      </c>
      <c r="BJ51" s="7">
        <v>0</v>
      </c>
      <c r="BK51">
        <v>0</v>
      </c>
      <c r="BL51" s="7">
        <v>0</v>
      </c>
      <c r="BM51">
        <v>0</v>
      </c>
      <c r="BN51" s="7">
        <v>0</v>
      </c>
      <c r="BO51" s="1">
        <v>3086</v>
      </c>
      <c r="BP51" s="7">
        <v>0</v>
      </c>
      <c r="BQ51">
        <v>0</v>
      </c>
      <c r="BR51" s="7">
        <v>0</v>
      </c>
      <c r="BS51" s="1">
        <v>2674</v>
      </c>
      <c r="BT51" s="7">
        <v>0</v>
      </c>
      <c r="BU51">
        <v>0</v>
      </c>
      <c r="BV51" s="7">
        <v>0</v>
      </c>
      <c r="BW51">
        <v>0</v>
      </c>
      <c r="BX51" s="7">
        <v>0</v>
      </c>
      <c r="BY51">
        <v>0</v>
      </c>
      <c r="BZ51" s="7">
        <v>0</v>
      </c>
      <c r="CA51" s="1">
        <v>2339</v>
      </c>
      <c r="CB51" s="7">
        <v>0</v>
      </c>
      <c r="CC51">
        <v>0</v>
      </c>
      <c r="CD51" s="7">
        <v>0</v>
      </c>
      <c r="CE51">
        <v>0</v>
      </c>
      <c r="CF51" s="7">
        <v>0</v>
      </c>
      <c r="CG51">
        <v>0</v>
      </c>
      <c r="CH51" s="7">
        <v>0</v>
      </c>
      <c r="CI51">
        <v>875</v>
      </c>
      <c r="CJ51" s="7">
        <v>0</v>
      </c>
      <c r="CK51">
        <v>0</v>
      </c>
      <c r="CL51" s="7">
        <v>0</v>
      </c>
      <c r="CM51">
        <v>0</v>
      </c>
      <c r="CN51" s="7">
        <v>0</v>
      </c>
      <c r="CO51">
        <v>0</v>
      </c>
      <c r="CP51" s="7">
        <v>0</v>
      </c>
      <c r="CQ51">
        <v>0</v>
      </c>
      <c r="CR51" s="7">
        <v>0</v>
      </c>
      <c r="CS51">
        <v>0</v>
      </c>
      <c r="CT51" s="7">
        <v>0</v>
      </c>
      <c r="CU51">
        <v>0</v>
      </c>
      <c r="CV51" s="7">
        <v>0</v>
      </c>
      <c r="CW51" s="1">
        <v>1067</v>
      </c>
      <c r="CX51" s="7">
        <v>0</v>
      </c>
      <c r="CY51">
        <v>0</v>
      </c>
      <c r="CZ51" s="7">
        <v>0</v>
      </c>
      <c r="DA51">
        <v>0</v>
      </c>
      <c r="DB51" s="7">
        <v>0</v>
      </c>
      <c r="DC51">
        <v>0</v>
      </c>
      <c r="DD51" s="7">
        <v>0</v>
      </c>
      <c r="DE51">
        <v>0</v>
      </c>
      <c r="DF51" s="7">
        <v>0</v>
      </c>
      <c r="DG51">
        <v>0</v>
      </c>
      <c r="DH51" s="7">
        <v>0</v>
      </c>
      <c r="DI51">
        <v>468</v>
      </c>
      <c r="DJ51" s="7">
        <v>0</v>
      </c>
      <c r="DK51">
        <v>0</v>
      </c>
      <c r="DL51" s="7">
        <v>0</v>
      </c>
      <c r="DM51">
        <v>0</v>
      </c>
      <c r="DN51" s="7">
        <v>0</v>
      </c>
      <c r="DO51">
        <v>0</v>
      </c>
      <c r="DP51" s="7">
        <v>0</v>
      </c>
      <c r="DQ51">
        <v>0</v>
      </c>
      <c r="DR51" s="7">
        <v>0</v>
      </c>
      <c r="DS51">
        <v>0</v>
      </c>
      <c r="DT51" s="7">
        <v>0</v>
      </c>
      <c r="DU51">
        <v>0</v>
      </c>
      <c r="DV51" s="7">
        <v>0</v>
      </c>
      <c r="DW51">
        <v>0</v>
      </c>
      <c r="DX51" s="7">
        <v>0</v>
      </c>
      <c r="DY51">
        <v>0</v>
      </c>
      <c r="DZ51" s="7">
        <v>0</v>
      </c>
      <c r="EA51">
        <v>0</v>
      </c>
      <c r="EB51" s="7">
        <v>0</v>
      </c>
      <c r="EC51">
        <v>0</v>
      </c>
      <c r="ED51" s="7">
        <v>0</v>
      </c>
    </row>
    <row r="52" spans="1:134" x14ac:dyDescent="0.25">
      <c r="A52" s="1">
        <v>10455</v>
      </c>
      <c r="B52" s="7">
        <v>0</v>
      </c>
      <c r="C52" s="1">
        <v>7439</v>
      </c>
      <c r="D52" s="7">
        <v>0</v>
      </c>
      <c r="E52" s="1">
        <v>11752</v>
      </c>
      <c r="F52" s="7">
        <v>1</v>
      </c>
      <c r="G52" s="1">
        <v>1300</v>
      </c>
      <c r="H52" s="7">
        <v>0</v>
      </c>
      <c r="I52">
        <v>0</v>
      </c>
      <c r="J52" s="7">
        <v>0</v>
      </c>
      <c r="K52" s="1">
        <v>1138</v>
      </c>
      <c r="L52" s="7">
        <v>0</v>
      </c>
      <c r="M52">
        <v>0</v>
      </c>
      <c r="N52" s="7">
        <v>0</v>
      </c>
      <c r="O52">
        <v>0</v>
      </c>
      <c r="P52" s="7">
        <v>0</v>
      </c>
      <c r="Q52">
        <v>0</v>
      </c>
      <c r="R52" s="7">
        <v>0</v>
      </c>
      <c r="S52">
        <v>0</v>
      </c>
      <c r="T52" s="7">
        <v>0</v>
      </c>
      <c r="U52">
        <v>0</v>
      </c>
      <c r="V52" s="7">
        <v>0</v>
      </c>
      <c r="W52">
        <v>0</v>
      </c>
      <c r="X52" s="7">
        <v>0</v>
      </c>
      <c r="Y52">
        <v>0</v>
      </c>
      <c r="Z52" s="7">
        <v>0</v>
      </c>
      <c r="AA52">
        <v>0</v>
      </c>
      <c r="AB52" s="7">
        <v>0</v>
      </c>
      <c r="AC52">
        <v>0</v>
      </c>
      <c r="AD52" s="7">
        <v>0</v>
      </c>
      <c r="AE52">
        <v>0</v>
      </c>
      <c r="AF52" s="7">
        <v>0</v>
      </c>
      <c r="AG52">
        <v>0</v>
      </c>
      <c r="AH52" s="7">
        <v>0</v>
      </c>
      <c r="AI52">
        <v>0</v>
      </c>
      <c r="AJ52" s="7">
        <v>0</v>
      </c>
      <c r="AK52">
        <v>0</v>
      </c>
      <c r="AL52" s="7">
        <v>0</v>
      </c>
      <c r="AM52">
        <v>0</v>
      </c>
      <c r="AN52" s="7">
        <v>0</v>
      </c>
      <c r="AO52">
        <v>0</v>
      </c>
      <c r="AP52" s="7">
        <v>0</v>
      </c>
      <c r="AQ52">
        <v>125</v>
      </c>
      <c r="AR52" s="7">
        <v>0</v>
      </c>
      <c r="AS52">
        <v>43</v>
      </c>
      <c r="AT52" s="7">
        <v>0</v>
      </c>
      <c r="AU52">
        <v>0</v>
      </c>
      <c r="AV52" s="7">
        <v>0</v>
      </c>
      <c r="AW52">
        <v>0</v>
      </c>
      <c r="AX52" s="7">
        <v>0</v>
      </c>
      <c r="AY52">
        <v>0</v>
      </c>
      <c r="AZ52" s="7">
        <v>0</v>
      </c>
      <c r="BA52">
        <v>0</v>
      </c>
      <c r="BB52" s="7">
        <v>0</v>
      </c>
      <c r="BC52">
        <v>0</v>
      </c>
      <c r="BD52" s="7">
        <v>0</v>
      </c>
      <c r="BE52">
        <v>0</v>
      </c>
      <c r="BF52" s="7">
        <v>0</v>
      </c>
      <c r="BG52">
        <v>0</v>
      </c>
      <c r="BH52" s="7">
        <v>0</v>
      </c>
      <c r="BI52">
        <v>0</v>
      </c>
      <c r="BJ52" s="7">
        <v>0</v>
      </c>
      <c r="BK52">
        <v>0</v>
      </c>
      <c r="BL52" s="7">
        <v>0</v>
      </c>
      <c r="BM52">
        <v>0</v>
      </c>
      <c r="BN52" s="7">
        <v>0</v>
      </c>
      <c r="BO52">
        <v>0</v>
      </c>
      <c r="BP52" s="7">
        <v>0</v>
      </c>
      <c r="BQ52">
        <v>0</v>
      </c>
      <c r="BR52" s="7">
        <v>0</v>
      </c>
      <c r="BS52">
        <v>0</v>
      </c>
      <c r="BT52" s="7">
        <v>0</v>
      </c>
      <c r="BU52">
        <v>0</v>
      </c>
      <c r="BV52" s="7">
        <v>0</v>
      </c>
      <c r="BW52">
        <v>0</v>
      </c>
      <c r="BX52" s="7">
        <v>0</v>
      </c>
      <c r="BY52">
        <v>0</v>
      </c>
      <c r="BZ52" s="7">
        <v>0</v>
      </c>
      <c r="CA52">
        <v>0</v>
      </c>
      <c r="CB52" s="7">
        <v>0</v>
      </c>
      <c r="CC52">
        <v>0</v>
      </c>
      <c r="CD52" s="7">
        <v>0</v>
      </c>
      <c r="CE52">
        <v>0</v>
      </c>
      <c r="CF52" s="7">
        <v>0</v>
      </c>
      <c r="CG52">
        <v>0</v>
      </c>
      <c r="CH52" s="7">
        <v>0</v>
      </c>
      <c r="CI52">
        <v>0</v>
      </c>
      <c r="CJ52" s="7">
        <v>0</v>
      </c>
      <c r="CK52">
        <v>0</v>
      </c>
      <c r="CL52" s="7">
        <v>0</v>
      </c>
      <c r="CM52">
        <v>0</v>
      </c>
      <c r="CN52" s="7">
        <v>0</v>
      </c>
      <c r="CO52">
        <v>0</v>
      </c>
      <c r="CP52" s="7">
        <v>0</v>
      </c>
      <c r="CQ52">
        <v>0</v>
      </c>
      <c r="CR52" s="7">
        <v>0</v>
      </c>
      <c r="CS52">
        <v>0</v>
      </c>
      <c r="CT52" s="7">
        <v>0</v>
      </c>
      <c r="CU52">
        <v>0</v>
      </c>
      <c r="CV52" s="7">
        <v>0</v>
      </c>
      <c r="CW52">
        <v>0</v>
      </c>
      <c r="CX52" s="7">
        <v>0</v>
      </c>
      <c r="CY52">
        <v>0</v>
      </c>
      <c r="CZ52" s="7">
        <v>0</v>
      </c>
      <c r="DA52">
        <v>0</v>
      </c>
      <c r="DB52" s="7">
        <v>0</v>
      </c>
      <c r="DC52">
        <v>819</v>
      </c>
      <c r="DD52" s="7">
        <v>0</v>
      </c>
      <c r="DE52">
        <v>0</v>
      </c>
      <c r="DF52" s="7">
        <v>0</v>
      </c>
      <c r="DG52">
        <v>0</v>
      </c>
      <c r="DH52" s="7">
        <v>0</v>
      </c>
      <c r="DI52">
        <v>0</v>
      </c>
      <c r="DJ52" s="7">
        <v>0</v>
      </c>
      <c r="DK52">
        <v>0</v>
      </c>
      <c r="DL52" s="7">
        <v>0</v>
      </c>
      <c r="DM52">
        <v>0</v>
      </c>
      <c r="DN52" s="7">
        <v>0</v>
      </c>
      <c r="DO52">
        <v>0</v>
      </c>
      <c r="DP52" s="7">
        <v>0</v>
      </c>
      <c r="DQ52">
        <v>0</v>
      </c>
      <c r="DR52" s="7">
        <v>0</v>
      </c>
      <c r="DS52">
        <v>0</v>
      </c>
      <c r="DT52" s="7">
        <v>0</v>
      </c>
      <c r="DU52">
        <v>0</v>
      </c>
      <c r="DV52" s="7">
        <v>0</v>
      </c>
      <c r="DW52">
        <v>0</v>
      </c>
      <c r="DX52" s="7">
        <v>0</v>
      </c>
      <c r="DY52">
        <v>0</v>
      </c>
      <c r="DZ52" s="7">
        <v>0</v>
      </c>
      <c r="EA52">
        <v>0</v>
      </c>
      <c r="EB52" s="7">
        <v>0</v>
      </c>
      <c r="EC52">
        <v>0</v>
      </c>
      <c r="ED52" s="7">
        <v>0</v>
      </c>
    </row>
    <row r="53" spans="1:134" x14ac:dyDescent="0.25">
      <c r="A53" s="1">
        <v>5087</v>
      </c>
      <c r="B53" s="7">
        <v>0</v>
      </c>
      <c r="C53" s="1">
        <v>9136</v>
      </c>
      <c r="D53" s="7">
        <v>1</v>
      </c>
      <c r="E53" s="1">
        <v>5692</v>
      </c>
      <c r="F53" s="7">
        <v>0</v>
      </c>
      <c r="G53">
        <v>809</v>
      </c>
      <c r="H53" s="7">
        <v>0</v>
      </c>
      <c r="I53">
        <v>0</v>
      </c>
      <c r="J53" s="7">
        <v>0</v>
      </c>
      <c r="K53">
        <v>917</v>
      </c>
      <c r="L53" s="7">
        <v>0</v>
      </c>
      <c r="M53">
        <v>0</v>
      </c>
      <c r="N53" s="7">
        <v>0</v>
      </c>
      <c r="O53">
        <v>0</v>
      </c>
      <c r="P53" s="7">
        <v>0</v>
      </c>
      <c r="Q53">
        <v>0</v>
      </c>
      <c r="R53" s="7">
        <v>0</v>
      </c>
      <c r="S53">
        <v>0</v>
      </c>
      <c r="T53" s="7">
        <v>0</v>
      </c>
      <c r="U53">
        <v>0</v>
      </c>
      <c r="V53" s="7">
        <v>0</v>
      </c>
      <c r="W53">
        <v>0</v>
      </c>
      <c r="X53" s="7">
        <v>0</v>
      </c>
      <c r="Y53">
        <v>0</v>
      </c>
      <c r="Z53" s="7">
        <v>0</v>
      </c>
      <c r="AA53">
        <v>0</v>
      </c>
      <c r="AB53" s="7">
        <v>0</v>
      </c>
      <c r="AC53">
        <v>0</v>
      </c>
      <c r="AD53" s="7">
        <v>0</v>
      </c>
      <c r="AE53">
        <v>0</v>
      </c>
      <c r="AF53" s="7">
        <v>0</v>
      </c>
      <c r="AG53">
        <v>0</v>
      </c>
      <c r="AH53" s="7">
        <v>0</v>
      </c>
      <c r="AI53">
        <v>0</v>
      </c>
      <c r="AJ53" s="7">
        <v>0</v>
      </c>
      <c r="AK53">
        <v>0</v>
      </c>
      <c r="AL53" s="7">
        <v>0</v>
      </c>
      <c r="AM53">
        <v>0</v>
      </c>
      <c r="AN53" s="7">
        <v>0</v>
      </c>
      <c r="AO53">
        <v>0</v>
      </c>
      <c r="AP53" s="7">
        <v>0</v>
      </c>
      <c r="AQ53">
        <v>19</v>
      </c>
      <c r="AR53" s="7">
        <v>0</v>
      </c>
      <c r="AS53">
        <v>31</v>
      </c>
      <c r="AT53" s="7">
        <v>0</v>
      </c>
      <c r="AU53">
        <v>0</v>
      </c>
      <c r="AV53" s="7">
        <v>0</v>
      </c>
      <c r="AW53">
        <v>0</v>
      </c>
      <c r="AX53" s="7">
        <v>0</v>
      </c>
      <c r="AY53">
        <v>0</v>
      </c>
      <c r="AZ53" s="7">
        <v>0</v>
      </c>
      <c r="BA53">
        <v>0</v>
      </c>
      <c r="BB53" s="7">
        <v>0</v>
      </c>
      <c r="BC53">
        <v>0</v>
      </c>
      <c r="BD53" s="7">
        <v>0</v>
      </c>
      <c r="BE53">
        <v>0</v>
      </c>
      <c r="BF53" s="7">
        <v>0</v>
      </c>
      <c r="BG53">
        <v>0</v>
      </c>
      <c r="BH53" s="7">
        <v>0</v>
      </c>
      <c r="BI53">
        <v>0</v>
      </c>
      <c r="BJ53" s="7">
        <v>0</v>
      </c>
      <c r="BK53" s="1">
        <v>8955</v>
      </c>
      <c r="BL53" s="7">
        <v>0</v>
      </c>
      <c r="BM53">
        <v>0</v>
      </c>
      <c r="BN53" s="7">
        <v>0</v>
      </c>
      <c r="BO53">
        <v>0</v>
      </c>
      <c r="BP53" s="7">
        <v>0</v>
      </c>
      <c r="BQ53">
        <v>0</v>
      </c>
      <c r="BR53" s="7">
        <v>0</v>
      </c>
      <c r="BS53">
        <v>0</v>
      </c>
      <c r="BT53" s="7">
        <v>0</v>
      </c>
      <c r="BU53">
        <v>101</v>
      </c>
      <c r="BV53" s="7">
        <v>0</v>
      </c>
      <c r="BW53">
        <v>0</v>
      </c>
      <c r="BX53" s="7">
        <v>0</v>
      </c>
      <c r="BY53">
        <v>0</v>
      </c>
      <c r="BZ53" s="7">
        <v>0</v>
      </c>
      <c r="CA53">
        <v>0</v>
      </c>
      <c r="CB53" s="7">
        <v>0</v>
      </c>
      <c r="CC53">
        <v>0</v>
      </c>
      <c r="CD53" s="7">
        <v>0</v>
      </c>
      <c r="CE53">
        <v>0</v>
      </c>
      <c r="CF53" s="7">
        <v>0</v>
      </c>
      <c r="CG53">
        <v>0</v>
      </c>
      <c r="CH53" s="7">
        <v>0</v>
      </c>
      <c r="CI53">
        <v>0</v>
      </c>
      <c r="CJ53" s="7">
        <v>0</v>
      </c>
      <c r="CK53">
        <v>0</v>
      </c>
      <c r="CL53" s="7">
        <v>0</v>
      </c>
      <c r="CM53">
        <v>0</v>
      </c>
      <c r="CN53" s="7">
        <v>0</v>
      </c>
      <c r="CO53">
        <v>0</v>
      </c>
      <c r="CP53" s="7">
        <v>0</v>
      </c>
      <c r="CQ53">
        <v>0</v>
      </c>
      <c r="CR53" s="7">
        <v>0</v>
      </c>
      <c r="CS53">
        <v>0</v>
      </c>
      <c r="CT53" s="7">
        <v>0</v>
      </c>
      <c r="CU53">
        <v>0</v>
      </c>
      <c r="CV53" s="7">
        <v>0</v>
      </c>
      <c r="CW53">
        <v>0</v>
      </c>
      <c r="CX53" s="7">
        <v>0</v>
      </c>
      <c r="CY53">
        <v>0</v>
      </c>
      <c r="CZ53" s="7">
        <v>0</v>
      </c>
      <c r="DA53">
        <v>0</v>
      </c>
      <c r="DB53" s="7">
        <v>0</v>
      </c>
      <c r="DC53">
        <v>0</v>
      </c>
      <c r="DD53" s="7">
        <v>0</v>
      </c>
      <c r="DE53">
        <v>0</v>
      </c>
      <c r="DF53" s="7">
        <v>0</v>
      </c>
      <c r="DG53">
        <v>0</v>
      </c>
      <c r="DH53" s="7">
        <v>0</v>
      </c>
      <c r="DI53">
        <v>0</v>
      </c>
      <c r="DJ53" s="7">
        <v>0</v>
      </c>
      <c r="DK53">
        <v>0</v>
      </c>
      <c r="DL53" s="7">
        <v>0</v>
      </c>
      <c r="DM53">
        <v>0</v>
      </c>
      <c r="DN53" s="7">
        <v>0</v>
      </c>
      <c r="DO53">
        <v>0</v>
      </c>
      <c r="DP53" s="7">
        <v>0</v>
      </c>
      <c r="DQ53">
        <v>0</v>
      </c>
      <c r="DR53" s="7">
        <v>0</v>
      </c>
      <c r="DS53">
        <v>0</v>
      </c>
      <c r="DT53" s="7">
        <v>0</v>
      </c>
      <c r="DU53">
        <v>0</v>
      </c>
      <c r="DV53" s="7">
        <v>0</v>
      </c>
      <c r="DW53">
        <v>0</v>
      </c>
      <c r="DX53" s="7">
        <v>0</v>
      </c>
      <c r="DY53">
        <v>0</v>
      </c>
      <c r="DZ53" s="7">
        <v>0</v>
      </c>
      <c r="EA53">
        <v>0</v>
      </c>
      <c r="EB53" s="7">
        <v>0</v>
      </c>
      <c r="EC53">
        <v>0</v>
      </c>
      <c r="ED53" s="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6D095-7B08-4D45-9821-9F51E674ECAC}">
  <sheetPr codeName="Hoja3"/>
  <dimension ref="A1:ED11"/>
  <sheetViews>
    <sheetView workbookViewId="0">
      <selection activeCell="D13" sqref="D13"/>
    </sheetView>
  </sheetViews>
  <sheetFormatPr baseColWidth="10" defaultRowHeight="15" x14ac:dyDescent="0.25"/>
  <cols>
    <col min="1" max="1" width="11.7109375" bestFit="1" customWidth="1"/>
    <col min="2" max="2" width="10.5703125" bestFit="1" customWidth="1"/>
    <col min="3" max="3" width="4" customWidth="1"/>
    <col min="4" max="4" width="9.140625" bestFit="1" customWidth="1"/>
    <col min="5" max="5" width="2.85546875" customWidth="1"/>
    <col min="6" max="6" width="9.140625" bestFit="1" customWidth="1"/>
    <col min="7" max="7" width="3.42578125" customWidth="1"/>
    <col min="8" max="8" width="12.5703125" bestFit="1" customWidth="1"/>
    <col min="9" max="9" width="4.85546875" customWidth="1"/>
    <col min="10" max="10" width="17.7109375" bestFit="1" customWidth="1"/>
    <col min="11" max="11" width="6.28515625" customWidth="1"/>
    <col min="12" max="12" width="8.140625" bestFit="1" customWidth="1"/>
    <col min="14" max="14" width="15.28515625" bestFit="1" customWidth="1"/>
    <col min="16" max="16" width="22.7109375" bestFit="1" customWidth="1"/>
    <col min="18" max="18" width="15.28515625" bestFit="1" customWidth="1"/>
    <col min="20" max="20" width="15.28515625" bestFit="1" customWidth="1"/>
    <col min="22" max="22" width="15.28515625" bestFit="1" customWidth="1"/>
    <col min="24" max="24" width="15.28515625" bestFit="1" customWidth="1"/>
    <col min="26" max="26" width="15.28515625" bestFit="1" customWidth="1"/>
    <col min="28" max="28" width="15.28515625" bestFit="1" customWidth="1"/>
    <col min="30" max="30" width="9.140625" bestFit="1" customWidth="1"/>
    <col min="32" max="32" width="16.5703125" bestFit="1" customWidth="1"/>
    <col min="34" max="34" width="15.28515625" bestFit="1" customWidth="1"/>
    <col min="36" max="36" width="7" bestFit="1" customWidth="1"/>
    <col min="38" max="38" width="14.85546875" bestFit="1" customWidth="1"/>
    <col min="40" max="40" width="7.5703125" bestFit="1" customWidth="1"/>
    <col min="42" max="42" width="10.5703125" bestFit="1" customWidth="1"/>
    <col min="44" max="44" width="18.42578125" bestFit="1" customWidth="1"/>
    <col min="46" max="46" width="7" bestFit="1" customWidth="1"/>
    <col min="48" max="48" width="17.5703125" bestFit="1" customWidth="1"/>
    <col min="50" max="50" width="14.7109375" bestFit="1" customWidth="1"/>
    <col min="52" max="52" width="7" bestFit="1" customWidth="1"/>
    <col min="54" max="54" width="10.5703125" bestFit="1" customWidth="1"/>
    <col min="56" max="56" width="10.5703125" bestFit="1" customWidth="1"/>
    <col min="58" max="58" width="10.5703125" bestFit="1" customWidth="1"/>
    <col min="60" max="60" width="7" bestFit="1" customWidth="1"/>
    <col min="62" max="62" width="10.5703125" bestFit="1" customWidth="1"/>
    <col min="64" max="64" width="10.5703125" bestFit="1" customWidth="1"/>
    <col min="66" max="66" width="7" bestFit="1" customWidth="1"/>
    <col min="68" max="68" width="15.28515625" bestFit="1" customWidth="1"/>
    <col min="70" max="70" width="7" bestFit="1" customWidth="1"/>
    <col min="72" max="72" width="28.140625" bestFit="1" customWidth="1"/>
    <col min="74" max="74" width="7.7109375" bestFit="1" customWidth="1"/>
    <col min="76" max="76" width="7" bestFit="1" customWidth="1"/>
    <col min="78" max="78" width="7" bestFit="1" customWidth="1"/>
    <col min="80" max="80" width="16.140625" bestFit="1" customWidth="1"/>
    <col min="82" max="82" width="14.85546875" bestFit="1" customWidth="1"/>
    <col min="84" max="84" width="10.5703125" bestFit="1" customWidth="1"/>
    <col min="86" max="86" width="17.140625" bestFit="1" customWidth="1"/>
    <col min="88" max="88" width="9.28515625" bestFit="1" customWidth="1"/>
    <col min="90" max="90" width="7" bestFit="1" customWidth="1"/>
    <col min="92" max="92" width="7" bestFit="1" customWidth="1"/>
    <col min="94" max="94" width="20.7109375" bestFit="1" customWidth="1"/>
    <col min="96" max="96" width="7" bestFit="1" customWidth="1"/>
    <col min="98" max="98" width="7" bestFit="1" customWidth="1"/>
    <col min="100" max="100" width="10.5703125" bestFit="1" customWidth="1"/>
    <col min="102" max="102" width="19.28515625" bestFit="1" customWidth="1"/>
    <col min="104" max="104" width="7.5703125" bestFit="1" customWidth="1"/>
    <col min="106" max="106" width="9.7109375" bestFit="1" customWidth="1"/>
    <col min="108" max="108" width="7" bestFit="1" customWidth="1"/>
    <col min="110" max="110" width="7" bestFit="1" customWidth="1"/>
    <col min="112" max="112" width="13.5703125" bestFit="1" customWidth="1"/>
    <col min="114" max="114" width="8.7109375" bestFit="1" customWidth="1"/>
    <col min="116" max="116" width="20.5703125" bestFit="1" customWidth="1"/>
    <col min="118" max="118" width="7" bestFit="1" customWidth="1"/>
    <col min="120" max="120" width="7" bestFit="1" customWidth="1"/>
    <col min="122" max="122" width="10.42578125" bestFit="1" customWidth="1"/>
    <col min="124" max="124" width="7" bestFit="1" customWidth="1"/>
    <col min="126" max="126" width="9.7109375" bestFit="1" customWidth="1"/>
    <col min="128" max="128" width="9.140625" bestFit="1" customWidth="1"/>
    <col min="130" max="130" width="10.5703125" bestFit="1" customWidth="1"/>
    <col min="132" max="132" width="8.140625" bestFit="1" customWidth="1"/>
    <col min="134" max="134" width="7" bestFit="1" customWidth="1"/>
  </cols>
  <sheetData>
    <row r="1" spans="1:134" ht="7.5" customHeight="1" thickBot="1" x14ac:dyDescent="0.3"/>
    <row r="2" spans="1:134" x14ac:dyDescent="0.25">
      <c r="A2" s="37">
        <v>0</v>
      </c>
      <c r="B2" s="38">
        <v>1</v>
      </c>
      <c r="C2" s="38"/>
      <c r="D2" s="38">
        <f>1+B2</f>
        <v>2</v>
      </c>
      <c r="E2" s="38"/>
      <c r="F2" s="38">
        <f>1+D2</f>
        <v>3</v>
      </c>
      <c r="G2" s="38"/>
      <c r="H2" s="38">
        <f>1+F2</f>
        <v>4</v>
      </c>
      <c r="I2" s="38"/>
      <c r="J2" s="38">
        <f>1+H2</f>
        <v>5</v>
      </c>
      <c r="K2" s="38"/>
      <c r="L2" s="38">
        <f>1+J2</f>
        <v>6</v>
      </c>
      <c r="M2" s="38"/>
      <c r="N2" s="38">
        <f>1+L2</f>
        <v>7</v>
      </c>
      <c r="O2" s="38"/>
      <c r="P2" s="38">
        <f>1+N2</f>
        <v>8</v>
      </c>
      <c r="Q2" s="38"/>
      <c r="R2" s="38">
        <f>1+P2</f>
        <v>9</v>
      </c>
      <c r="S2" s="38"/>
      <c r="T2" s="38">
        <f>1+R2</f>
        <v>10</v>
      </c>
      <c r="U2" s="38"/>
      <c r="V2" s="38">
        <f>1+T2</f>
        <v>11</v>
      </c>
      <c r="W2" s="38"/>
      <c r="X2" s="38">
        <f>1+V2</f>
        <v>12</v>
      </c>
      <c r="Y2" s="38"/>
      <c r="Z2" s="38">
        <f>1+X2</f>
        <v>13</v>
      </c>
      <c r="AA2" s="38"/>
      <c r="AB2" s="38">
        <f>1+Z2</f>
        <v>14</v>
      </c>
      <c r="AC2" s="38"/>
      <c r="AD2" s="38">
        <f>1+AB2</f>
        <v>15</v>
      </c>
      <c r="AE2" s="38"/>
      <c r="AF2" s="38">
        <f>1+AD2</f>
        <v>16</v>
      </c>
      <c r="AG2" s="38"/>
      <c r="AH2" s="38">
        <f>1+AF2</f>
        <v>17</v>
      </c>
      <c r="AI2" s="38"/>
      <c r="AJ2" s="38">
        <f>1+AH2</f>
        <v>18</v>
      </c>
      <c r="AK2" s="38"/>
      <c r="AL2" s="38">
        <f>1+AJ2</f>
        <v>19</v>
      </c>
      <c r="AM2" s="38"/>
      <c r="AN2" s="38">
        <f>1+AL2</f>
        <v>20</v>
      </c>
      <c r="AO2" s="38"/>
      <c r="AP2" s="38">
        <f>1+AN2</f>
        <v>21</v>
      </c>
      <c r="AQ2" s="38"/>
      <c r="AR2" s="38">
        <f>1+AP2</f>
        <v>22</v>
      </c>
      <c r="AS2" s="38"/>
      <c r="AT2" s="38">
        <f>1+AR2</f>
        <v>23</v>
      </c>
      <c r="AU2" s="38"/>
      <c r="AV2" s="38">
        <f>1+AT2</f>
        <v>24</v>
      </c>
      <c r="AW2" s="38"/>
      <c r="AX2" s="38">
        <f>1+AV2</f>
        <v>25</v>
      </c>
      <c r="AY2" s="38"/>
      <c r="AZ2" s="38">
        <f>1+AX2</f>
        <v>26</v>
      </c>
      <c r="BA2" s="38"/>
      <c r="BB2" s="38">
        <f>1+AZ2</f>
        <v>27</v>
      </c>
      <c r="BC2" s="38"/>
      <c r="BD2" s="38">
        <f>1+BB2</f>
        <v>28</v>
      </c>
      <c r="BE2" s="38"/>
      <c r="BF2" s="38">
        <f>1+BD2</f>
        <v>29</v>
      </c>
      <c r="BG2" s="38"/>
      <c r="BH2" s="38">
        <f>1+BF2</f>
        <v>30</v>
      </c>
      <c r="BI2" s="38"/>
      <c r="BJ2" s="38">
        <f>1+BH2</f>
        <v>31</v>
      </c>
      <c r="BK2" s="38"/>
      <c r="BL2" s="38">
        <f>1+BJ2</f>
        <v>32</v>
      </c>
      <c r="BM2" s="38"/>
      <c r="BN2" s="38">
        <f>1+BL2</f>
        <v>33</v>
      </c>
      <c r="BO2" s="38"/>
      <c r="BP2" s="38">
        <f>1+BN2</f>
        <v>34</v>
      </c>
      <c r="BQ2" s="38"/>
      <c r="BR2" s="38">
        <f>1+BP2</f>
        <v>35</v>
      </c>
      <c r="BS2" s="38"/>
      <c r="BT2" s="38">
        <f>1+BR2</f>
        <v>36</v>
      </c>
      <c r="BU2" s="38"/>
      <c r="BV2" s="38">
        <f>1+BT2</f>
        <v>37</v>
      </c>
      <c r="BW2" s="38"/>
      <c r="BX2" s="38">
        <f>1+BV2</f>
        <v>38</v>
      </c>
      <c r="BY2" s="38"/>
      <c r="BZ2" s="38">
        <f>1+BX2</f>
        <v>39</v>
      </c>
      <c r="CA2" s="38"/>
      <c r="CB2" s="38">
        <f>1+BZ2</f>
        <v>40</v>
      </c>
      <c r="CC2" s="38"/>
      <c r="CD2" s="38">
        <f>1+CB2</f>
        <v>41</v>
      </c>
      <c r="CE2" s="38"/>
      <c r="CF2" s="38">
        <f>1+CD2</f>
        <v>42</v>
      </c>
      <c r="CG2" s="38"/>
      <c r="CH2" s="38">
        <f>1+CF2</f>
        <v>43</v>
      </c>
      <c r="CI2" s="38"/>
      <c r="CJ2" s="38">
        <f>1+CH2</f>
        <v>44</v>
      </c>
      <c r="CK2" s="38"/>
      <c r="CL2" s="38">
        <f>1+CJ2</f>
        <v>45</v>
      </c>
      <c r="CM2" s="38"/>
      <c r="CN2" s="38">
        <f>1+CL2</f>
        <v>46</v>
      </c>
      <c r="CO2" s="38"/>
      <c r="CP2" s="38">
        <f>1+CN2</f>
        <v>47</v>
      </c>
      <c r="CQ2" s="38"/>
      <c r="CR2" s="38">
        <f>1+CP2</f>
        <v>48</v>
      </c>
      <c r="CS2" s="38"/>
      <c r="CT2" s="38">
        <f>1+CR2</f>
        <v>49</v>
      </c>
      <c r="CU2" s="38"/>
      <c r="CV2" s="38">
        <f>1+CT2</f>
        <v>50</v>
      </c>
      <c r="CW2" s="38"/>
      <c r="CX2" s="38">
        <f>1+CV2</f>
        <v>51</v>
      </c>
      <c r="CY2" s="38"/>
      <c r="CZ2" s="38">
        <f>1+CX2</f>
        <v>52</v>
      </c>
      <c r="DA2" s="38"/>
      <c r="DB2" s="38">
        <f>1+CZ2</f>
        <v>53</v>
      </c>
      <c r="DC2" s="38"/>
      <c r="DD2" s="38">
        <f>1+DB2</f>
        <v>54</v>
      </c>
      <c r="DE2" s="38"/>
      <c r="DF2" s="38">
        <f>1+DD2</f>
        <v>55</v>
      </c>
      <c r="DG2" s="38"/>
      <c r="DH2" s="38">
        <f>1+DF2</f>
        <v>56</v>
      </c>
      <c r="DI2" s="38"/>
      <c r="DJ2" s="38">
        <f>1+DH2</f>
        <v>57</v>
      </c>
      <c r="DK2" s="38"/>
      <c r="DL2" s="38">
        <f>1+DJ2</f>
        <v>58</v>
      </c>
      <c r="DM2" s="38"/>
      <c r="DN2" s="38">
        <f>1+DL2</f>
        <v>59</v>
      </c>
      <c r="DO2" s="38"/>
      <c r="DP2" s="38">
        <f>1+DN2</f>
        <v>60</v>
      </c>
      <c r="DQ2" s="38"/>
      <c r="DR2" s="38">
        <f>1+DP2</f>
        <v>61</v>
      </c>
      <c r="DS2" s="38"/>
      <c r="DT2" s="38">
        <f>1+DR2</f>
        <v>62</v>
      </c>
      <c r="DU2" s="38"/>
      <c r="DV2" s="38">
        <f>1+DT2</f>
        <v>63</v>
      </c>
      <c r="DW2" s="38"/>
      <c r="DX2" s="38">
        <f>1+DV2</f>
        <v>64</v>
      </c>
      <c r="DY2" s="38"/>
      <c r="DZ2" s="38">
        <f>1+DX2</f>
        <v>65</v>
      </c>
      <c r="EA2" s="38"/>
      <c r="EB2" s="38">
        <f>1+DZ2</f>
        <v>66</v>
      </c>
      <c r="EC2" s="38"/>
      <c r="ED2" s="39">
        <f t="shared" ref="ED2" si="0">1+EB2</f>
        <v>67</v>
      </c>
    </row>
    <row r="3" spans="1:134" x14ac:dyDescent="0.25">
      <c r="A3" s="40" t="s">
        <v>286</v>
      </c>
      <c r="B3" s="36" t="s">
        <v>219</v>
      </c>
      <c r="C3" s="36"/>
      <c r="D3" s="36" t="s">
        <v>220</v>
      </c>
      <c r="E3" s="36"/>
      <c r="F3" s="36" t="s">
        <v>221</v>
      </c>
      <c r="G3" s="36"/>
      <c r="H3" s="36" t="s">
        <v>222</v>
      </c>
      <c r="I3" s="36"/>
      <c r="J3" s="36" t="s">
        <v>223</v>
      </c>
      <c r="K3" s="36"/>
      <c r="L3" s="36" t="s">
        <v>224</v>
      </c>
      <c r="M3" s="36"/>
      <c r="N3" s="36" t="s">
        <v>225</v>
      </c>
      <c r="O3" s="36"/>
      <c r="P3" s="36" t="s">
        <v>226</v>
      </c>
      <c r="Q3" s="36"/>
      <c r="R3" s="36" t="s">
        <v>227</v>
      </c>
      <c r="S3" s="36"/>
      <c r="T3" s="36" t="s">
        <v>228</v>
      </c>
      <c r="U3" s="36"/>
      <c r="V3" s="36" t="s">
        <v>229</v>
      </c>
      <c r="W3" s="36"/>
      <c r="X3" s="36" t="s">
        <v>230</v>
      </c>
      <c r="Y3" s="36"/>
      <c r="Z3" s="36" t="s">
        <v>231</v>
      </c>
      <c r="AA3" s="36"/>
      <c r="AB3" s="36" t="s">
        <v>232</v>
      </c>
      <c r="AC3" s="36"/>
      <c r="AD3" s="36" t="s">
        <v>233</v>
      </c>
      <c r="AE3" s="36"/>
      <c r="AF3" s="36" t="s">
        <v>234</v>
      </c>
      <c r="AG3" s="36"/>
      <c r="AH3" s="36" t="s">
        <v>235</v>
      </c>
      <c r="AI3" s="36"/>
      <c r="AJ3" s="36" t="s">
        <v>236</v>
      </c>
      <c r="AK3" s="36"/>
      <c r="AL3" s="36" t="s">
        <v>237</v>
      </c>
      <c r="AM3" s="36"/>
      <c r="AN3" s="36" t="s">
        <v>238</v>
      </c>
      <c r="AO3" s="36"/>
      <c r="AP3" s="36" t="s">
        <v>239</v>
      </c>
      <c r="AQ3" s="36"/>
      <c r="AR3" s="36" t="s">
        <v>240</v>
      </c>
      <c r="AS3" s="36"/>
      <c r="AT3" s="36" t="s">
        <v>241</v>
      </c>
      <c r="AU3" s="36"/>
      <c r="AV3" s="36" t="s">
        <v>242</v>
      </c>
      <c r="AW3" s="36"/>
      <c r="AX3" s="36" t="s">
        <v>243</v>
      </c>
      <c r="AY3" s="36"/>
      <c r="AZ3" s="36" t="s">
        <v>244</v>
      </c>
      <c r="BA3" s="36"/>
      <c r="BB3" s="36" t="s">
        <v>245</v>
      </c>
      <c r="BC3" s="36"/>
      <c r="BD3" s="36" t="s">
        <v>246</v>
      </c>
      <c r="BE3" s="36"/>
      <c r="BF3" s="36" t="s">
        <v>247</v>
      </c>
      <c r="BG3" s="36"/>
      <c r="BH3" s="36" t="s">
        <v>248</v>
      </c>
      <c r="BI3" s="36"/>
      <c r="BJ3" s="36" t="s">
        <v>249</v>
      </c>
      <c r="BK3" s="36"/>
      <c r="BL3" s="36" t="s">
        <v>250</v>
      </c>
      <c r="BM3" s="36"/>
      <c r="BN3" s="36" t="s">
        <v>251</v>
      </c>
      <c r="BO3" s="36"/>
      <c r="BP3" s="36" t="s">
        <v>252</v>
      </c>
      <c r="BQ3" s="36"/>
      <c r="BR3" s="36" t="s">
        <v>253</v>
      </c>
      <c r="BS3" s="36"/>
      <c r="BT3" s="36" t="s">
        <v>254</v>
      </c>
      <c r="BU3" s="36"/>
      <c r="BV3" s="36" t="s">
        <v>255</v>
      </c>
      <c r="BW3" s="36"/>
      <c r="BX3" s="36" t="s">
        <v>256</v>
      </c>
      <c r="BY3" s="36"/>
      <c r="BZ3" s="36" t="s">
        <v>257</v>
      </c>
      <c r="CA3" s="36"/>
      <c r="CB3" s="36" t="s">
        <v>258</v>
      </c>
      <c r="CC3" s="36"/>
      <c r="CD3" s="36" t="s">
        <v>259</v>
      </c>
      <c r="CE3" s="36"/>
      <c r="CF3" s="36" t="s">
        <v>260</v>
      </c>
      <c r="CG3" s="36"/>
      <c r="CH3" s="36" t="s">
        <v>261</v>
      </c>
      <c r="CI3" s="36"/>
      <c r="CJ3" s="36" t="s">
        <v>262</v>
      </c>
      <c r="CK3" s="36"/>
      <c r="CL3" s="36" t="s">
        <v>263</v>
      </c>
      <c r="CM3" s="36"/>
      <c r="CN3" s="36" t="s">
        <v>264</v>
      </c>
      <c r="CO3" s="36"/>
      <c r="CP3" s="36" t="s">
        <v>265</v>
      </c>
      <c r="CQ3" s="36"/>
      <c r="CR3" s="36" t="s">
        <v>266</v>
      </c>
      <c r="CS3" s="36"/>
      <c r="CT3" s="36" t="s">
        <v>267</v>
      </c>
      <c r="CU3" s="36"/>
      <c r="CV3" s="36" t="s">
        <v>268</v>
      </c>
      <c r="CW3" s="36"/>
      <c r="CX3" s="36" t="s">
        <v>269</v>
      </c>
      <c r="CY3" s="36"/>
      <c r="CZ3" s="36" t="s">
        <v>270</v>
      </c>
      <c r="DA3" s="36"/>
      <c r="DB3" s="36" t="s">
        <v>271</v>
      </c>
      <c r="DC3" s="36"/>
      <c r="DD3" s="36" t="s">
        <v>272</v>
      </c>
      <c r="DE3" s="36"/>
      <c r="DF3" s="36" t="s">
        <v>273</v>
      </c>
      <c r="DG3" s="36"/>
      <c r="DH3" s="36" t="s">
        <v>274</v>
      </c>
      <c r="DI3" s="36"/>
      <c r="DJ3" s="36" t="s">
        <v>275</v>
      </c>
      <c r="DK3" s="36"/>
      <c r="DL3" s="36" t="s">
        <v>276</v>
      </c>
      <c r="DM3" s="36"/>
      <c r="DN3" s="36" t="s">
        <v>277</v>
      </c>
      <c r="DO3" s="36"/>
      <c r="DP3" s="36" t="s">
        <v>278</v>
      </c>
      <c r="DQ3" s="36"/>
      <c r="DR3" s="36" t="s">
        <v>279</v>
      </c>
      <c r="DS3" s="36"/>
      <c r="DT3" s="36" t="s">
        <v>280</v>
      </c>
      <c r="DU3" s="36"/>
      <c r="DV3" s="36" t="s">
        <v>281</v>
      </c>
      <c r="DW3" s="36"/>
      <c r="DX3" s="36" t="s">
        <v>282</v>
      </c>
      <c r="DY3" s="36"/>
      <c r="DZ3" s="36" t="s">
        <v>283</v>
      </c>
      <c r="EA3" s="36"/>
      <c r="EB3" s="36" t="s">
        <v>284</v>
      </c>
      <c r="EC3" s="36"/>
      <c r="ED3" s="41" t="s">
        <v>285</v>
      </c>
    </row>
    <row r="4" spans="1:134" x14ac:dyDescent="0.25">
      <c r="A4" s="40"/>
      <c r="B4" s="36" t="s">
        <v>287</v>
      </c>
      <c r="C4" s="36"/>
      <c r="D4" s="36" t="s">
        <v>288</v>
      </c>
      <c r="E4" s="36"/>
      <c r="F4" s="36" t="s">
        <v>288</v>
      </c>
      <c r="G4" s="36"/>
      <c r="H4" s="36" t="s">
        <v>287</v>
      </c>
      <c r="I4" s="36"/>
      <c r="J4" s="36" t="s">
        <v>289</v>
      </c>
      <c r="K4" s="36"/>
      <c r="L4" s="36" t="s">
        <v>290</v>
      </c>
      <c r="M4" s="36"/>
      <c r="N4" s="36" t="s">
        <v>289</v>
      </c>
      <c r="O4" s="36"/>
      <c r="P4" s="36" t="s">
        <v>289</v>
      </c>
      <c r="Q4" s="36"/>
      <c r="R4" s="36" t="s">
        <v>289</v>
      </c>
      <c r="S4" s="36"/>
      <c r="T4" s="36" t="s">
        <v>289</v>
      </c>
      <c r="U4" s="36"/>
      <c r="V4" s="36" t="s">
        <v>287</v>
      </c>
      <c r="W4" s="36"/>
      <c r="X4" s="36" t="s">
        <v>289</v>
      </c>
      <c r="Y4" s="36"/>
      <c r="Z4" s="36" t="s">
        <v>289</v>
      </c>
      <c r="AA4" s="36"/>
      <c r="AB4" s="36" t="s">
        <v>289</v>
      </c>
      <c r="AC4" s="36"/>
      <c r="AD4" s="36" t="s">
        <v>288</v>
      </c>
      <c r="AE4" s="36"/>
      <c r="AF4" s="36" t="s">
        <v>289</v>
      </c>
      <c r="AG4" s="36"/>
      <c r="AH4" s="36" t="s">
        <v>289</v>
      </c>
      <c r="AI4" s="36"/>
      <c r="AJ4" s="36" t="s">
        <v>291</v>
      </c>
      <c r="AK4" s="36"/>
      <c r="AL4" s="36" t="s">
        <v>291</v>
      </c>
      <c r="AM4" s="36"/>
      <c r="AN4" s="36" t="s">
        <v>291</v>
      </c>
      <c r="AO4" s="36"/>
      <c r="AP4" s="36" t="s">
        <v>287</v>
      </c>
      <c r="AQ4" s="36"/>
      <c r="AR4" s="36" t="s">
        <v>291</v>
      </c>
      <c r="AS4" s="36"/>
      <c r="AT4" s="36" t="s">
        <v>291</v>
      </c>
      <c r="AU4" s="36"/>
      <c r="AV4" s="36" t="s">
        <v>291</v>
      </c>
      <c r="AW4" s="36"/>
      <c r="AX4" s="36" t="s">
        <v>287</v>
      </c>
      <c r="AY4" s="36"/>
      <c r="AZ4" s="36" t="s">
        <v>291</v>
      </c>
      <c r="BA4" s="36"/>
      <c r="BB4" s="36" t="s">
        <v>287</v>
      </c>
      <c r="BC4" s="36"/>
      <c r="BD4" s="36" t="s">
        <v>287</v>
      </c>
      <c r="BE4" s="36"/>
      <c r="BF4" s="36" t="s">
        <v>287</v>
      </c>
      <c r="BG4" s="36"/>
      <c r="BH4" s="36" t="s">
        <v>291</v>
      </c>
      <c r="BI4" s="36"/>
      <c r="BJ4" s="36" t="s">
        <v>287</v>
      </c>
      <c r="BK4" s="36"/>
      <c r="BL4" s="36" t="s">
        <v>287</v>
      </c>
      <c r="BM4" s="36"/>
      <c r="BN4" s="36" t="s">
        <v>291</v>
      </c>
      <c r="BO4" s="36"/>
      <c r="BP4" s="36" t="s">
        <v>289</v>
      </c>
      <c r="BQ4" s="36"/>
      <c r="BR4" s="36" t="s">
        <v>291</v>
      </c>
      <c r="BS4" s="36"/>
      <c r="BT4" s="36" t="s">
        <v>291</v>
      </c>
      <c r="BU4" s="36"/>
      <c r="BV4" s="36" t="s">
        <v>291</v>
      </c>
      <c r="BW4" s="36"/>
      <c r="BX4" s="36" t="s">
        <v>291</v>
      </c>
      <c r="BY4" s="36"/>
      <c r="BZ4" s="36" t="s">
        <v>291</v>
      </c>
      <c r="CA4" s="36"/>
      <c r="CB4" s="36" t="s">
        <v>289</v>
      </c>
      <c r="CC4" s="36"/>
      <c r="CD4" s="36" t="s">
        <v>291</v>
      </c>
      <c r="CE4" s="36"/>
      <c r="CF4" s="36" t="s">
        <v>287</v>
      </c>
      <c r="CG4" s="36"/>
      <c r="CH4" s="36" t="s">
        <v>291</v>
      </c>
      <c r="CI4" s="36"/>
      <c r="CJ4" s="36" t="s">
        <v>290</v>
      </c>
      <c r="CK4" s="36"/>
      <c r="CL4" s="36" t="s">
        <v>291</v>
      </c>
      <c r="CM4" s="36"/>
      <c r="CN4" s="36" t="s">
        <v>291</v>
      </c>
      <c r="CO4" s="36"/>
      <c r="CP4" s="36" t="s">
        <v>291</v>
      </c>
      <c r="CQ4" s="36"/>
      <c r="CR4" s="36" t="s">
        <v>291</v>
      </c>
      <c r="CS4" s="36"/>
      <c r="CT4" s="36" t="s">
        <v>291</v>
      </c>
      <c r="CU4" s="36"/>
      <c r="CV4" s="36" t="s">
        <v>287</v>
      </c>
      <c r="CW4" s="36"/>
      <c r="CX4" s="36" t="s">
        <v>291</v>
      </c>
      <c r="CY4" s="36"/>
      <c r="CZ4" s="36" t="s">
        <v>291</v>
      </c>
      <c r="DA4" s="36"/>
      <c r="DB4" s="36" t="s">
        <v>291</v>
      </c>
      <c r="DC4" s="36"/>
      <c r="DD4" s="36" t="s">
        <v>291</v>
      </c>
      <c r="DE4" s="36"/>
      <c r="DF4" s="36" t="s">
        <v>291</v>
      </c>
      <c r="DG4" s="36"/>
      <c r="DH4" s="36" t="s">
        <v>288</v>
      </c>
      <c r="DI4" s="36"/>
      <c r="DJ4" s="36" t="s">
        <v>290</v>
      </c>
      <c r="DK4" s="36"/>
      <c r="DL4" s="36" t="s">
        <v>291</v>
      </c>
      <c r="DM4" s="36"/>
      <c r="DN4" s="36" t="s">
        <v>291</v>
      </c>
      <c r="DO4" s="36"/>
      <c r="DP4" s="36" t="s">
        <v>291</v>
      </c>
      <c r="DQ4" s="36"/>
      <c r="DR4" s="36" t="s">
        <v>291</v>
      </c>
      <c r="DS4" s="36"/>
      <c r="DT4" s="36" t="s">
        <v>291</v>
      </c>
      <c r="DU4" s="36"/>
      <c r="DV4" s="36" t="s">
        <v>290</v>
      </c>
      <c r="DW4" s="36"/>
      <c r="DX4" s="36" t="s">
        <v>288</v>
      </c>
      <c r="DY4" s="36"/>
      <c r="DZ4" s="36" t="s">
        <v>287</v>
      </c>
      <c r="EA4" s="36"/>
      <c r="EB4" s="36" t="s">
        <v>290</v>
      </c>
      <c r="EC4" s="36"/>
      <c r="ED4" s="41" t="s">
        <v>291</v>
      </c>
    </row>
    <row r="5" spans="1:134" ht="15.75" thickBot="1" x14ac:dyDescent="0.3">
      <c r="A5" s="42" t="s">
        <v>298</v>
      </c>
      <c r="B5" s="43">
        <f t="array" ref="B5:ED5">TRANSPOSE(INC_PARTIC!F2:F134)</f>
        <v>1.05</v>
      </c>
      <c r="C5" s="44">
        <v>0</v>
      </c>
      <c r="D5" s="43">
        <v>1.02</v>
      </c>
      <c r="E5" s="44">
        <v>0</v>
      </c>
      <c r="F5" s="43">
        <v>1.02</v>
      </c>
      <c r="G5" s="44">
        <v>0</v>
      </c>
      <c r="H5" s="43">
        <v>1.05</v>
      </c>
      <c r="I5" s="44">
        <v>0</v>
      </c>
      <c r="J5" s="43">
        <v>0.97499999999999998</v>
      </c>
      <c r="K5" s="44">
        <v>0</v>
      </c>
      <c r="L5" s="43">
        <v>1</v>
      </c>
      <c r="M5" s="44">
        <v>0</v>
      </c>
      <c r="N5" s="43">
        <v>0.97499999999999998</v>
      </c>
      <c r="O5" s="44">
        <v>0</v>
      </c>
      <c r="P5" s="43">
        <v>0.97499999999999998</v>
      </c>
      <c r="Q5" s="44">
        <v>0</v>
      </c>
      <c r="R5" s="43">
        <v>0.97499999999999998</v>
      </c>
      <c r="S5" s="44">
        <v>0</v>
      </c>
      <c r="T5" s="43">
        <v>0.97499999999999998</v>
      </c>
      <c r="U5" s="44">
        <v>0</v>
      </c>
      <c r="V5" s="43">
        <v>1.05</v>
      </c>
      <c r="W5" s="44">
        <v>0</v>
      </c>
      <c r="X5" s="43">
        <v>0.97499999999999998</v>
      </c>
      <c r="Y5" s="44">
        <v>0</v>
      </c>
      <c r="Z5" s="43">
        <v>0.97499999999999998</v>
      </c>
      <c r="AA5" s="44">
        <v>0</v>
      </c>
      <c r="AB5" s="43">
        <v>0.97499999999999998</v>
      </c>
      <c r="AC5" s="44">
        <v>0</v>
      </c>
      <c r="AD5" s="43">
        <v>1.02</v>
      </c>
      <c r="AE5" s="44">
        <v>0</v>
      </c>
      <c r="AF5" s="43">
        <v>0.97499999999999998</v>
      </c>
      <c r="AG5" s="44">
        <v>0</v>
      </c>
      <c r="AH5" s="43">
        <v>0.97499999999999998</v>
      </c>
      <c r="AI5" s="44">
        <v>0</v>
      </c>
      <c r="AJ5" s="43">
        <v>0.995</v>
      </c>
      <c r="AK5" s="44">
        <v>0</v>
      </c>
      <c r="AL5" s="43">
        <v>0.995</v>
      </c>
      <c r="AM5" s="44">
        <v>0</v>
      </c>
      <c r="AN5" s="43">
        <v>0.995</v>
      </c>
      <c r="AO5" s="44">
        <v>0</v>
      </c>
      <c r="AP5" s="43">
        <v>1.05</v>
      </c>
      <c r="AQ5" s="44">
        <v>0</v>
      </c>
      <c r="AR5" s="43">
        <v>0.995</v>
      </c>
      <c r="AS5" s="44">
        <v>0</v>
      </c>
      <c r="AT5" s="43">
        <v>0.995</v>
      </c>
      <c r="AU5" s="44">
        <v>0</v>
      </c>
      <c r="AV5" s="43">
        <v>0.995</v>
      </c>
      <c r="AW5" s="44">
        <v>0</v>
      </c>
      <c r="AX5" s="43">
        <v>1.05</v>
      </c>
      <c r="AY5" s="44">
        <v>0</v>
      </c>
      <c r="AZ5" s="43">
        <v>0.995</v>
      </c>
      <c r="BA5" s="44">
        <v>0</v>
      </c>
      <c r="BB5" s="43">
        <v>1.05</v>
      </c>
      <c r="BC5" s="44">
        <v>0</v>
      </c>
      <c r="BD5" s="43">
        <v>1.05</v>
      </c>
      <c r="BE5" s="44">
        <v>0</v>
      </c>
      <c r="BF5" s="43">
        <v>1.05</v>
      </c>
      <c r="BG5" s="44">
        <v>0</v>
      </c>
      <c r="BH5" s="43">
        <v>0.995</v>
      </c>
      <c r="BI5" s="44">
        <v>0</v>
      </c>
      <c r="BJ5" s="43">
        <v>1.05</v>
      </c>
      <c r="BK5" s="44">
        <v>0</v>
      </c>
      <c r="BL5" s="43">
        <v>1.05</v>
      </c>
      <c r="BM5" s="44">
        <v>0</v>
      </c>
      <c r="BN5" s="43">
        <v>0.995</v>
      </c>
      <c r="BO5" s="44">
        <v>0</v>
      </c>
      <c r="BP5" s="43">
        <v>0.97499999999999998</v>
      </c>
      <c r="BQ5" s="44">
        <v>0</v>
      </c>
      <c r="BR5" s="43">
        <v>0.995</v>
      </c>
      <c r="BS5" s="44">
        <v>0</v>
      </c>
      <c r="BT5" s="43">
        <v>0.995</v>
      </c>
      <c r="BU5" s="44">
        <v>0</v>
      </c>
      <c r="BV5" s="43">
        <v>0.995</v>
      </c>
      <c r="BW5" s="44">
        <v>0</v>
      </c>
      <c r="BX5" s="43">
        <v>0.995</v>
      </c>
      <c r="BY5" s="44">
        <v>0</v>
      </c>
      <c r="BZ5" s="43">
        <v>0.995</v>
      </c>
      <c r="CA5" s="44">
        <v>0</v>
      </c>
      <c r="CB5" s="43">
        <v>0.97499999999999998</v>
      </c>
      <c r="CC5" s="44">
        <v>0</v>
      </c>
      <c r="CD5" s="43">
        <v>0.995</v>
      </c>
      <c r="CE5" s="44">
        <v>0</v>
      </c>
      <c r="CF5" s="43">
        <v>1.05</v>
      </c>
      <c r="CG5" s="44">
        <v>0</v>
      </c>
      <c r="CH5" s="43">
        <v>0.995</v>
      </c>
      <c r="CI5" s="44">
        <v>0</v>
      </c>
      <c r="CJ5" s="43">
        <v>1</v>
      </c>
      <c r="CK5" s="44">
        <v>0</v>
      </c>
      <c r="CL5" s="43">
        <v>0.995</v>
      </c>
      <c r="CM5" s="44">
        <v>0</v>
      </c>
      <c r="CN5" s="43">
        <v>0.995</v>
      </c>
      <c r="CO5" s="44">
        <v>0</v>
      </c>
      <c r="CP5" s="43">
        <v>0.995</v>
      </c>
      <c r="CQ5" s="44">
        <v>0</v>
      </c>
      <c r="CR5" s="43">
        <v>0.995</v>
      </c>
      <c r="CS5" s="44">
        <v>0</v>
      </c>
      <c r="CT5" s="43">
        <v>0.995</v>
      </c>
      <c r="CU5" s="44">
        <v>0</v>
      </c>
      <c r="CV5" s="43">
        <v>1.05</v>
      </c>
      <c r="CW5" s="44">
        <v>0</v>
      </c>
      <c r="CX5" s="43">
        <v>0.995</v>
      </c>
      <c r="CY5" s="44">
        <v>0</v>
      </c>
      <c r="CZ5" s="43">
        <v>0.995</v>
      </c>
      <c r="DA5" s="44">
        <v>0</v>
      </c>
      <c r="DB5" s="43">
        <v>0.995</v>
      </c>
      <c r="DC5" s="44">
        <v>0</v>
      </c>
      <c r="DD5" s="43">
        <v>0.995</v>
      </c>
      <c r="DE5" s="44">
        <v>0</v>
      </c>
      <c r="DF5" s="43">
        <v>0.995</v>
      </c>
      <c r="DG5" s="44">
        <v>0</v>
      </c>
      <c r="DH5" s="43">
        <v>1.02</v>
      </c>
      <c r="DI5" s="44">
        <v>0</v>
      </c>
      <c r="DJ5" s="43">
        <v>1</v>
      </c>
      <c r="DK5" s="44">
        <v>0</v>
      </c>
      <c r="DL5" s="43">
        <v>0.995</v>
      </c>
      <c r="DM5" s="44">
        <v>0</v>
      </c>
      <c r="DN5" s="43">
        <v>0.995</v>
      </c>
      <c r="DO5" s="44">
        <v>0</v>
      </c>
      <c r="DP5" s="43">
        <v>0.995</v>
      </c>
      <c r="DQ5" s="44">
        <v>0</v>
      </c>
      <c r="DR5" s="43">
        <v>0.995</v>
      </c>
      <c r="DS5" s="44">
        <v>0</v>
      </c>
      <c r="DT5" s="43">
        <v>0.995</v>
      </c>
      <c r="DU5" s="44">
        <v>0</v>
      </c>
      <c r="DV5" s="43">
        <v>1</v>
      </c>
      <c r="DW5" s="44">
        <v>0</v>
      </c>
      <c r="DX5" s="43">
        <v>1.02</v>
      </c>
      <c r="DY5" s="44">
        <v>0</v>
      </c>
      <c r="DZ5" s="43">
        <v>1.05</v>
      </c>
      <c r="EA5" s="44">
        <v>0</v>
      </c>
      <c r="EB5" s="43">
        <v>1</v>
      </c>
      <c r="EC5" s="44">
        <v>0</v>
      </c>
      <c r="ED5" s="45">
        <v>0.995</v>
      </c>
    </row>
    <row r="6" spans="1:134" x14ac:dyDescent="0.25">
      <c r="A6" s="16"/>
      <c r="DL6" s="15"/>
    </row>
    <row r="7" spans="1:134" ht="15.75" thickBot="1" x14ac:dyDescent="0.3">
      <c r="A7" s="35" t="s">
        <v>295</v>
      </c>
    </row>
    <row r="8" spans="1:134" ht="15.75" thickBot="1" x14ac:dyDescent="0.3">
      <c r="A8" s="46">
        <v>0.1</v>
      </c>
      <c r="B8" s="47">
        <v>0.1</v>
      </c>
      <c r="C8" s="47"/>
      <c r="D8" s="47">
        <v>0.8</v>
      </c>
      <c r="E8" s="47"/>
      <c r="F8" s="47"/>
      <c r="G8" s="47"/>
      <c r="H8" s="47"/>
      <c r="I8" s="47"/>
      <c r="J8" s="47"/>
      <c r="K8" s="47"/>
      <c r="L8" s="47">
        <v>-1</v>
      </c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9"/>
    </row>
    <row r="10" spans="1:134" ht="15.75" thickBot="1" x14ac:dyDescent="0.3">
      <c r="A10" s="35" t="s">
        <v>296</v>
      </c>
    </row>
    <row r="11" spans="1:134" ht="15.75" thickBot="1" x14ac:dyDescent="0.3">
      <c r="A11" s="46">
        <v>0</v>
      </c>
      <c r="B11" s="47">
        <v>0.15</v>
      </c>
      <c r="C11" s="47"/>
      <c r="D11" s="47"/>
      <c r="E11" s="47"/>
      <c r="F11" s="47"/>
      <c r="G11" s="47"/>
      <c r="H11" s="47"/>
      <c r="I11" s="47"/>
      <c r="J11" s="47">
        <v>-0.15</v>
      </c>
      <c r="K11" s="47"/>
      <c r="L11" s="47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48"/>
      <c r="DW11" s="48"/>
      <c r="DX11" s="48"/>
      <c r="DY11" s="48"/>
      <c r="DZ11" s="48"/>
      <c r="EA11" s="48"/>
      <c r="EB11" s="48"/>
      <c r="EC11" s="48"/>
      <c r="ED11" s="4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E1D6-DF20-4969-93F4-EB47BAEACB4B}">
  <sheetPr codeName="Hoja4"/>
  <dimension ref="A1:I134"/>
  <sheetViews>
    <sheetView workbookViewId="0">
      <selection activeCell="E6" sqref="E6"/>
    </sheetView>
  </sheetViews>
  <sheetFormatPr baseColWidth="10" defaultRowHeight="15" x14ac:dyDescent="0.25"/>
  <cols>
    <col min="1" max="1" width="4" bestFit="1" customWidth="1"/>
    <col min="2" max="3" width="11.42578125" style="18"/>
    <col min="4" max="4" width="15.28515625" style="18" bestFit="1" customWidth="1"/>
    <col min="5" max="5" width="14.140625" style="15" bestFit="1" customWidth="1"/>
    <col min="6" max="6" width="11.7109375" style="15" bestFit="1" customWidth="1"/>
    <col min="7" max="7" width="1.7109375" customWidth="1"/>
  </cols>
  <sheetData>
    <row r="1" spans="1:9" s="14" customFormat="1" ht="18" x14ac:dyDescent="0.4">
      <c r="B1" s="17" t="s">
        <v>292</v>
      </c>
      <c r="C1" s="17" t="s">
        <v>293</v>
      </c>
      <c r="D1" s="17" t="s">
        <v>294</v>
      </c>
      <c r="E1" s="31" t="s">
        <v>297</v>
      </c>
      <c r="F1" s="16" t="s">
        <v>298</v>
      </c>
      <c r="H1" s="14" t="s">
        <v>299</v>
      </c>
      <c r="I1" s="14" t="s">
        <v>300</v>
      </c>
    </row>
    <row r="2" spans="1:9" x14ac:dyDescent="0.25">
      <c r="A2">
        <v>1</v>
      </c>
      <c r="B2" s="18">
        <f t="array" ref="B2:D134">TRANSPOSE(PARTIDOS!B2:ED4)</f>
        <v>1</v>
      </c>
      <c r="C2" s="18" t="str">
        <v>PSOE</v>
      </c>
      <c r="D2" s="18" t="str">
        <v>IZQUIERDA</v>
      </c>
      <c r="E2" s="32">
        <v>0.05</v>
      </c>
      <c r="F2" s="15">
        <f>1+E2</f>
        <v>1.05</v>
      </c>
      <c r="H2">
        <f t="array" ref="H2:H134">TRANSPOSE(PARTIDOS!B8:ED8)</f>
        <v>0.1</v>
      </c>
      <c r="I2">
        <f t="array" ref="I2:I134">TRANSPOSE(PARTIDOS!A11:ED11)</f>
        <v>0</v>
      </c>
    </row>
    <row r="3" spans="1:9" x14ac:dyDescent="0.25">
      <c r="A3">
        <f>+A2+1</f>
        <v>2</v>
      </c>
      <c r="B3" s="18">
        <v>0</v>
      </c>
      <c r="C3" s="18">
        <v>0</v>
      </c>
      <c r="D3" s="18">
        <v>0</v>
      </c>
      <c r="E3" s="33"/>
      <c r="H3">
        <v>0</v>
      </c>
      <c r="I3">
        <v>0.15</v>
      </c>
    </row>
    <row r="4" spans="1:9" x14ac:dyDescent="0.25">
      <c r="A4">
        <f t="shared" ref="A4:A67" si="0">+A3+1</f>
        <v>3</v>
      </c>
      <c r="B4" s="18">
        <v>2</v>
      </c>
      <c r="C4" s="18" t="str">
        <v>PP</v>
      </c>
      <c r="D4" s="18" t="str">
        <v>DERECHA</v>
      </c>
      <c r="E4" s="33">
        <v>0.02</v>
      </c>
      <c r="F4" s="15">
        <f t="shared" ref="F4:F66" si="1">1+E4</f>
        <v>1.02</v>
      </c>
      <c r="H4">
        <v>0.8</v>
      </c>
      <c r="I4">
        <v>0</v>
      </c>
    </row>
    <row r="5" spans="1:9" x14ac:dyDescent="0.25">
      <c r="A5">
        <f t="shared" si="0"/>
        <v>4</v>
      </c>
      <c r="B5" s="18">
        <v>0</v>
      </c>
      <c r="C5" s="18">
        <v>0</v>
      </c>
      <c r="D5" s="18">
        <v>0</v>
      </c>
      <c r="E5" s="33"/>
      <c r="H5">
        <v>0</v>
      </c>
      <c r="I5">
        <v>0</v>
      </c>
    </row>
    <row r="6" spans="1:9" x14ac:dyDescent="0.25">
      <c r="A6">
        <f t="shared" si="0"/>
        <v>5</v>
      </c>
      <c r="B6" s="18">
        <v>3</v>
      </c>
      <c r="C6" s="18" t="str">
        <v>VOX</v>
      </c>
      <c r="D6" s="18" t="str">
        <v>DERECHA</v>
      </c>
      <c r="E6" s="33">
        <v>0.02</v>
      </c>
      <c r="F6" s="15">
        <f t="shared" si="1"/>
        <v>1.02</v>
      </c>
      <c r="H6">
        <v>0</v>
      </c>
      <c r="I6">
        <v>0</v>
      </c>
    </row>
    <row r="7" spans="1:9" x14ac:dyDescent="0.25">
      <c r="A7">
        <f t="shared" si="0"/>
        <v>6</v>
      </c>
      <c r="B7" s="18">
        <v>0</v>
      </c>
      <c r="C7" s="18">
        <v>0</v>
      </c>
      <c r="D7" s="18">
        <v>0</v>
      </c>
      <c r="E7" s="33"/>
      <c r="H7">
        <v>0</v>
      </c>
      <c r="I7">
        <v>0</v>
      </c>
    </row>
    <row r="8" spans="1:9" x14ac:dyDescent="0.25">
      <c r="A8">
        <f t="shared" si="0"/>
        <v>7</v>
      </c>
      <c r="B8" s="18">
        <v>4</v>
      </c>
      <c r="C8" s="18" t="str">
        <v>PODEMOS-IU</v>
      </c>
      <c r="D8" s="18" t="str">
        <v>IZQUIERDA</v>
      </c>
      <c r="E8" s="33">
        <v>0.05</v>
      </c>
      <c r="F8" s="15">
        <f t="shared" si="1"/>
        <v>1.05</v>
      </c>
      <c r="H8">
        <v>0</v>
      </c>
      <c r="I8">
        <v>0</v>
      </c>
    </row>
    <row r="9" spans="1:9" x14ac:dyDescent="0.25">
      <c r="A9">
        <f t="shared" si="0"/>
        <v>8</v>
      </c>
      <c r="B9" s="18">
        <v>0</v>
      </c>
      <c r="C9" s="18">
        <v>0</v>
      </c>
      <c r="D9" s="18">
        <v>0</v>
      </c>
      <c r="E9" s="33"/>
      <c r="H9">
        <v>0</v>
      </c>
      <c r="I9">
        <v>0</v>
      </c>
    </row>
    <row r="10" spans="1:9" x14ac:dyDescent="0.25">
      <c r="A10">
        <f t="shared" si="0"/>
        <v>9</v>
      </c>
      <c r="B10" s="18">
        <v>5</v>
      </c>
      <c r="C10" s="18" t="str">
        <v>ERC-SOBIRANISTES</v>
      </c>
      <c r="D10" s="18" t="str">
        <v>NACIONALISTAS</v>
      </c>
      <c r="E10" s="33">
        <v>-2.5000000000000001E-2</v>
      </c>
      <c r="F10" s="15">
        <f t="shared" si="1"/>
        <v>0.97499999999999998</v>
      </c>
      <c r="H10">
        <v>0</v>
      </c>
      <c r="I10">
        <v>0</v>
      </c>
    </row>
    <row r="11" spans="1:9" x14ac:dyDescent="0.25">
      <c r="A11">
        <f t="shared" si="0"/>
        <v>10</v>
      </c>
      <c r="B11" s="18">
        <v>0</v>
      </c>
      <c r="C11" s="18">
        <v>0</v>
      </c>
      <c r="D11" s="18">
        <v>0</v>
      </c>
      <c r="E11" s="33"/>
      <c r="H11">
        <v>0</v>
      </c>
      <c r="I11">
        <v>-0.15</v>
      </c>
    </row>
    <row r="12" spans="1:9" x14ac:dyDescent="0.25">
      <c r="A12">
        <f t="shared" si="0"/>
        <v>11</v>
      </c>
      <c r="B12" s="18">
        <v>6</v>
      </c>
      <c r="C12" s="18" t="str">
        <v>Cs</v>
      </c>
      <c r="D12" s="18" t="str">
        <v>CENTRO</v>
      </c>
      <c r="E12" s="33"/>
      <c r="F12" s="15">
        <f t="shared" si="1"/>
        <v>1</v>
      </c>
      <c r="H12">
        <v>-1</v>
      </c>
      <c r="I12">
        <v>0</v>
      </c>
    </row>
    <row r="13" spans="1:9" x14ac:dyDescent="0.25">
      <c r="A13">
        <f t="shared" si="0"/>
        <v>12</v>
      </c>
      <c r="B13" s="18">
        <v>0</v>
      </c>
      <c r="C13" s="18">
        <v>0</v>
      </c>
      <c r="D13" s="18">
        <v>0</v>
      </c>
      <c r="E13" s="33"/>
      <c r="H13">
        <v>0</v>
      </c>
      <c r="I13">
        <v>0</v>
      </c>
    </row>
    <row r="14" spans="1:9" x14ac:dyDescent="0.25">
      <c r="A14">
        <f t="shared" si="0"/>
        <v>13</v>
      </c>
      <c r="B14" s="18">
        <v>7</v>
      </c>
      <c r="C14" s="18" t="str">
        <v>JxCAT-JUNTS</v>
      </c>
      <c r="D14" s="18" t="str">
        <v>NACIONALISTAS</v>
      </c>
      <c r="E14" s="33">
        <v>-2.5000000000000001E-2</v>
      </c>
      <c r="F14" s="15">
        <f t="shared" si="1"/>
        <v>0.97499999999999998</v>
      </c>
      <c r="H14">
        <v>0</v>
      </c>
      <c r="I14">
        <v>0</v>
      </c>
    </row>
    <row r="15" spans="1:9" x14ac:dyDescent="0.25">
      <c r="A15">
        <f t="shared" si="0"/>
        <v>14</v>
      </c>
      <c r="B15" s="18">
        <v>0</v>
      </c>
      <c r="C15" s="18">
        <v>0</v>
      </c>
      <c r="D15" s="18">
        <v>0</v>
      </c>
      <c r="E15" s="33"/>
      <c r="H15">
        <v>0</v>
      </c>
      <c r="I15">
        <v>0</v>
      </c>
    </row>
    <row r="16" spans="1:9" x14ac:dyDescent="0.25">
      <c r="A16">
        <f t="shared" si="0"/>
        <v>15</v>
      </c>
      <c r="B16" s="18">
        <v>8</v>
      </c>
      <c r="C16" s="18" t="str">
        <v>ECP-GUANYEM EL CANVI</v>
      </c>
      <c r="D16" s="18" t="str">
        <v>NACIONALISTAS</v>
      </c>
      <c r="E16" s="33">
        <v>-2.5000000000000001E-2</v>
      </c>
      <c r="F16" s="15">
        <f t="shared" si="1"/>
        <v>0.97499999999999998</v>
      </c>
      <c r="H16">
        <v>0</v>
      </c>
      <c r="I16">
        <v>0</v>
      </c>
    </row>
    <row r="17" spans="1:9" x14ac:dyDescent="0.25">
      <c r="A17">
        <f t="shared" si="0"/>
        <v>16</v>
      </c>
      <c r="B17" s="18">
        <v>0</v>
      </c>
      <c r="C17" s="18">
        <v>0</v>
      </c>
      <c r="D17" s="18">
        <v>0</v>
      </c>
      <c r="E17" s="33"/>
      <c r="H17">
        <v>0</v>
      </c>
      <c r="I17">
        <v>0</v>
      </c>
    </row>
    <row r="18" spans="1:9" x14ac:dyDescent="0.25">
      <c r="A18">
        <f t="shared" si="0"/>
        <v>17</v>
      </c>
      <c r="B18" s="18">
        <v>9</v>
      </c>
      <c r="C18" s="18" t="str">
        <v>EAJ-PNV</v>
      </c>
      <c r="D18" s="18" t="str">
        <v>NACIONALISTAS</v>
      </c>
      <c r="E18" s="33">
        <v>-2.5000000000000001E-2</v>
      </c>
      <c r="F18" s="15">
        <f t="shared" si="1"/>
        <v>0.97499999999999998</v>
      </c>
      <c r="H18">
        <v>0</v>
      </c>
      <c r="I18">
        <v>0</v>
      </c>
    </row>
    <row r="19" spans="1:9" x14ac:dyDescent="0.25">
      <c r="A19">
        <f t="shared" si="0"/>
        <v>18</v>
      </c>
      <c r="B19" s="18">
        <v>0</v>
      </c>
      <c r="C19" s="18">
        <v>0</v>
      </c>
      <c r="D19" s="18">
        <v>0</v>
      </c>
      <c r="E19" s="33"/>
      <c r="H19">
        <v>0</v>
      </c>
      <c r="I19">
        <v>0</v>
      </c>
    </row>
    <row r="20" spans="1:9" x14ac:dyDescent="0.25">
      <c r="A20">
        <f t="shared" si="0"/>
        <v>19</v>
      </c>
      <c r="B20" s="18">
        <v>10</v>
      </c>
      <c r="C20" s="18" t="str">
        <v>EH Bildu</v>
      </c>
      <c r="D20" s="18" t="str">
        <v>NACIONALISTAS</v>
      </c>
      <c r="E20" s="33">
        <v>-2.5000000000000001E-2</v>
      </c>
      <c r="F20" s="15">
        <f t="shared" si="1"/>
        <v>0.97499999999999998</v>
      </c>
      <c r="H20">
        <v>0</v>
      </c>
      <c r="I20">
        <v>0</v>
      </c>
    </row>
    <row r="21" spans="1:9" x14ac:dyDescent="0.25">
      <c r="A21">
        <f t="shared" si="0"/>
        <v>20</v>
      </c>
      <c r="B21" s="18">
        <v>0</v>
      </c>
      <c r="C21" s="18">
        <v>0</v>
      </c>
      <c r="D21" s="18">
        <v>0</v>
      </c>
      <c r="E21" s="33"/>
      <c r="H21">
        <v>0</v>
      </c>
      <c r="I21">
        <v>0</v>
      </c>
    </row>
    <row r="22" spans="1:9" x14ac:dyDescent="0.25">
      <c r="A22">
        <f t="shared" si="0"/>
        <v>21</v>
      </c>
      <c r="B22" s="18">
        <v>11</v>
      </c>
      <c r="C22" s="18" t="str">
        <v>MÁS PAÍS-EQUO</v>
      </c>
      <c r="D22" s="18" t="str">
        <v>IZQUIERDA</v>
      </c>
      <c r="E22" s="33">
        <v>0.05</v>
      </c>
      <c r="F22" s="15">
        <f t="shared" si="1"/>
        <v>1.05</v>
      </c>
      <c r="H22">
        <v>0</v>
      </c>
      <c r="I22">
        <v>0</v>
      </c>
    </row>
    <row r="23" spans="1:9" x14ac:dyDescent="0.25">
      <c r="A23">
        <f t="shared" si="0"/>
        <v>22</v>
      </c>
      <c r="B23" s="18">
        <v>0</v>
      </c>
      <c r="C23" s="18">
        <v>0</v>
      </c>
      <c r="D23" s="18">
        <v>0</v>
      </c>
      <c r="E23" s="33"/>
      <c r="H23">
        <v>0</v>
      </c>
      <c r="I23">
        <v>0</v>
      </c>
    </row>
    <row r="24" spans="1:9" x14ac:dyDescent="0.25">
      <c r="A24">
        <f t="shared" si="0"/>
        <v>23</v>
      </c>
      <c r="B24" s="18">
        <v>12</v>
      </c>
      <c r="C24" s="18" t="str">
        <v>CUP-PR</v>
      </c>
      <c r="D24" s="18" t="str">
        <v>NACIONALISTAS</v>
      </c>
      <c r="E24" s="33">
        <v>-2.5000000000000001E-2</v>
      </c>
      <c r="F24" s="15">
        <f t="shared" si="1"/>
        <v>0.97499999999999998</v>
      </c>
      <c r="H24">
        <v>0</v>
      </c>
      <c r="I24">
        <v>0</v>
      </c>
    </row>
    <row r="25" spans="1:9" x14ac:dyDescent="0.25">
      <c r="A25">
        <f t="shared" si="0"/>
        <v>24</v>
      </c>
      <c r="B25" s="18">
        <v>0</v>
      </c>
      <c r="C25" s="18">
        <v>0</v>
      </c>
      <c r="D25" s="18">
        <v>0</v>
      </c>
      <c r="E25" s="33"/>
      <c r="H25">
        <v>0</v>
      </c>
      <c r="I25">
        <v>0</v>
      </c>
    </row>
    <row r="26" spans="1:9" x14ac:dyDescent="0.25">
      <c r="A26">
        <f t="shared" si="0"/>
        <v>25</v>
      </c>
      <c r="B26" s="18">
        <v>13</v>
      </c>
      <c r="C26" s="18" t="str">
        <v>PODEMOS-EU</v>
      </c>
      <c r="D26" s="18" t="str">
        <v>NACIONALISTAS</v>
      </c>
      <c r="E26" s="33">
        <v>-2.5000000000000001E-2</v>
      </c>
      <c r="F26" s="15">
        <f t="shared" si="1"/>
        <v>0.97499999999999998</v>
      </c>
      <c r="H26">
        <v>0</v>
      </c>
      <c r="I26">
        <v>0</v>
      </c>
    </row>
    <row r="27" spans="1:9" x14ac:dyDescent="0.25">
      <c r="A27">
        <f t="shared" si="0"/>
        <v>26</v>
      </c>
      <c r="B27" s="18">
        <v>0</v>
      </c>
      <c r="C27" s="18">
        <v>0</v>
      </c>
      <c r="D27" s="18">
        <v>0</v>
      </c>
      <c r="E27" s="33"/>
      <c r="H27">
        <v>0</v>
      </c>
      <c r="I27">
        <v>0</v>
      </c>
    </row>
    <row r="28" spans="1:9" x14ac:dyDescent="0.25">
      <c r="A28">
        <f t="shared" si="0"/>
        <v>27</v>
      </c>
      <c r="B28" s="18">
        <v>14</v>
      </c>
      <c r="C28" s="18" t="str">
        <v>CCa-PNC-NC</v>
      </c>
      <c r="D28" s="18" t="str">
        <v>NACIONALISTAS</v>
      </c>
      <c r="E28" s="33">
        <v>-2.5000000000000001E-2</v>
      </c>
      <c r="F28" s="15">
        <f t="shared" si="1"/>
        <v>0.97499999999999998</v>
      </c>
      <c r="H28">
        <v>0</v>
      </c>
      <c r="I28">
        <v>0</v>
      </c>
    </row>
    <row r="29" spans="1:9" x14ac:dyDescent="0.25">
      <c r="A29">
        <f t="shared" si="0"/>
        <v>28</v>
      </c>
      <c r="B29" s="18">
        <v>0</v>
      </c>
      <c r="C29" s="18">
        <v>0</v>
      </c>
      <c r="D29" s="18">
        <v>0</v>
      </c>
      <c r="E29" s="33"/>
      <c r="H29">
        <v>0</v>
      </c>
      <c r="I29">
        <v>0</v>
      </c>
    </row>
    <row r="30" spans="1:9" x14ac:dyDescent="0.25">
      <c r="A30">
        <f t="shared" si="0"/>
        <v>29</v>
      </c>
      <c r="B30" s="18">
        <v>15</v>
      </c>
      <c r="C30" s="18" t="str">
        <v>NA+</v>
      </c>
      <c r="D30" s="18" t="str">
        <v>DERECHA</v>
      </c>
      <c r="E30" s="33">
        <v>0.02</v>
      </c>
      <c r="F30" s="15">
        <f t="shared" si="1"/>
        <v>1.02</v>
      </c>
      <c r="H30">
        <v>0</v>
      </c>
      <c r="I30">
        <v>0</v>
      </c>
    </row>
    <row r="31" spans="1:9" x14ac:dyDescent="0.25">
      <c r="A31">
        <f t="shared" si="0"/>
        <v>30</v>
      </c>
      <c r="B31" s="18">
        <v>0</v>
      </c>
      <c r="C31" s="18">
        <v>0</v>
      </c>
      <c r="D31" s="18">
        <v>0</v>
      </c>
      <c r="E31" s="33"/>
      <c r="H31">
        <v>0</v>
      </c>
      <c r="I31">
        <v>0</v>
      </c>
    </row>
    <row r="32" spans="1:9" x14ac:dyDescent="0.25">
      <c r="A32">
        <f t="shared" si="0"/>
        <v>31</v>
      </c>
      <c r="B32" s="18">
        <v>16</v>
      </c>
      <c r="C32" s="18" t="str">
        <v>MÉS COMPROMÍS</v>
      </c>
      <c r="D32" s="18" t="str">
        <v>NACIONALISTAS</v>
      </c>
      <c r="E32" s="33">
        <v>-2.5000000000000001E-2</v>
      </c>
      <c r="F32" s="15">
        <f t="shared" si="1"/>
        <v>0.97499999999999998</v>
      </c>
      <c r="H32">
        <v>0</v>
      </c>
      <c r="I32">
        <v>0</v>
      </c>
    </row>
    <row r="33" spans="1:9" x14ac:dyDescent="0.25">
      <c r="A33">
        <f t="shared" si="0"/>
        <v>32</v>
      </c>
      <c r="B33" s="18">
        <v>0</v>
      </c>
      <c r="C33" s="18">
        <v>0</v>
      </c>
      <c r="D33" s="18">
        <v>0</v>
      </c>
      <c r="E33" s="33"/>
      <c r="H33">
        <v>0</v>
      </c>
      <c r="I33">
        <v>0</v>
      </c>
    </row>
    <row r="34" spans="1:9" x14ac:dyDescent="0.25">
      <c r="A34">
        <f t="shared" si="0"/>
        <v>33</v>
      </c>
      <c r="B34" s="18">
        <v>17</v>
      </c>
      <c r="C34" s="18" t="str">
        <v>BNG</v>
      </c>
      <c r="D34" s="18" t="str">
        <v>NACIONALISTAS</v>
      </c>
      <c r="E34" s="33">
        <v>-2.5000000000000001E-2</v>
      </c>
      <c r="F34" s="15">
        <f t="shared" si="1"/>
        <v>0.97499999999999998</v>
      </c>
      <c r="H34">
        <v>0</v>
      </c>
      <c r="I34">
        <v>0</v>
      </c>
    </row>
    <row r="35" spans="1:9" x14ac:dyDescent="0.25">
      <c r="A35">
        <f t="shared" si="0"/>
        <v>34</v>
      </c>
      <c r="B35" s="18">
        <v>0</v>
      </c>
      <c r="C35" s="18">
        <v>0</v>
      </c>
      <c r="D35" s="18">
        <v>0</v>
      </c>
      <c r="E35" s="33"/>
      <c r="H35">
        <v>0</v>
      </c>
      <c r="I35">
        <v>0</v>
      </c>
    </row>
    <row r="36" spans="1:9" x14ac:dyDescent="0.25">
      <c r="A36">
        <f t="shared" si="0"/>
        <v>35</v>
      </c>
      <c r="B36" s="18">
        <v>18</v>
      </c>
      <c r="C36" s="18" t="str">
        <v>PRC</v>
      </c>
      <c r="D36" s="18" t="str">
        <v>OTROS</v>
      </c>
      <c r="E36" s="33">
        <v>-5.0000000000000001E-3</v>
      </c>
      <c r="F36" s="15">
        <f t="shared" si="1"/>
        <v>0.995</v>
      </c>
      <c r="H36">
        <v>0</v>
      </c>
      <c r="I36">
        <v>0</v>
      </c>
    </row>
    <row r="37" spans="1:9" x14ac:dyDescent="0.25">
      <c r="A37">
        <f t="shared" si="0"/>
        <v>36</v>
      </c>
      <c r="B37" s="18">
        <v>0</v>
      </c>
      <c r="C37" s="18">
        <v>0</v>
      </c>
      <c r="D37" s="18">
        <v>0</v>
      </c>
      <c r="E37" s="33"/>
      <c r="H37">
        <v>0</v>
      </c>
      <c r="I37">
        <v>0</v>
      </c>
    </row>
    <row r="38" spans="1:9" x14ac:dyDescent="0.25">
      <c r="A38">
        <f t="shared" si="0"/>
        <v>37</v>
      </c>
      <c r="B38" s="18">
        <v>19</v>
      </c>
      <c r="C38" s="18" t="str">
        <v>¡TERUEL EXISTE!</v>
      </c>
      <c r="D38" s="18" t="str">
        <v>OTROS</v>
      </c>
      <c r="E38" s="33">
        <v>-5.0000000000000001E-3</v>
      </c>
      <c r="F38" s="15">
        <f t="shared" si="1"/>
        <v>0.995</v>
      </c>
      <c r="H38">
        <v>0</v>
      </c>
      <c r="I38">
        <v>0</v>
      </c>
    </row>
    <row r="39" spans="1:9" x14ac:dyDescent="0.25">
      <c r="A39">
        <f t="shared" si="0"/>
        <v>38</v>
      </c>
      <c r="B39" s="18">
        <v>0</v>
      </c>
      <c r="C39" s="18">
        <v>0</v>
      </c>
      <c r="D39" s="18">
        <v>0</v>
      </c>
      <c r="E39" s="33"/>
      <c r="H39">
        <v>0</v>
      </c>
      <c r="I39">
        <v>0</v>
      </c>
    </row>
    <row r="40" spans="1:9" x14ac:dyDescent="0.25">
      <c r="A40">
        <f t="shared" si="0"/>
        <v>39</v>
      </c>
      <c r="B40" s="18">
        <v>20</v>
      </c>
      <c r="C40" s="18" t="str">
        <v>PACMA</v>
      </c>
      <c r="D40" s="18" t="str">
        <v>OTROS</v>
      </c>
      <c r="E40" s="33">
        <v>-5.0000000000000001E-3</v>
      </c>
      <c r="F40" s="15">
        <f t="shared" si="1"/>
        <v>0.995</v>
      </c>
      <c r="H40">
        <v>0</v>
      </c>
      <c r="I40">
        <v>0</v>
      </c>
    </row>
    <row r="41" spans="1:9" x14ac:dyDescent="0.25">
      <c r="A41">
        <f t="shared" si="0"/>
        <v>40</v>
      </c>
      <c r="B41" s="18">
        <v>0</v>
      </c>
      <c r="C41" s="18">
        <v>0</v>
      </c>
      <c r="D41" s="18">
        <v>0</v>
      </c>
      <c r="E41" s="33"/>
      <c r="H41">
        <v>0</v>
      </c>
      <c r="I41">
        <v>0</v>
      </c>
    </row>
    <row r="42" spans="1:9" x14ac:dyDescent="0.25">
      <c r="A42">
        <f t="shared" si="0"/>
        <v>41</v>
      </c>
      <c r="B42" s="18">
        <v>21</v>
      </c>
      <c r="C42" s="18" t="str">
        <v>MÁS PAÍS</v>
      </c>
      <c r="D42" s="18" t="str">
        <v>IZQUIERDA</v>
      </c>
      <c r="E42" s="33">
        <v>0.05</v>
      </c>
      <c r="F42" s="15">
        <f t="shared" si="1"/>
        <v>1.05</v>
      </c>
      <c r="H42">
        <v>0</v>
      </c>
      <c r="I42">
        <v>0</v>
      </c>
    </row>
    <row r="43" spans="1:9" x14ac:dyDescent="0.25">
      <c r="A43">
        <f t="shared" si="0"/>
        <v>42</v>
      </c>
      <c r="B43" s="18">
        <v>0</v>
      </c>
      <c r="C43" s="18">
        <v>0</v>
      </c>
      <c r="D43" s="18">
        <v>0</v>
      </c>
      <c r="E43" s="33"/>
      <c r="H43">
        <v>0</v>
      </c>
      <c r="I43">
        <v>0</v>
      </c>
    </row>
    <row r="44" spans="1:9" x14ac:dyDescent="0.25">
      <c r="A44">
        <f t="shared" si="0"/>
        <v>43</v>
      </c>
      <c r="B44" s="18">
        <v>22</v>
      </c>
      <c r="C44" s="18" t="str">
        <v>RECORTES CERO-GV</v>
      </c>
      <c r="D44" s="18" t="str">
        <v>OTROS</v>
      </c>
      <c r="E44" s="33">
        <v>-5.0000000000000001E-3</v>
      </c>
      <c r="F44" s="15">
        <f t="shared" si="1"/>
        <v>0.995</v>
      </c>
      <c r="H44">
        <v>0</v>
      </c>
      <c r="I44">
        <v>0</v>
      </c>
    </row>
    <row r="45" spans="1:9" x14ac:dyDescent="0.25">
      <c r="A45">
        <f t="shared" si="0"/>
        <v>44</v>
      </c>
      <c r="B45" s="18">
        <v>0</v>
      </c>
      <c r="C45" s="18">
        <v>0</v>
      </c>
      <c r="D45" s="18">
        <v>0</v>
      </c>
      <c r="E45" s="33"/>
      <c r="H45">
        <v>0</v>
      </c>
      <c r="I45">
        <v>0</v>
      </c>
    </row>
    <row r="46" spans="1:9" x14ac:dyDescent="0.25">
      <c r="A46">
        <f t="shared" si="0"/>
        <v>45</v>
      </c>
      <c r="B46" s="18">
        <v>23</v>
      </c>
      <c r="C46" s="18" t="str">
        <v>PUM+J</v>
      </c>
      <c r="D46" s="18" t="str">
        <v>OTROS</v>
      </c>
      <c r="E46" s="33">
        <v>-5.0000000000000001E-3</v>
      </c>
      <c r="F46" s="15">
        <f t="shared" si="1"/>
        <v>0.995</v>
      </c>
      <c r="H46">
        <v>0</v>
      </c>
      <c r="I46">
        <v>0</v>
      </c>
    </row>
    <row r="47" spans="1:9" x14ac:dyDescent="0.25">
      <c r="A47">
        <f t="shared" si="0"/>
        <v>46</v>
      </c>
      <c r="B47" s="18">
        <v>0</v>
      </c>
      <c r="C47" s="18">
        <v>0</v>
      </c>
      <c r="D47" s="18">
        <v>0</v>
      </c>
      <c r="E47" s="33"/>
      <c r="H47">
        <v>0</v>
      </c>
      <c r="I47">
        <v>0</v>
      </c>
    </row>
    <row r="48" spans="1:9" x14ac:dyDescent="0.25">
      <c r="A48">
        <f t="shared" si="0"/>
        <v>47</v>
      </c>
      <c r="B48" s="18">
        <v>24</v>
      </c>
      <c r="C48" s="18" t="str">
        <v>M PAÍS-CHA-EQUO</v>
      </c>
      <c r="D48" s="18" t="str">
        <v>OTROS</v>
      </c>
      <c r="E48" s="33">
        <v>-5.0000000000000001E-3</v>
      </c>
      <c r="F48" s="15">
        <f t="shared" si="1"/>
        <v>0.995</v>
      </c>
      <c r="H48">
        <v>0</v>
      </c>
      <c r="I48">
        <v>0</v>
      </c>
    </row>
    <row r="49" spans="1:9" x14ac:dyDescent="0.25">
      <c r="A49">
        <f t="shared" si="0"/>
        <v>48</v>
      </c>
      <c r="B49" s="18">
        <v>0</v>
      </c>
      <c r="C49" s="18">
        <v>0</v>
      </c>
      <c r="D49" s="18">
        <v>0</v>
      </c>
      <c r="E49" s="33"/>
      <c r="H49">
        <v>0</v>
      </c>
      <c r="I49">
        <v>0</v>
      </c>
    </row>
    <row r="50" spans="1:9" x14ac:dyDescent="0.25">
      <c r="A50">
        <f t="shared" si="0"/>
        <v>49</v>
      </c>
      <c r="B50" s="18">
        <v>25</v>
      </c>
      <c r="C50" s="18" t="str">
        <v>MÉS-ESQUERRA</v>
      </c>
      <c r="D50" s="18" t="str">
        <v>IZQUIERDA</v>
      </c>
      <c r="E50" s="33">
        <v>0.05</v>
      </c>
      <c r="F50" s="15">
        <f t="shared" si="1"/>
        <v>1.05</v>
      </c>
      <c r="H50">
        <v>0</v>
      </c>
      <c r="I50">
        <v>0</v>
      </c>
    </row>
    <row r="51" spans="1:9" x14ac:dyDescent="0.25">
      <c r="A51">
        <f t="shared" si="0"/>
        <v>50</v>
      </c>
      <c r="B51" s="18">
        <v>0</v>
      </c>
      <c r="C51" s="18">
        <v>0</v>
      </c>
      <c r="D51" s="18">
        <v>0</v>
      </c>
      <c r="E51" s="33"/>
      <c r="H51">
        <v>0</v>
      </c>
      <c r="I51">
        <v>0</v>
      </c>
    </row>
    <row r="52" spans="1:9" x14ac:dyDescent="0.25">
      <c r="A52">
        <f t="shared" si="0"/>
        <v>51</v>
      </c>
      <c r="B52" s="18">
        <v>26</v>
      </c>
      <c r="C52" s="18" t="str">
        <v>AxSÍ</v>
      </c>
      <c r="D52" s="18" t="str">
        <v>OTROS</v>
      </c>
      <c r="E52" s="33">
        <v>-5.0000000000000001E-3</v>
      </c>
      <c r="F52" s="15">
        <f t="shared" si="1"/>
        <v>0.995</v>
      </c>
      <c r="H52">
        <v>0</v>
      </c>
      <c r="I52">
        <v>0</v>
      </c>
    </row>
    <row r="53" spans="1:9" x14ac:dyDescent="0.25">
      <c r="A53">
        <f t="shared" si="0"/>
        <v>52</v>
      </c>
      <c r="B53" s="18">
        <v>0</v>
      </c>
      <c r="C53" s="18">
        <v>0</v>
      </c>
      <c r="D53" s="18">
        <v>0</v>
      </c>
      <c r="E53" s="33"/>
      <c r="H53">
        <v>0</v>
      </c>
      <c r="I53">
        <v>0</v>
      </c>
    </row>
    <row r="54" spans="1:9" x14ac:dyDescent="0.25">
      <c r="A54">
        <f t="shared" si="0"/>
        <v>53</v>
      </c>
      <c r="B54" s="18">
        <v>27</v>
      </c>
      <c r="C54" s="18" t="str">
        <v>PCPE</v>
      </c>
      <c r="D54" s="18" t="str">
        <v>IZQUIERDA</v>
      </c>
      <c r="E54" s="33">
        <v>0.05</v>
      </c>
      <c r="F54" s="15">
        <f t="shared" si="1"/>
        <v>1.05</v>
      </c>
      <c r="H54">
        <v>0</v>
      </c>
      <c r="I54">
        <v>0</v>
      </c>
    </row>
    <row r="55" spans="1:9" x14ac:dyDescent="0.25">
      <c r="A55">
        <f t="shared" si="0"/>
        <v>54</v>
      </c>
      <c r="B55" s="18">
        <v>0</v>
      </c>
      <c r="C55" s="18">
        <v>0</v>
      </c>
      <c r="D55" s="18">
        <v>0</v>
      </c>
      <c r="E55" s="33"/>
      <c r="H55">
        <v>0</v>
      </c>
      <c r="I55">
        <v>0</v>
      </c>
    </row>
    <row r="56" spans="1:9" x14ac:dyDescent="0.25">
      <c r="A56">
        <f t="shared" si="0"/>
        <v>55</v>
      </c>
      <c r="B56" s="18">
        <v>28</v>
      </c>
      <c r="C56" s="18" t="str">
        <v>PCTE</v>
      </c>
      <c r="D56" s="18" t="str">
        <v>IZQUIERDA</v>
      </c>
      <c r="E56" s="33">
        <v>0.05</v>
      </c>
      <c r="F56" s="15">
        <f t="shared" si="1"/>
        <v>1.05</v>
      </c>
      <c r="H56">
        <v>0</v>
      </c>
      <c r="I56">
        <v>0</v>
      </c>
    </row>
    <row r="57" spans="1:9" x14ac:dyDescent="0.25">
      <c r="A57">
        <f t="shared" si="0"/>
        <v>56</v>
      </c>
      <c r="B57" s="18">
        <v>0</v>
      </c>
      <c r="C57" s="18">
        <v>0</v>
      </c>
      <c r="D57" s="18">
        <v>0</v>
      </c>
      <c r="E57" s="33"/>
      <c r="H57">
        <v>0</v>
      </c>
      <c r="I57">
        <v>0</v>
      </c>
    </row>
    <row r="58" spans="1:9" x14ac:dyDescent="0.25">
      <c r="A58">
        <f t="shared" si="0"/>
        <v>57</v>
      </c>
      <c r="B58" s="18">
        <v>29</v>
      </c>
      <c r="C58" s="18" t="str">
        <v>GBAI</v>
      </c>
      <c r="D58" s="18" t="str">
        <v>IZQUIERDA</v>
      </c>
      <c r="E58" s="33">
        <v>0.05</v>
      </c>
      <c r="F58" s="15">
        <f t="shared" si="1"/>
        <v>1.05</v>
      </c>
      <c r="H58">
        <v>0</v>
      </c>
      <c r="I58">
        <v>0</v>
      </c>
    </row>
    <row r="59" spans="1:9" x14ac:dyDescent="0.25">
      <c r="A59">
        <f t="shared" si="0"/>
        <v>58</v>
      </c>
      <c r="B59" s="18">
        <v>0</v>
      </c>
      <c r="C59" s="18">
        <v>0</v>
      </c>
      <c r="D59" s="18">
        <v>0</v>
      </c>
      <c r="E59" s="33"/>
      <c r="H59">
        <v>0</v>
      </c>
      <c r="I59">
        <v>0</v>
      </c>
    </row>
    <row r="60" spans="1:9" x14ac:dyDescent="0.25">
      <c r="A60">
        <f t="shared" si="0"/>
        <v>59</v>
      </c>
      <c r="B60" s="18">
        <v>30</v>
      </c>
      <c r="C60" s="18" t="str">
        <v>UPL</v>
      </c>
      <c r="D60" s="18" t="str">
        <v>OTROS</v>
      </c>
      <c r="E60" s="33">
        <v>-5.0000000000000001E-3</v>
      </c>
      <c r="F60" s="15">
        <f t="shared" si="1"/>
        <v>0.995</v>
      </c>
      <c r="H60">
        <v>0</v>
      </c>
      <c r="I60">
        <v>0</v>
      </c>
    </row>
    <row r="61" spans="1:9" x14ac:dyDescent="0.25">
      <c r="A61">
        <f t="shared" si="0"/>
        <v>60</v>
      </c>
      <c r="B61" s="18">
        <v>0</v>
      </c>
      <c r="C61" s="18">
        <v>0</v>
      </c>
      <c r="D61" s="18">
        <v>0</v>
      </c>
      <c r="E61" s="33"/>
      <c r="H61">
        <v>0</v>
      </c>
      <c r="I61">
        <v>0</v>
      </c>
    </row>
    <row r="62" spans="1:9" x14ac:dyDescent="0.25">
      <c r="A62">
        <f t="shared" si="0"/>
        <v>61</v>
      </c>
      <c r="B62" s="18">
        <v>31</v>
      </c>
      <c r="C62" s="18" t="str">
        <v>PCOE</v>
      </c>
      <c r="D62" s="18" t="str">
        <v>IZQUIERDA</v>
      </c>
      <c r="E62" s="33">
        <v>0.05</v>
      </c>
      <c r="F62" s="15">
        <f t="shared" si="1"/>
        <v>1.05</v>
      </c>
      <c r="H62">
        <v>0</v>
      </c>
      <c r="I62">
        <v>0</v>
      </c>
    </row>
    <row r="63" spans="1:9" x14ac:dyDescent="0.25">
      <c r="A63">
        <f t="shared" si="0"/>
        <v>62</v>
      </c>
      <c r="B63" s="18">
        <v>0</v>
      </c>
      <c r="C63" s="18">
        <v>0</v>
      </c>
      <c r="D63" s="18">
        <v>0</v>
      </c>
      <c r="E63" s="33"/>
      <c r="H63">
        <v>0</v>
      </c>
      <c r="I63">
        <v>0</v>
      </c>
    </row>
    <row r="64" spans="1:9" x14ac:dyDescent="0.25">
      <c r="A64">
        <f t="shared" si="0"/>
        <v>63</v>
      </c>
      <c r="B64" s="18">
        <v>32</v>
      </c>
      <c r="C64" s="18" t="str">
        <v>CpM</v>
      </c>
      <c r="D64" s="18" t="str">
        <v>IZQUIERDA</v>
      </c>
      <c r="E64" s="33">
        <v>0.05</v>
      </c>
      <c r="F64" s="15">
        <f t="shared" si="1"/>
        <v>1.05</v>
      </c>
      <c r="H64">
        <v>0</v>
      </c>
      <c r="I64">
        <v>0</v>
      </c>
    </row>
    <row r="65" spans="1:9" x14ac:dyDescent="0.25">
      <c r="A65">
        <f t="shared" si="0"/>
        <v>64</v>
      </c>
      <c r="B65" s="18">
        <v>0</v>
      </c>
      <c r="C65" s="18">
        <v>0</v>
      </c>
      <c r="D65" s="18">
        <v>0</v>
      </c>
      <c r="E65" s="33"/>
      <c r="H65">
        <v>0</v>
      </c>
      <c r="I65">
        <v>0</v>
      </c>
    </row>
    <row r="66" spans="1:9" x14ac:dyDescent="0.25">
      <c r="A66">
        <f t="shared" si="0"/>
        <v>65</v>
      </c>
      <c r="B66" s="18">
        <v>33</v>
      </c>
      <c r="C66" s="18" t="str">
        <v>EB</v>
      </c>
      <c r="D66" s="18" t="str">
        <v>OTROS</v>
      </c>
      <c r="E66" s="33">
        <v>-5.0000000000000001E-3</v>
      </c>
      <c r="F66" s="15">
        <f t="shared" si="1"/>
        <v>0.995</v>
      </c>
      <c r="H66">
        <v>0</v>
      </c>
      <c r="I66">
        <v>0</v>
      </c>
    </row>
    <row r="67" spans="1:9" x14ac:dyDescent="0.25">
      <c r="A67">
        <f t="shared" si="0"/>
        <v>66</v>
      </c>
      <c r="B67" s="18">
        <v>0</v>
      </c>
      <c r="C67" s="18">
        <v>0</v>
      </c>
      <c r="D67" s="18">
        <v>0</v>
      </c>
      <c r="E67" s="33"/>
      <c r="H67">
        <v>0</v>
      </c>
      <c r="I67">
        <v>0</v>
      </c>
    </row>
    <row r="68" spans="1:9" x14ac:dyDescent="0.25">
      <c r="A68">
        <f t="shared" ref="A68:A131" si="2">+A67+1</f>
        <v>67</v>
      </c>
      <c r="B68" s="18">
        <v>34</v>
      </c>
      <c r="C68" s="18" t="str">
        <v>ERPV</v>
      </c>
      <c r="D68" s="18" t="str">
        <v>NACIONALISTAS</v>
      </c>
      <c r="E68" s="33">
        <v>-2.5000000000000001E-2</v>
      </c>
      <c r="F68" s="15">
        <f t="shared" ref="F68:F130" si="3">1+E68</f>
        <v>0.97499999999999998</v>
      </c>
      <c r="H68">
        <v>0</v>
      </c>
      <c r="I68">
        <v>0</v>
      </c>
    </row>
    <row r="69" spans="1:9" x14ac:dyDescent="0.25">
      <c r="A69">
        <f t="shared" si="2"/>
        <v>68</v>
      </c>
      <c r="B69" s="18">
        <v>0</v>
      </c>
      <c r="C69" s="18">
        <v>0</v>
      </c>
      <c r="D69" s="18">
        <v>0</v>
      </c>
      <c r="E69" s="33"/>
      <c r="H69">
        <v>0</v>
      </c>
      <c r="I69">
        <v>0</v>
      </c>
    </row>
    <row r="70" spans="1:9" x14ac:dyDescent="0.25">
      <c r="A70">
        <f t="shared" si="2"/>
        <v>69</v>
      </c>
      <c r="B70" s="18">
        <v>35</v>
      </c>
      <c r="C70" s="18" t="str">
        <v>XAV</v>
      </c>
      <c r="D70" s="18" t="str">
        <v>OTROS</v>
      </c>
      <c r="E70" s="33">
        <v>-5.0000000000000001E-3</v>
      </c>
      <c r="F70" s="15">
        <f t="shared" si="3"/>
        <v>0.995</v>
      </c>
      <c r="H70">
        <v>0</v>
      </c>
      <c r="I70">
        <v>0</v>
      </c>
    </row>
    <row r="71" spans="1:9" x14ac:dyDescent="0.25">
      <c r="A71">
        <f t="shared" si="2"/>
        <v>70</v>
      </c>
      <c r="B71" s="18">
        <v>0</v>
      </c>
      <c r="C71" s="18">
        <v>0</v>
      </c>
      <c r="D71" s="18">
        <v>0</v>
      </c>
      <c r="E71" s="33"/>
      <c r="H71">
        <v>0</v>
      </c>
      <c r="I71">
        <v>0</v>
      </c>
    </row>
    <row r="72" spans="1:9" x14ac:dyDescent="0.25">
      <c r="A72">
        <f t="shared" si="2"/>
        <v>71</v>
      </c>
      <c r="B72" s="18">
        <v>36</v>
      </c>
      <c r="C72" s="18" t="str">
        <v>AVANT ADELANTE LOS VERDES</v>
      </c>
      <c r="D72" s="18" t="str">
        <v>OTROS</v>
      </c>
      <c r="E72" s="33">
        <v>-5.0000000000000001E-3</v>
      </c>
      <c r="F72" s="15">
        <f t="shared" si="3"/>
        <v>0.995</v>
      </c>
      <c r="H72">
        <v>0</v>
      </c>
      <c r="I72">
        <v>0</v>
      </c>
    </row>
    <row r="73" spans="1:9" x14ac:dyDescent="0.25">
      <c r="A73">
        <f t="shared" si="2"/>
        <v>72</v>
      </c>
      <c r="B73" s="18">
        <v>0</v>
      </c>
      <c r="C73" s="18">
        <v>0</v>
      </c>
      <c r="D73" s="18">
        <v>0</v>
      </c>
      <c r="E73" s="33"/>
      <c r="H73">
        <v>0</v>
      </c>
      <c r="I73">
        <v>0</v>
      </c>
    </row>
    <row r="74" spans="1:9" x14ac:dyDescent="0.25">
      <c r="A74">
        <f t="shared" si="2"/>
        <v>73</v>
      </c>
      <c r="B74" s="18">
        <v>37</v>
      </c>
      <c r="C74" s="18" t="str">
        <v>VERDES</v>
      </c>
      <c r="D74" s="18" t="str">
        <v>OTROS</v>
      </c>
      <c r="E74" s="33">
        <v>-5.0000000000000001E-3</v>
      </c>
      <c r="F74" s="15">
        <f t="shared" si="3"/>
        <v>0.995</v>
      </c>
      <c r="H74">
        <v>0</v>
      </c>
      <c r="I74">
        <v>0</v>
      </c>
    </row>
    <row r="75" spans="1:9" x14ac:dyDescent="0.25">
      <c r="A75">
        <f t="shared" si="2"/>
        <v>74</v>
      </c>
      <c r="B75" s="18">
        <v>0</v>
      </c>
      <c r="C75" s="18">
        <v>0</v>
      </c>
      <c r="D75" s="18">
        <v>0</v>
      </c>
      <c r="E75" s="33"/>
      <c r="H75">
        <v>0</v>
      </c>
      <c r="I75">
        <v>0</v>
      </c>
    </row>
    <row r="76" spans="1:9" x14ac:dyDescent="0.25">
      <c r="A76">
        <f t="shared" si="2"/>
        <v>75</v>
      </c>
      <c r="B76" s="18">
        <v>38</v>
      </c>
      <c r="C76" s="18" t="str">
        <v>PH</v>
      </c>
      <c r="D76" s="18" t="str">
        <v>OTROS</v>
      </c>
      <c r="E76" s="33">
        <v>-5.0000000000000001E-3</v>
      </c>
      <c r="F76" s="15">
        <f t="shared" si="3"/>
        <v>0.995</v>
      </c>
      <c r="H76">
        <v>0</v>
      </c>
      <c r="I76">
        <v>0</v>
      </c>
    </row>
    <row r="77" spans="1:9" x14ac:dyDescent="0.25">
      <c r="A77">
        <f t="shared" si="2"/>
        <v>76</v>
      </c>
      <c r="B77" s="18">
        <v>0</v>
      </c>
      <c r="C77" s="18">
        <v>0</v>
      </c>
      <c r="D77" s="18">
        <v>0</v>
      </c>
      <c r="E77" s="33"/>
      <c r="H77">
        <v>0</v>
      </c>
      <c r="I77">
        <v>0</v>
      </c>
    </row>
    <row r="78" spans="1:9" x14ac:dyDescent="0.25">
      <c r="A78">
        <f t="shared" si="2"/>
        <v>77</v>
      </c>
      <c r="B78" s="18">
        <v>39</v>
      </c>
      <c r="C78" s="18" t="str">
        <v>I.Fem</v>
      </c>
      <c r="D78" s="18" t="str">
        <v>OTROS</v>
      </c>
      <c r="E78" s="33">
        <v>-5.0000000000000001E-3</v>
      </c>
      <c r="F78" s="15">
        <f t="shared" si="3"/>
        <v>0.995</v>
      </c>
      <c r="H78">
        <v>0</v>
      </c>
      <c r="I78">
        <v>0</v>
      </c>
    </row>
    <row r="79" spans="1:9" x14ac:dyDescent="0.25">
      <c r="A79">
        <f t="shared" si="2"/>
        <v>78</v>
      </c>
      <c r="B79" s="18">
        <v>0</v>
      </c>
      <c r="C79" s="18">
        <v>0</v>
      </c>
      <c r="D79" s="18">
        <v>0</v>
      </c>
      <c r="E79" s="33"/>
      <c r="H79">
        <v>0</v>
      </c>
      <c r="I79">
        <v>0</v>
      </c>
    </row>
    <row r="80" spans="1:9" x14ac:dyDescent="0.25">
      <c r="A80">
        <f t="shared" si="2"/>
        <v>79</v>
      </c>
      <c r="B80" s="18">
        <v>40</v>
      </c>
      <c r="C80" s="18" t="str">
        <v>UIG-SOM-CUIDES</v>
      </c>
      <c r="D80" s="18" t="str">
        <v>NACIONALISTAS</v>
      </c>
      <c r="E80" s="33">
        <v>-2.5000000000000001E-2</v>
      </c>
      <c r="F80" s="15">
        <f t="shared" si="3"/>
        <v>0.97499999999999998</v>
      </c>
      <c r="H80">
        <v>0</v>
      </c>
      <c r="I80">
        <v>0</v>
      </c>
    </row>
    <row r="81" spans="1:9" x14ac:dyDescent="0.25">
      <c r="A81">
        <f t="shared" si="2"/>
        <v>80</v>
      </c>
      <c r="B81" s="18">
        <v>0</v>
      </c>
      <c r="C81" s="18">
        <v>0</v>
      </c>
      <c r="D81" s="18">
        <v>0</v>
      </c>
      <c r="E81" s="33"/>
      <c r="H81">
        <v>0</v>
      </c>
      <c r="I81">
        <v>0</v>
      </c>
    </row>
    <row r="82" spans="1:9" x14ac:dyDescent="0.25">
      <c r="A82">
        <f t="shared" si="2"/>
        <v>81</v>
      </c>
      <c r="B82" s="18">
        <v>41</v>
      </c>
      <c r="C82" s="18" t="str">
        <v>SOMOS REGIÓN</v>
      </c>
      <c r="D82" s="18" t="str">
        <v>OTROS</v>
      </c>
      <c r="E82" s="33">
        <v>-5.0000000000000001E-3</v>
      </c>
      <c r="F82" s="15">
        <f t="shared" si="3"/>
        <v>0.995</v>
      </c>
      <c r="H82">
        <v>0</v>
      </c>
      <c r="I82">
        <v>0</v>
      </c>
    </row>
    <row r="83" spans="1:9" x14ac:dyDescent="0.25">
      <c r="A83">
        <f t="shared" si="2"/>
        <v>82</v>
      </c>
      <c r="B83" s="18">
        <v>0</v>
      </c>
      <c r="C83" s="18">
        <v>0</v>
      </c>
      <c r="D83" s="18">
        <v>0</v>
      </c>
      <c r="E83" s="33"/>
      <c r="H83">
        <v>0</v>
      </c>
      <c r="I83">
        <v>0</v>
      </c>
    </row>
    <row r="84" spans="1:9" x14ac:dyDescent="0.25">
      <c r="A84">
        <f t="shared" si="2"/>
        <v>83</v>
      </c>
      <c r="B84" s="18">
        <v>42</v>
      </c>
      <c r="C84" s="18" t="str">
        <v>IZQP</v>
      </c>
      <c r="D84" s="18" t="str">
        <v>IZQUIERDA</v>
      </c>
      <c r="E84" s="33">
        <v>0.05</v>
      </c>
      <c r="F84" s="15">
        <f t="shared" si="3"/>
        <v>1.05</v>
      </c>
      <c r="H84">
        <v>0</v>
      </c>
      <c r="I84">
        <v>0</v>
      </c>
    </row>
    <row r="85" spans="1:9" x14ac:dyDescent="0.25">
      <c r="A85">
        <f t="shared" si="2"/>
        <v>84</v>
      </c>
      <c r="B85" s="18">
        <v>0</v>
      </c>
      <c r="C85" s="18">
        <v>0</v>
      </c>
      <c r="D85" s="18">
        <v>0</v>
      </c>
      <c r="E85" s="33"/>
      <c r="H85">
        <v>0</v>
      </c>
      <c r="I85">
        <v>0</v>
      </c>
    </row>
    <row r="86" spans="1:9" x14ac:dyDescent="0.25">
      <c r="A86">
        <f t="shared" si="2"/>
        <v>85</v>
      </c>
      <c r="B86" s="18">
        <v>43</v>
      </c>
      <c r="C86" s="18" t="str">
        <v>AHORA CANARIAS</v>
      </c>
      <c r="D86" s="18" t="str">
        <v>OTROS</v>
      </c>
      <c r="E86" s="33">
        <v>-5.0000000000000001E-3</v>
      </c>
      <c r="F86" s="15">
        <f t="shared" si="3"/>
        <v>0.995</v>
      </c>
      <c r="H86">
        <v>0</v>
      </c>
      <c r="I86">
        <v>0</v>
      </c>
    </row>
    <row r="87" spans="1:9" x14ac:dyDescent="0.25">
      <c r="A87">
        <f t="shared" si="2"/>
        <v>86</v>
      </c>
      <c r="B87" s="18">
        <v>0</v>
      </c>
      <c r="C87" s="18">
        <v>0</v>
      </c>
      <c r="D87" s="18">
        <v>0</v>
      </c>
      <c r="E87" s="33"/>
      <c r="H87">
        <v>0</v>
      </c>
      <c r="I87">
        <v>0</v>
      </c>
    </row>
    <row r="88" spans="1:9" x14ac:dyDescent="0.25">
      <c r="A88">
        <f t="shared" si="2"/>
        <v>87</v>
      </c>
      <c r="B88" s="18">
        <v>44</v>
      </c>
      <c r="C88" s="18" t="str">
        <v>CONTIGO</v>
      </c>
      <c r="D88" s="18" t="str">
        <v>CENTRO</v>
      </c>
      <c r="E88" s="33"/>
      <c r="F88" s="15">
        <f t="shared" si="3"/>
        <v>1</v>
      </c>
      <c r="H88">
        <v>0</v>
      </c>
      <c r="I88">
        <v>0</v>
      </c>
    </row>
    <row r="89" spans="1:9" x14ac:dyDescent="0.25">
      <c r="A89">
        <f t="shared" si="2"/>
        <v>88</v>
      </c>
      <c r="B89" s="18">
        <v>0</v>
      </c>
      <c r="C89" s="18">
        <v>0</v>
      </c>
      <c r="D89" s="18">
        <v>0</v>
      </c>
      <c r="E89" s="33"/>
      <c r="H89">
        <v>0</v>
      </c>
      <c r="I89">
        <v>0</v>
      </c>
    </row>
    <row r="90" spans="1:9" x14ac:dyDescent="0.25">
      <c r="A90">
        <f t="shared" si="2"/>
        <v>89</v>
      </c>
      <c r="B90" s="18">
        <v>45</v>
      </c>
      <c r="C90" s="18" t="str">
        <v>CHA</v>
      </c>
      <c r="D90" s="18" t="str">
        <v>OTROS</v>
      </c>
      <c r="E90" s="33">
        <v>-5.0000000000000001E-3</v>
      </c>
      <c r="F90" s="15">
        <f t="shared" si="3"/>
        <v>0.995</v>
      </c>
      <c r="H90">
        <v>0</v>
      </c>
      <c r="I90">
        <v>0</v>
      </c>
    </row>
    <row r="91" spans="1:9" x14ac:dyDescent="0.25">
      <c r="A91">
        <f t="shared" si="2"/>
        <v>90</v>
      </c>
      <c r="B91" s="18">
        <v>0</v>
      </c>
      <c r="C91" s="18">
        <v>0</v>
      </c>
      <c r="D91" s="18">
        <v>0</v>
      </c>
      <c r="E91" s="33"/>
      <c r="H91">
        <v>0</v>
      </c>
      <c r="I91">
        <v>0</v>
      </c>
    </row>
    <row r="92" spans="1:9" x14ac:dyDescent="0.25">
      <c r="A92">
        <f t="shared" si="2"/>
        <v>91</v>
      </c>
      <c r="B92" s="18">
        <v>46</v>
      </c>
      <c r="C92" s="18" t="str">
        <v>PPSO</v>
      </c>
      <c r="D92" s="18" t="str">
        <v>OTROS</v>
      </c>
      <c r="E92" s="33">
        <v>-5.0000000000000001E-3</v>
      </c>
      <c r="F92" s="15">
        <f t="shared" si="3"/>
        <v>0.995</v>
      </c>
      <c r="H92">
        <v>0</v>
      </c>
      <c r="I92">
        <v>0</v>
      </c>
    </row>
    <row r="93" spans="1:9" x14ac:dyDescent="0.25">
      <c r="A93">
        <f t="shared" si="2"/>
        <v>92</v>
      </c>
      <c r="B93" s="18">
        <v>0</v>
      </c>
      <c r="C93" s="18">
        <v>0</v>
      </c>
      <c r="D93" s="18">
        <v>0</v>
      </c>
      <c r="E93" s="33"/>
      <c r="H93">
        <v>0</v>
      </c>
      <c r="I93">
        <v>0</v>
      </c>
    </row>
    <row r="94" spans="1:9" x14ac:dyDescent="0.25">
      <c r="A94">
        <f t="shared" si="2"/>
        <v>93</v>
      </c>
      <c r="B94" s="18">
        <v>47</v>
      </c>
      <c r="C94" s="18" t="str">
        <v>EXTREMADURA UNIDA</v>
      </c>
      <c r="D94" s="18" t="str">
        <v>OTROS</v>
      </c>
      <c r="E94" s="33">
        <v>-5.0000000000000001E-3</v>
      </c>
      <c r="F94" s="15">
        <f t="shared" si="3"/>
        <v>0.995</v>
      </c>
      <c r="H94">
        <v>0</v>
      </c>
      <c r="I94">
        <v>0</v>
      </c>
    </row>
    <row r="95" spans="1:9" x14ac:dyDescent="0.25">
      <c r="A95">
        <f t="shared" si="2"/>
        <v>94</v>
      </c>
      <c r="B95" s="18">
        <v>0</v>
      </c>
      <c r="C95" s="18">
        <v>0</v>
      </c>
      <c r="D95" s="18">
        <v>0</v>
      </c>
      <c r="E95" s="33"/>
      <c r="H95">
        <v>0</v>
      </c>
      <c r="I95">
        <v>0</v>
      </c>
    </row>
    <row r="96" spans="1:9" x14ac:dyDescent="0.25">
      <c r="A96">
        <f t="shared" si="2"/>
        <v>95</v>
      </c>
      <c r="B96" s="18">
        <v>48</v>
      </c>
      <c r="C96" s="18" t="str">
        <v>PDSJE</v>
      </c>
      <c r="D96" s="18" t="str">
        <v>OTROS</v>
      </c>
      <c r="E96" s="33">
        <v>-5.0000000000000001E-3</v>
      </c>
      <c r="F96" s="15">
        <f t="shared" si="3"/>
        <v>0.995</v>
      </c>
      <c r="H96">
        <v>0</v>
      </c>
      <c r="I96">
        <v>0</v>
      </c>
    </row>
    <row r="97" spans="1:9" x14ac:dyDescent="0.25">
      <c r="A97">
        <f t="shared" si="2"/>
        <v>96</v>
      </c>
      <c r="B97" s="18">
        <v>0</v>
      </c>
      <c r="C97" s="18">
        <v>0</v>
      </c>
      <c r="D97" s="18">
        <v>0</v>
      </c>
      <c r="E97" s="33"/>
      <c r="H97">
        <v>0</v>
      </c>
      <c r="I97">
        <v>0</v>
      </c>
    </row>
    <row r="98" spans="1:9" x14ac:dyDescent="0.25">
      <c r="A98">
        <f t="shared" si="2"/>
        <v>97</v>
      </c>
      <c r="B98" s="18">
        <v>49</v>
      </c>
      <c r="C98" s="18" t="str">
        <v>P-LIB</v>
      </c>
      <c r="D98" s="18" t="str">
        <v>OTROS</v>
      </c>
      <c r="E98" s="33">
        <v>-5.0000000000000001E-3</v>
      </c>
      <c r="F98" s="15">
        <f t="shared" si="3"/>
        <v>0.995</v>
      </c>
      <c r="H98">
        <v>0</v>
      </c>
      <c r="I98">
        <v>0</v>
      </c>
    </row>
    <row r="99" spans="1:9" x14ac:dyDescent="0.25">
      <c r="A99">
        <f t="shared" si="2"/>
        <v>98</v>
      </c>
      <c r="B99" s="18">
        <v>0</v>
      </c>
      <c r="C99" s="18">
        <v>0</v>
      </c>
      <c r="D99" s="18">
        <v>0</v>
      </c>
      <c r="E99" s="33"/>
      <c r="H99">
        <v>0</v>
      </c>
      <c r="I99">
        <v>0</v>
      </c>
    </row>
    <row r="100" spans="1:9" x14ac:dyDescent="0.25">
      <c r="A100">
        <f t="shared" si="2"/>
        <v>99</v>
      </c>
      <c r="B100" s="18">
        <v>50</v>
      </c>
      <c r="C100" s="18" t="str">
        <v>MAS</v>
      </c>
      <c r="D100" s="18" t="str">
        <v>IZQUIERDA</v>
      </c>
      <c r="E100" s="33">
        <v>0.05</v>
      </c>
      <c r="F100" s="15">
        <f t="shared" si="3"/>
        <v>1.05</v>
      </c>
      <c r="H100">
        <v>0</v>
      </c>
      <c r="I100">
        <v>0</v>
      </c>
    </row>
    <row r="101" spans="1:9" x14ac:dyDescent="0.25">
      <c r="A101">
        <f t="shared" si="2"/>
        <v>100</v>
      </c>
      <c r="B101" s="18">
        <v>0</v>
      </c>
      <c r="C101" s="18">
        <v>0</v>
      </c>
      <c r="D101" s="18">
        <v>0</v>
      </c>
      <c r="E101" s="33"/>
      <c r="H101">
        <v>0</v>
      </c>
      <c r="I101">
        <v>0</v>
      </c>
    </row>
    <row r="102" spans="1:9" x14ac:dyDescent="0.25">
      <c r="A102">
        <f t="shared" si="2"/>
        <v>101</v>
      </c>
      <c r="B102" s="18">
        <v>51</v>
      </c>
      <c r="C102" s="18" t="str">
        <v>UNIDOS SÍ-ACPS-Def</v>
      </c>
      <c r="D102" s="18" t="str">
        <v>OTROS</v>
      </c>
      <c r="E102" s="33">
        <v>-5.0000000000000001E-3</v>
      </c>
      <c r="F102" s="15">
        <f t="shared" si="3"/>
        <v>0.995</v>
      </c>
      <c r="H102">
        <v>0</v>
      </c>
      <c r="I102">
        <v>0</v>
      </c>
    </row>
    <row r="103" spans="1:9" x14ac:dyDescent="0.25">
      <c r="A103">
        <f t="shared" si="2"/>
        <v>102</v>
      </c>
      <c r="B103" s="18">
        <v>0</v>
      </c>
      <c r="C103" s="18">
        <v>0</v>
      </c>
      <c r="D103" s="18">
        <v>0</v>
      </c>
      <c r="E103" s="33"/>
      <c r="H103">
        <v>0</v>
      </c>
      <c r="I103">
        <v>0</v>
      </c>
    </row>
    <row r="104" spans="1:9" x14ac:dyDescent="0.25">
      <c r="A104">
        <f t="shared" si="2"/>
        <v>103</v>
      </c>
      <c r="B104" s="18">
        <v>52</v>
      </c>
      <c r="C104" s="18" t="str">
        <v>PREPAL</v>
      </c>
      <c r="D104" s="18" t="str">
        <v>OTROS</v>
      </c>
      <c r="E104" s="33">
        <v>-5.0000000000000001E-3</v>
      </c>
      <c r="F104" s="15">
        <f t="shared" si="3"/>
        <v>0.995</v>
      </c>
      <c r="H104">
        <v>0</v>
      </c>
      <c r="I104">
        <v>0</v>
      </c>
    </row>
    <row r="105" spans="1:9" x14ac:dyDescent="0.25">
      <c r="A105">
        <f t="shared" si="2"/>
        <v>104</v>
      </c>
      <c r="B105" s="18">
        <v>0</v>
      </c>
      <c r="C105" s="18">
        <v>0</v>
      </c>
      <c r="D105" s="18">
        <v>0</v>
      </c>
      <c r="E105" s="33"/>
      <c r="H105">
        <v>0</v>
      </c>
      <c r="I105">
        <v>0</v>
      </c>
    </row>
    <row r="106" spans="1:9" x14ac:dyDescent="0.25">
      <c r="A106">
        <f t="shared" si="2"/>
        <v>105</v>
      </c>
      <c r="B106" s="18">
        <v>53</v>
      </c>
      <c r="C106" s="18" t="str">
        <v>ANDECHA</v>
      </c>
      <c r="D106" s="18" t="str">
        <v>OTROS</v>
      </c>
      <c r="E106" s="33">
        <v>-5.0000000000000001E-3</v>
      </c>
      <c r="F106" s="15">
        <f t="shared" si="3"/>
        <v>0.995</v>
      </c>
      <c r="H106">
        <v>0</v>
      </c>
      <c r="I106">
        <v>0</v>
      </c>
    </row>
    <row r="107" spans="1:9" x14ac:dyDescent="0.25">
      <c r="A107">
        <f t="shared" si="2"/>
        <v>106</v>
      </c>
      <c r="B107" s="18">
        <v>0</v>
      </c>
      <c r="C107" s="18">
        <v>0</v>
      </c>
      <c r="D107" s="18">
        <v>0</v>
      </c>
      <c r="E107" s="33"/>
      <c r="H107">
        <v>0</v>
      </c>
      <c r="I107">
        <v>0</v>
      </c>
    </row>
    <row r="108" spans="1:9" x14ac:dyDescent="0.25">
      <c r="A108">
        <f t="shared" si="2"/>
        <v>107</v>
      </c>
      <c r="B108" s="18">
        <v>54</v>
      </c>
      <c r="C108" s="18" t="str">
        <v>MDyC</v>
      </c>
      <c r="D108" s="18" t="str">
        <v>OTROS</v>
      </c>
      <c r="E108" s="33">
        <v>-5.0000000000000001E-3</v>
      </c>
      <c r="F108" s="15">
        <f t="shared" si="3"/>
        <v>0.995</v>
      </c>
      <c r="H108">
        <v>0</v>
      </c>
      <c r="I108">
        <v>0</v>
      </c>
    </row>
    <row r="109" spans="1:9" x14ac:dyDescent="0.25">
      <c r="A109">
        <f t="shared" si="2"/>
        <v>108</v>
      </c>
      <c r="B109" s="18">
        <v>0</v>
      </c>
      <c r="C109" s="18">
        <v>0</v>
      </c>
      <c r="D109" s="18">
        <v>0</v>
      </c>
      <c r="E109" s="33"/>
      <c r="H109">
        <v>0</v>
      </c>
      <c r="I109">
        <v>0</v>
      </c>
    </row>
    <row r="110" spans="1:9" x14ac:dyDescent="0.25">
      <c r="A110">
        <f t="shared" si="2"/>
        <v>109</v>
      </c>
      <c r="B110" s="18">
        <v>55</v>
      </c>
      <c r="C110" s="18" t="str">
        <v>PYLN</v>
      </c>
      <c r="D110" s="18" t="str">
        <v>OTROS</v>
      </c>
      <c r="E110" s="33">
        <v>-5.0000000000000001E-3</v>
      </c>
      <c r="F110" s="15">
        <f t="shared" si="3"/>
        <v>0.995</v>
      </c>
      <c r="H110">
        <v>0</v>
      </c>
      <c r="I110">
        <v>0</v>
      </c>
    </row>
    <row r="111" spans="1:9" x14ac:dyDescent="0.25">
      <c r="A111">
        <f t="shared" si="2"/>
        <v>110</v>
      </c>
      <c r="B111" s="18">
        <v>0</v>
      </c>
      <c r="C111" s="18">
        <v>0</v>
      </c>
      <c r="D111" s="18">
        <v>0</v>
      </c>
      <c r="E111" s="33"/>
      <c r="H111">
        <v>0</v>
      </c>
      <c r="I111">
        <v>0</v>
      </c>
    </row>
    <row r="112" spans="1:9" x14ac:dyDescent="0.25">
      <c r="A112">
        <f t="shared" si="2"/>
        <v>111</v>
      </c>
      <c r="B112" s="18">
        <v>56</v>
      </c>
      <c r="C112" s="18" t="str">
        <v>FE de las JONS</v>
      </c>
      <c r="D112" s="18" t="str">
        <v>DERECHA</v>
      </c>
      <c r="E112" s="33">
        <v>0.02</v>
      </c>
      <c r="F112" s="15">
        <f t="shared" si="3"/>
        <v>1.02</v>
      </c>
      <c r="H112">
        <v>0</v>
      </c>
      <c r="I112">
        <v>0</v>
      </c>
    </row>
    <row r="113" spans="1:9" x14ac:dyDescent="0.25">
      <c r="A113">
        <f t="shared" si="2"/>
        <v>112</v>
      </c>
      <c r="B113" s="18">
        <v>0</v>
      </c>
      <c r="C113" s="18">
        <v>0</v>
      </c>
      <c r="D113" s="18">
        <v>0</v>
      </c>
      <c r="E113" s="33"/>
      <c r="H113">
        <v>0</v>
      </c>
      <c r="I113">
        <v>0</v>
      </c>
    </row>
    <row r="114" spans="1:9" x14ac:dyDescent="0.25">
      <c r="A114">
        <f t="shared" si="2"/>
        <v>113</v>
      </c>
      <c r="B114" s="18">
        <v>57</v>
      </c>
      <c r="C114" s="18" t="str">
        <v>AUNACV</v>
      </c>
      <c r="D114" s="18" t="str">
        <v>CENTRO</v>
      </c>
      <c r="E114" s="33"/>
      <c r="F114" s="15">
        <f t="shared" si="3"/>
        <v>1</v>
      </c>
      <c r="H114">
        <v>0</v>
      </c>
      <c r="I114">
        <v>0</v>
      </c>
    </row>
    <row r="115" spans="1:9" x14ac:dyDescent="0.25">
      <c r="A115">
        <f t="shared" si="2"/>
        <v>114</v>
      </c>
      <c r="B115" s="18">
        <v>0</v>
      </c>
      <c r="C115" s="18">
        <v>0</v>
      </c>
      <c r="D115" s="18">
        <v>0</v>
      </c>
      <c r="E115" s="33"/>
      <c r="H115">
        <v>0</v>
      </c>
      <c r="I115">
        <v>0</v>
      </c>
    </row>
    <row r="116" spans="1:9" x14ac:dyDescent="0.25">
      <c r="A116">
        <f t="shared" si="2"/>
        <v>115</v>
      </c>
      <c r="B116" s="18">
        <v>58</v>
      </c>
      <c r="C116" s="18" t="str">
        <v>UNIÓN REGIONALISTA</v>
      </c>
      <c r="D116" s="18" t="str">
        <v>OTROS</v>
      </c>
      <c r="E116" s="33">
        <v>-5.0000000000000001E-3</v>
      </c>
      <c r="F116" s="15">
        <f t="shared" si="3"/>
        <v>0.995</v>
      </c>
      <c r="H116">
        <v>0</v>
      </c>
      <c r="I116">
        <v>0</v>
      </c>
    </row>
    <row r="117" spans="1:9" x14ac:dyDescent="0.25">
      <c r="A117">
        <f t="shared" si="2"/>
        <v>116</v>
      </c>
      <c r="B117" s="18">
        <v>0</v>
      </c>
      <c r="C117" s="18">
        <v>0</v>
      </c>
      <c r="D117" s="18">
        <v>0</v>
      </c>
      <c r="E117" s="33"/>
      <c r="H117">
        <v>0</v>
      </c>
      <c r="I117">
        <v>0</v>
      </c>
    </row>
    <row r="118" spans="1:9" x14ac:dyDescent="0.25">
      <c r="A118">
        <f t="shared" si="2"/>
        <v>117</v>
      </c>
      <c r="B118" s="18">
        <v>59</v>
      </c>
      <c r="C118" s="18" t="str">
        <v>Canda</v>
      </c>
      <c r="D118" s="18" t="str">
        <v>OTROS</v>
      </c>
      <c r="E118" s="33">
        <v>-5.0000000000000001E-3</v>
      </c>
      <c r="F118" s="15">
        <f t="shared" si="3"/>
        <v>0.995</v>
      </c>
      <c r="H118">
        <v>0</v>
      </c>
      <c r="I118">
        <v>0</v>
      </c>
    </row>
    <row r="119" spans="1:9" x14ac:dyDescent="0.25">
      <c r="A119">
        <f t="shared" si="2"/>
        <v>118</v>
      </c>
      <c r="B119" s="18">
        <v>0</v>
      </c>
      <c r="C119" s="18">
        <v>0</v>
      </c>
      <c r="D119" s="18">
        <v>0</v>
      </c>
      <c r="E119" s="33"/>
      <c r="H119">
        <v>0</v>
      </c>
      <c r="I119">
        <v>0</v>
      </c>
    </row>
    <row r="120" spans="1:9" x14ac:dyDescent="0.25">
      <c r="A120">
        <f t="shared" si="2"/>
        <v>119</v>
      </c>
      <c r="B120" s="18">
        <v>60</v>
      </c>
      <c r="C120" s="18" t="str">
        <v>FIA</v>
      </c>
      <c r="D120" s="18" t="str">
        <v>OTROS</v>
      </c>
      <c r="E120" s="33">
        <v>-5.0000000000000001E-3</v>
      </c>
      <c r="F120" s="15">
        <f t="shared" si="3"/>
        <v>0.995</v>
      </c>
      <c r="H120">
        <v>0</v>
      </c>
      <c r="I120">
        <v>0</v>
      </c>
    </row>
    <row r="121" spans="1:9" x14ac:dyDescent="0.25">
      <c r="A121">
        <f t="shared" si="2"/>
        <v>120</v>
      </c>
      <c r="B121" s="18">
        <v>0</v>
      </c>
      <c r="C121" s="18">
        <v>0</v>
      </c>
      <c r="D121" s="18">
        <v>0</v>
      </c>
      <c r="E121" s="33"/>
      <c r="H121">
        <v>0</v>
      </c>
      <c r="I121">
        <v>0</v>
      </c>
    </row>
    <row r="122" spans="1:9" x14ac:dyDescent="0.25">
      <c r="A122">
        <f t="shared" si="2"/>
        <v>121</v>
      </c>
      <c r="B122" s="18">
        <v>61</v>
      </c>
      <c r="C122" s="18" t="str">
        <v>SOLIDARIA</v>
      </c>
      <c r="D122" s="18" t="str">
        <v>OTROS</v>
      </c>
      <c r="E122" s="33">
        <v>-5.0000000000000001E-3</v>
      </c>
      <c r="F122" s="15">
        <f t="shared" si="3"/>
        <v>0.995</v>
      </c>
      <c r="H122">
        <v>0</v>
      </c>
      <c r="I122">
        <v>0</v>
      </c>
    </row>
    <row r="123" spans="1:9" x14ac:dyDescent="0.25">
      <c r="A123">
        <f t="shared" si="2"/>
        <v>122</v>
      </c>
      <c r="B123" s="18">
        <v>0</v>
      </c>
      <c r="C123" s="18">
        <v>0</v>
      </c>
      <c r="D123" s="18">
        <v>0</v>
      </c>
      <c r="E123" s="33"/>
      <c r="H123">
        <v>0</v>
      </c>
      <c r="I123">
        <v>0</v>
      </c>
    </row>
    <row r="124" spans="1:9" x14ac:dyDescent="0.25">
      <c r="A124">
        <f t="shared" si="2"/>
        <v>123</v>
      </c>
      <c r="B124" s="18">
        <v>62</v>
      </c>
      <c r="C124" s="18" t="str">
        <v>RISA</v>
      </c>
      <c r="D124" s="18" t="str">
        <v>OTROS</v>
      </c>
      <c r="E124" s="33">
        <v>-5.0000000000000001E-3</v>
      </c>
      <c r="F124" s="15">
        <f t="shared" si="3"/>
        <v>0.995</v>
      </c>
      <c r="H124">
        <v>0</v>
      </c>
      <c r="I124">
        <v>0</v>
      </c>
    </row>
    <row r="125" spans="1:9" x14ac:dyDescent="0.25">
      <c r="A125">
        <f t="shared" si="2"/>
        <v>124</v>
      </c>
      <c r="B125" s="18">
        <v>0</v>
      </c>
      <c r="C125" s="18">
        <v>0</v>
      </c>
      <c r="D125" s="18">
        <v>0</v>
      </c>
      <c r="E125" s="33"/>
      <c r="H125">
        <v>0</v>
      </c>
      <c r="I125">
        <v>0</v>
      </c>
    </row>
    <row r="126" spans="1:9" x14ac:dyDescent="0.25">
      <c r="A126">
        <f t="shared" si="2"/>
        <v>125</v>
      </c>
      <c r="B126" s="18">
        <v>63</v>
      </c>
      <c r="C126" s="18" t="str">
        <v>centrados</v>
      </c>
      <c r="D126" s="18" t="str">
        <v>CENTRO</v>
      </c>
      <c r="E126" s="33"/>
      <c r="F126" s="15">
        <f t="shared" si="3"/>
        <v>1</v>
      </c>
      <c r="H126">
        <v>0</v>
      </c>
      <c r="I126">
        <v>0</v>
      </c>
    </row>
    <row r="127" spans="1:9" x14ac:dyDescent="0.25">
      <c r="A127">
        <f t="shared" si="2"/>
        <v>126</v>
      </c>
      <c r="B127" s="18">
        <v>0</v>
      </c>
      <c r="C127" s="18">
        <v>0</v>
      </c>
      <c r="D127" s="18">
        <v>0</v>
      </c>
      <c r="E127" s="33"/>
      <c r="H127">
        <v>0</v>
      </c>
      <c r="I127">
        <v>0</v>
      </c>
    </row>
    <row r="128" spans="1:9" x14ac:dyDescent="0.25">
      <c r="A128">
        <f t="shared" si="2"/>
        <v>127</v>
      </c>
      <c r="B128" s="18">
        <v>64</v>
      </c>
      <c r="C128" s="18" t="str">
        <v>DPL</v>
      </c>
      <c r="D128" s="18" t="str">
        <v>DERECHA</v>
      </c>
      <c r="E128" s="33">
        <v>0.02</v>
      </c>
      <c r="F128" s="15">
        <f t="shared" si="3"/>
        <v>1.02</v>
      </c>
      <c r="H128">
        <v>0</v>
      </c>
      <c r="I128">
        <v>0</v>
      </c>
    </row>
    <row r="129" spans="1:9" x14ac:dyDescent="0.25">
      <c r="A129">
        <f t="shared" si="2"/>
        <v>128</v>
      </c>
      <c r="B129" s="18">
        <v>0</v>
      </c>
      <c r="C129" s="18">
        <v>0</v>
      </c>
      <c r="D129" s="18">
        <v>0</v>
      </c>
      <c r="E129" s="33"/>
      <c r="H129">
        <v>0</v>
      </c>
      <c r="I129">
        <v>0</v>
      </c>
    </row>
    <row r="130" spans="1:9" x14ac:dyDescent="0.25">
      <c r="A130">
        <f t="shared" si="2"/>
        <v>129</v>
      </c>
      <c r="B130" s="18">
        <v>65</v>
      </c>
      <c r="C130" s="18" t="str">
        <v>IZAR</v>
      </c>
      <c r="D130" s="18" t="str">
        <v>IZQUIERDA</v>
      </c>
      <c r="E130" s="33">
        <v>0.05</v>
      </c>
      <c r="F130" s="15">
        <f t="shared" si="3"/>
        <v>1.05</v>
      </c>
      <c r="H130">
        <v>0</v>
      </c>
      <c r="I130">
        <v>0</v>
      </c>
    </row>
    <row r="131" spans="1:9" x14ac:dyDescent="0.25">
      <c r="A131">
        <f t="shared" si="2"/>
        <v>130</v>
      </c>
      <c r="B131" s="18">
        <v>0</v>
      </c>
      <c r="C131" s="18">
        <v>0</v>
      </c>
      <c r="D131" s="18">
        <v>0</v>
      </c>
      <c r="E131" s="33"/>
      <c r="H131">
        <v>0</v>
      </c>
      <c r="I131">
        <v>0</v>
      </c>
    </row>
    <row r="132" spans="1:9" x14ac:dyDescent="0.25">
      <c r="A132">
        <f t="shared" ref="A132:A134" si="4">+A131+1</f>
        <v>131</v>
      </c>
      <c r="B132" s="18">
        <v>66</v>
      </c>
      <c r="C132" s="18" t="str">
        <v>C 21</v>
      </c>
      <c r="D132" s="18" t="str">
        <v>CENTRO</v>
      </c>
      <c r="E132" s="33"/>
      <c r="F132" s="15">
        <f t="shared" ref="F132" si="5">1+E132</f>
        <v>1</v>
      </c>
      <c r="H132">
        <v>0</v>
      </c>
      <c r="I132">
        <v>0</v>
      </c>
    </row>
    <row r="133" spans="1:9" x14ac:dyDescent="0.25">
      <c r="A133">
        <f t="shared" si="4"/>
        <v>132</v>
      </c>
      <c r="B133" s="18">
        <v>0</v>
      </c>
      <c r="C133" s="18">
        <v>0</v>
      </c>
      <c r="D133" s="18">
        <v>0</v>
      </c>
      <c r="E133" s="33"/>
      <c r="H133">
        <v>0</v>
      </c>
      <c r="I133">
        <v>0</v>
      </c>
    </row>
    <row r="134" spans="1:9" x14ac:dyDescent="0.25">
      <c r="A134">
        <f t="shared" si="4"/>
        <v>133</v>
      </c>
      <c r="B134" s="18">
        <v>67</v>
      </c>
      <c r="C134" s="18" t="str">
        <v>UDT</v>
      </c>
      <c r="D134" s="18" t="str">
        <v>OTROS</v>
      </c>
      <c r="E134" s="34">
        <v>-5.0000000000000001E-3</v>
      </c>
      <c r="F134" s="15">
        <f t="shared" ref="F134" si="6">1+E134</f>
        <v>0.995</v>
      </c>
      <c r="H134">
        <v>0</v>
      </c>
      <c r="I13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DF01-2DF1-4D57-A6E3-0BEB1C7878A4}">
  <sheetPr codeName="Hoja8"/>
  <dimension ref="A1:BP53"/>
  <sheetViews>
    <sheetView workbookViewId="0">
      <selection activeCell="A54" sqref="A54"/>
    </sheetView>
  </sheetViews>
  <sheetFormatPr baseColWidth="10" defaultRowHeight="15" x14ac:dyDescent="0.25"/>
  <sheetData>
    <row r="1" spans="1:68" s="13" customFormat="1" x14ac:dyDescent="0.25">
      <c r="B1" s="30" t="s">
        <v>85</v>
      </c>
      <c r="C1" s="30" t="s">
        <v>87</v>
      </c>
      <c r="D1" s="30" t="s">
        <v>89</v>
      </c>
      <c r="E1" s="30" t="s">
        <v>91</v>
      </c>
      <c r="F1" s="30" t="s">
        <v>93</v>
      </c>
      <c r="G1" s="30" t="s">
        <v>95</v>
      </c>
      <c r="H1" s="30" t="s">
        <v>97</v>
      </c>
      <c r="I1" s="30" t="s">
        <v>99</v>
      </c>
      <c r="J1" s="30" t="s">
        <v>101</v>
      </c>
      <c r="K1" s="30" t="s">
        <v>103</v>
      </c>
      <c r="L1" s="30" t="s">
        <v>105</v>
      </c>
      <c r="M1" s="30" t="s">
        <v>107</v>
      </c>
      <c r="N1" s="30" t="s">
        <v>109</v>
      </c>
      <c r="O1" s="30" t="s">
        <v>111</v>
      </c>
      <c r="P1" s="30" t="s">
        <v>113</v>
      </c>
      <c r="Q1" s="30" t="s">
        <v>115</v>
      </c>
      <c r="R1" s="30" t="s">
        <v>117</v>
      </c>
      <c r="S1" s="30" t="s">
        <v>119</v>
      </c>
      <c r="T1" s="30" t="s">
        <v>121</v>
      </c>
      <c r="U1" s="30" t="s">
        <v>123</v>
      </c>
      <c r="V1" s="30" t="s">
        <v>125</v>
      </c>
      <c r="W1" s="30" t="s">
        <v>127</v>
      </c>
      <c r="X1" s="30" t="s">
        <v>129</v>
      </c>
      <c r="Y1" s="30" t="s">
        <v>131</v>
      </c>
      <c r="Z1" s="30" t="s">
        <v>133</v>
      </c>
      <c r="AA1" s="30" t="s">
        <v>135</v>
      </c>
      <c r="AB1" s="30" t="s">
        <v>137</v>
      </c>
      <c r="AC1" s="30" t="s">
        <v>139</v>
      </c>
      <c r="AD1" s="30" t="s">
        <v>141</v>
      </c>
      <c r="AE1" s="30" t="s">
        <v>143</v>
      </c>
      <c r="AF1" s="30" t="s">
        <v>145</v>
      </c>
      <c r="AG1" s="30" t="s">
        <v>147</v>
      </c>
      <c r="AH1" s="30" t="s">
        <v>149</v>
      </c>
      <c r="AI1" s="30" t="s">
        <v>151</v>
      </c>
      <c r="AJ1" s="30" t="s">
        <v>153</v>
      </c>
      <c r="AK1" s="30" t="s">
        <v>155</v>
      </c>
      <c r="AL1" s="30" t="s">
        <v>157</v>
      </c>
      <c r="AM1" s="30" t="s">
        <v>159</v>
      </c>
      <c r="AN1" s="30" t="s">
        <v>161</v>
      </c>
      <c r="AO1" s="30" t="s">
        <v>163</v>
      </c>
      <c r="AP1" s="30" t="s">
        <v>165</v>
      </c>
      <c r="AQ1" s="30" t="s">
        <v>167</v>
      </c>
      <c r="AR1" s="30" t="s">
        <v>169</v>
      </c>
      <c r="AS1" s="30" t="s">
        <v>171</v>
      </c>
      <c r="AT1" s="30" t="s">
        <v>173</v>
      </c>
      <c r="AU1" s="30" t="s">
        <v>175</v>
      </c>
      <c r="AV1" s="30" t="s">
        <v>177</v>
      </c>
      <c r="AW1" s="30" t="s">
        <v>179</v>
      </c>
      <c r="AX1" s="30" t="s">
        <v>181</v>
      </c>
      <c r="AY1" s="30" t="s">
        <v>183</v>
      </c>
      <c r="AZ1" s="30" t="s">
        <v>185</v>
      </c>
      <c r="BA1" s="30" t="s">
        <v>187</v>
      </c>
      <c r="BB1" s="30" t="s">
        <v>189</v>
      </c>
      <c r="BC1" s="30" t="s">
        <v>191</v>
      </c>
      <c r="BD1" s="30" t="s">
        <v>193</v>
      </c>
      <c r="BE1" s="30" t="s">
        <v>195</v>
      </c>
      <c r="BF1" s="30" t="s">
        <v>197</v>
      </c>
      <c r="BG1" s="30" t="s">
        <v>199</v>
      </c>
      <c r="BH1" s="30" t="s">
        <v>201</v>
      </c>
      <c r="BI1" s="30" t="s">
        <v>203</v>
      </c>
      <c r="BJ1" s="30" t="s">
        <v>205</v>
      </c>
      <c r="BK1" s="30" t="s">
        <v>207</v>
      </c>
      <c r="BL1" s="30" t="s">
        <v>209</v>
      </c>
      <c r="BM1" s="30" t="s">
        <v>211</v>
      </c>
      <c r="BN1" s="30" t="s">
        <v>213</v>
      </c>
      <c r="BO1" s="30" t="s">
        <v>215</v>
      </c>
      <c r="BP1" s="30" t="s">
        <v>217</v>
      </c>
    </row>
    <row r="2" spans="1:68" x14ac:dyDescent="0.25">
      <c r="A2">
        <v>1</v>
      </c>
      <c r="B2" s="29">
        <v>89295</v>
      </c>
      <c r="C2" s="29">
        <v>78072</v>
      </c>
      <c r="D2" s="29">
        <v>80714</v>
      </c>
      <c r="E2" s="29">
        <v>24400</v>
      </c>
      <c r="F2" s="29">
        <v>0</v>
      </c>
      <c r="G2" s="29">
        <v>22835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2582</v>
      </c>
      <c r="V2" s="29">
        <v>0</v>
      </c>
      <c r="W2" s="29">
        <v>360</v>
      </c>
      <c r="X2" s="29">
        <v>371</v>
      </c>
      <c r="Y2" s="29">
        <v>0</v>
      </c>
      <c r="Z2" s="29">
        <v>0</v>
      </c>
      <c r="AA2" s="29">
        <v>318</v>
      </c>
      <c r="AB2" s="29">
        <v>303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513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</row>
    <row r="3" spans="1:68" x14ac:dyDescent="0.25">
      <c r="A3">
        <f>1+A2</f>
        <v>2</v>
      </c>
      <c r="B3" s="29">
        <v>188271</v>
      </c>
      <c r="C3" s="29">
        <v>111089</v>
      </c>
      <c r="D3" s="29">
        <v>131205</v>
      </c>
      <c r="E3" s="29">
        <v>93541</v>
      </c>
      <c r="F3" s="29">
        <v>0</v>
      </c>
      <c r="G3" s="29">
        <v>55490</v>
      </c>
      <c r="H3" s="29">
        <v>0</v>
      </c>
      <c r="I3" s="29">
        <v>0</v>
      </c>
      <c r="J3" s="29">
        <v>0</v>
      </c>
      <c r="K3" s="29">
        <v>0</v>
      </c>
      <c r="L3" s="29">
        <v>11316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8437</v>
      </c>
      <c r="V3" s="29">
        <v>0</v>
      </c>
      <c r="W3" s="29">
        <v>915</v>
      </c>
      <c r="X3" s="29">
        <v>707</v>
      </c>
      <c r="Y3" s="29">
        <v>0</v>
      </c>
      <c r="Z3" s="29">
        <v>0</v>
      </c>
      <c r="AA3" s="29">
        <v>3509</v>
      </c>
      <c r="AB3" s="29">
        <v>639</v>
      </c>
      <c r="AC3" s="29">
        <v>0</v>
      </c>
      <c r="AD3" s="29">
        <v>0</v>
      </c>
      <c r="AE3" s="29">
        <v>0</v>
      </c>
      <c r="AF3" s="29">
        <v>1739</v>
      </c>
      <c r="AG3" s="29">
        <v>0</v>
      </c>
      <c r="AH3" s="29">
        <v>0</v>
      </c>
      <c r="AI3" s="29">
        <v>0</v>
      </c>
      <c r="AJ3" s="29">
        <v>0</v>
      </c>
      <c r="AK3" s="29">
        <v>0</v>
      </c>
      <c r="AL3" s="29">
        <v>0</v>
      </c>
      <c r="AM3" s="29">
        <v>0</v>
      </c>
      <c r="AN3" s="29">
        <v>0</v>
      </c>
      <c r="AO3" s="29">
        <v>0</v>
      </c>
      <c r="AP3" s="29">
        <v>0</v>
      </c>
      <c r="AQ3" s="29">
        <v>0</v>
      </c>
      <c r="AR3" s="29">
        <v>0</v>
      </c>
      <c r="AS3" s="29">
        <v>0</v>
      </c>
      <c r="AT3" s="29">
        <v>0</v>
      </c>
      <c r="AU3" s="29">
        <v>0</v>
      </c>
      <c r="AV3" s="29">
        <v>0</v>
      </c>
      <c r="AW3" s="29">
        <v>0</v>
      </c>
      <c r="AX3" s="29">
        <v>0</v>
      </c>
      <c r="AY3" s="29">
        <v>0</v>
      </c>
      <c r="AZ3" s="29">
        <v>0</v>
      </c>
      <c r="BA3" s="29">
        <v>0</v>
      </c>
      <c r="BB3" s="29">
        <v>0</v>
      </c>
      <c r="BC3" s="29">
        <v>0</v>
      </c>
      <c r="BD3" s="29">
        <v>0</v>
      </c>
      <c r="BE3" s="29">
        <v>0</v>
      </c>
      <c r="BF3" s="29">
        <v>0</v>
      </c>
      <c r="BG3" s="29">
        <v>0</v>
      </c>
      <c r="BH3" s="29">
        <v>0</v>
      </c>
      <c r="BI3" s="29">
        <v>0</v>
      </c>
      <c r="BJ3" s="29">
        <v>0</v>
      </c>
      <c r="BK3" s="29">
        <v>0</v>
      </c>
      <c r="BL3" s="29">
        <v>0</v>
      </c>
      <c r="BM3" s="29">
        <v>0</v>
      </c>
      <c r="BN3" s="29">
        <v>0</v>
      </c>
      <c r="BO3" s="29">
        <v>0</v>
      </c>
      <c r="BP3" s="29">
        <v>0</v>
      </c>
    </row>
    <row r="4" spans="1:68" x14ac:dyDescent="0.25">
      <c r="A4">
        <f t="shared" ref="A4:A53" si="0">1+A3</f>
        <v>3</v>
      </c>
      <c r="B4" s="29">
        <v>146761</v>
      </c>
      <c r="C4" s="29">
        <v>99999</v>
      </c>
      <c r="D4" s="29">
        <v>82534</v>
      </c>
      <c r="E4" s="29">
        <v>64769</v>
      </c>
      <c r="F4" s="29">
        <v>0</v>
      </c>
      <c r="G4" s="29">
        <v>36229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3946</v>
      </c>
      <c r="V4" s="29">
        <v>0</v>
      </c>
      <c r="W4" s="29">
        <v>549</v>
      </c>
      <c r="X4" s="29">
        <v>478</v>
      </c>
      <c r="Y4" s="29">
        <v>0</v>
      </c>
      <c r="Z4" s="29">
        <v>0</v>
      </c>
      <c r="AA4" s="29">
        <v>1019</v>
      </c>
      <c r="AB4" s="29">
        <v>544</v>
      </c>
      <c r="AC4" s="29">
        <v>321</v>
      </c>
      <c r="AD4" s="29">
        <v>0</v>
      </c>
      <c r="AE4" s="29">
        <v>0</v>
      </c>
      <c r="AF4" s="29">
        <v>1062</v>
      </c>
      <c r="AG4" s="29">
        <v>0</v>
      </c>
      <c r="AH4" s="29">
        <v>760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</row>
    <row r="5" spans="1:68" x14ac:dyDescent="0.25">
      <c r="A5">
        <f t="shared" si="0"/>
        <v>4</v>
      </c>
      <c r="B5" s="29">
        <v>160190</v>
      </c>
      <c r="C5" s="29">
        <v>105192</v>
      </c>
      <c r="D5" s="29">
        <v>99928</v>
      </c>
      <c r="E5" s="29">
        <v>59331</v>
      </c>
      <c r="F5" s="29">
        <v>0</v>
      </c>
      <c r="G5" s="29">
        <v>37772</v>
      </c>
      <c r="H5" s="29">
        <v>0</v>
      </c>
      <c r="I5" s="29">
        <v>0</v>
      </c>
      <c r="J5" s="29">
        <v>0</v>
      </c>
      <c r="K5" s="29">
        <v>0</v>
      </c>
      <c r="L5" s="29">
        <v>8629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4095</v>
      </c>
      <c r="V5" s="29">
        <v>0</v>
      </c>
      <c r="W5" s="29">
        <v>545</v>
      </c>
      <c r="X5" s="29">
        <v>624</v>
      </c>
      <c r="Y5" s="29">
        <v>0</v>
      </c>
      <c r="Z5" s="29">
        <v>0</v>
      </c>
      <c r="AA5" s="29">
        <v>619</v>
      </c>
      <c r="AB5" s="29">
        <v>371</v>
      </c>
      <c r="AC5" s="29">
        <v>322</v>
      </c>
      <c r="AD5" s="29">
        <v>0</v>
      </c>
      <c r="AE5" s="29">
        <v>0</v>
      </c>
      <c r="AF5" s="29">
        <v>0</v>
      </c>
      <c r="AG5" s="29">
        <v>0</v>
      </c>
      <c r="AH5" s="29">
        <v>0</v>
      </c>
      <c r="AI5" s="29">
        <v>0</v>
      </c>
      <c r="AJ5" s="29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29">
        <v>0</v>
      </c>
      <c r="AQ5" s="29">
        <v>0</v>
      </c>
      <c r="AR5" s="29">
        <v>0</v>
      </c>
      <c r="AS5" s="29">
        <v>0</v>
      </c>
      <c r="AT5" s="29">
        <v>0</v>
      </c>
      <c r="AU5" s="29">
        <v>0</v>
      </c>
      <c r="AV5" s="29">
        <v>0</v>
      </c>
      <c r="AW5" s="29">
        <v>0</v>
      </c>
      <c r="AX5" s="29">
        <v>0</v>
      </c>
      <c r="AY5" s="29">
        <v>0</v>
      </c>
      <c r="AZ5" s="29">
        <v>0</v>
      </c>
      <c r="BA5" s="29">
        <v>0</v>
      </c>
      <c r="BB5" s="29">
        <v>0</v>
      </c>
      <c r="BC5" s="29">
        <v>0</v>
      </c>
      <c r="BD5" s="29">
        <v>0</v>
      </c>
      <c r="BE5" s="29">
        <v>0</v>
      </c>
      <c r="BF5" s="29">
        <v>0</v>
      </c>
      <c r="BG5" s="29">
        <v>0</v>
      </c>
      <c r="BH5" s="29">
        <v>520</v>
      </c>
      <c r="BI5" s="29">
        <v>0</v>
      </c>
      <c r="BJ5" s="29">
        <v>0</v>
      </c>
      <c r="BK5" s="29">
        <v>0</v>
      </c>
      <c r="BL5" s="29">
        <v>0</v>
      </c>
      <c r="BM5" s="29">
        <v>0</v>
      </c>
      <c r="BN5" s="29">
        <v>113</v>
      </c>
      <c r="BO5" s="29">
        <v>0</v>
      </c>
      <c r="BP5" s="29">
        <v>0</v>
      </c>
    </row>
    <row r="6" spans="1:68" x14ac:dyDescent="0.25">
      <c r="A6">
        <f t="shared" si="0"/>
        <v>5</v>
      </c>
      <c r="B6" s="29">
        <v>91656</v>
      </c>
      <c r="C6" s="29">
        <v>49452</v>
      </c>
      <c r="D6" s="29">
        <v>52485</v>
      </c>
      <c r="E6" s="29">
        <v>30389</v>
      </c>
      <c r="F6" s="29">
        <v>0</v>
      </c>
      <c r="G6" s="29">
        <v>18382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2535</v>
      </c>
      <c r="V6" s="29">
        <v>0</v>
      </c>
      <c r="W6" s="29">
        <v>495</v>
      </c>
      <c r="X6" s="29">
        <v>351</v>
      </c>
      <c r="Y6" s="29">
        <v>0</v>
      </c>
      <c r="Z6" s="29">
        <v>0</v>
      </c>
      <c r="AA6" s="29">
        <v>856</v>
      </c>
      <c r="AB6" s="29">
        <v>159</v>
      </c>
      <c r="AC6" s="29">
        <v>112</v>
      </c>
      <c r="AD6" s="29">
        <v>0</v>
      </c>
      <c r="AE6" s="29">
        <v>0</v>
      </c>
      <c r="AF6" s="29">
        <v>464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  <c r="BC6" s="29">
        <v>0</v>
      </c>
      <c r="BD6" s="29">
        <v>0</v>
      </c>
      <c r="BE6" s="29">
        <v>0</v>
      </c>
      <c r="BF6" s="29">
        <v>0</v>
      </c>
      <c r="BG6" s="29">
        <v>0</v>
      </c>
      <c r="BH6" s="29">
        <v>0</v>
      </c>
      <c r="BI6" s="29">
        <v>0</v>
      </c>
      <c r="BJ6" s="29">
        <v>0</v>
      </c>
      <c r="BK6" s="29">
        <v>0</v>
      </c>
      <c r="BL6" s="29">
        <v>0</v>
      </c>
      <c r="BM6" s="29">
        <v>0</v>
      </c>
      <c r="BN6" s="29">
        <v>0</v>
      </c>
      <c r="BO6" s="29">
        <v>0</v>
      </c>
      <c r="BP6" s="29">
        <v>0</v>
      </c>
    </row>
    <row r="7" spans="1:68" x14ac:dyDescent="0.25">
      <c r="A7">
        <f t="shared" si="0"/>
        <v>6</v>
      </c>
      <c r="B7" s="29">
        <v>141737</v>
      </c>
      <c r="C7" s="29">
        <v>82055</v>
      </c>
      <c r="D7" s="29">
        <v>71950</v>
      </c>
      <c r="E7" s="29">
        <v>35962</v>
      </c>
      <c r="F7" s="29">
        <v>0</v>
      </c>
      <c r="G7" s="29">
        <v>24816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2766</v>
      </c>
      <c r="V7" s="29">
        <v>0</v>
      </c>
      <c r="W7" s="29">
        <v>464</v>
      </c>
      <c r="X7" s="29">
        <v>419</v>
      </c>
      <c r="Y7" s="29">
        <v>0</v>
      </c>
      <c r="Z7" s="29">
        <v>0</v>
      </c>
      <c r="AA7" s="29">
        <v>856</v>
      </c>
      <c r="AB7" s="29">
        <v>0</v>
      </c>
      <c r="AC7" s="29">
        <v>471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249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</row>
    <row r="8" spans="1:68" x14ac:dyDescent="0.25">
      <c r="A8">
        <f t="shared" si="0"/>
        <v>7</v>
      </c>
      <c r="B8" s="29">
        <v>226831</v>
      </c>
      <c r="C8" s="29">
        <v>163177</v>
      </c>
      <c r="D8" s="29">
        <v>162280</v>
      </c>
      <c r="E8" s="29">
        <v>97801</v>
      </c>
      <c r="F8" s="29">
        <v>0</v>
      </c>
      <c r="G8" s="29">
        <v>66995</v>
      </c>
      <c r="H8" s="29">
        <v>0</v>
      </c>
      <c r="I8" s="29">
        <v>0</v>
      </c>
      <c r="J8" s="29">
        <v>0</v>
      </c>
      <c r="K8" s="29">
        <v>0</v>
      </c>
      <c r="L8" s="29">
        <v>14112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11089</v>
      </c>
      <c r="V8" s="29">
        <v>0</v>
      </c>
      <c r="W8" s="29">
        <v>1261</v>
      </c>
      <c r="X8" s="29">
        <v>904</v>
      </c>
      <c r="Y8" s="29">
        <v>0</v>
      </c>
      <c r="Z8" s="29">
        <v>0</v>
      </c>
      <c r="AA8" s="29">
        <v>1686</v>
      </c>
      <c r="AB8" s="29">
        <v>581</v>
      </c>
      <c r="AC8" s="29">
        <v>381</v>
      </c>
      <c r="AD8" s="29">
        <v>0</v>
      </c>
      <c r="AE8" s="29">
        <v>0</v>
      </c>
      <c r="AF8" s="29">
        <v>1265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U8" s="29">
        <v>0</v>
      </c>
      <c r="AV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  <c r="BC8" s="29">
        <v>0</v>
      </c>
      <c r="BD8" s="29">
        <v>0</v>
      </c>
      <c r="BE8" s="29">
        <v>0</v>
      </c>
      <c r="BF8" s="29">
        <v>0</v>
      </c>
      <c r="BG8" s="29">
        <v>0</v>
      </c>
      <c r="BH8" s="29">
        <v>0</v>
      </c>
      <c r="BI8" s="29">
        <v>0</v>
      </c>
      <c r="BJ8" s="29">
        <v>0</v>
      </c>
      <c r="BK8" s="29">
        <v>0</v>
      </c>
      <c r="BL8" s="29">
        <v>0</v>
      </c>
      <c r="BM8" s="29">
        <v>0</v>
      </c>
      <c r="BN8" s="29">
        <v>0</v>
      </c>
      <c r="BO8" s="29">
        <v>0</v>
      </c>
      <c r="BP8" s="29">
        <v>0</v>
      </c>
    </row>
    <row r="9" spans="1:68" x14ac:dyDescent="0.25">
      <c r="A9">
        <f t="shared" si="0"/>
        <v>8</v>
      </c>
      <c r="B9" s="29">
        <v>380385</v>
      </c>
      <c r="C9" s="29">
        <v>188166</v>
      </c>
      <c r="D9" s="29">
        <v>188813</v>
      </c>
      <c r="E9" s="29">
        <v>153435</v>
      </c>
      <c r="F9" s="29">
        <v>0</v>
      </c>
      <c r="G9" s="29">
        <v>83575</v>
      </c>
      <c r="H9" s="29">
        <v>0</v>
      </c>
      <c r="I9" s="29">
        <v>0</v>
      </c>
      <c r="J9" s="29">
        <v>0</v>
      </c>
      <c r="K9" s="29">
        <v>0</v>
      </c>
      <c r="L9" s="29">
        <v>22388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12035</v>
      </c>
      <c r="V9" s="29">
        <v>0</v>
      </c>
      <c r="W9" s="29">
        <v>1456</v>
      </c>
      <c r="X9" s="29">
        <v>1402</v>
      </c>
      <c r="Y9" s="29">
        <v>0</v>
      </c>
      <c r="Z9" s="29">
        <v>0</v>
      </c>
      <c r="AA9" s="29">
        <v>5183</v>
      </c>
      <c r="AB9" s="29">
        <v>842</v>
      </c>
      <c r="AC9" s="29">
        <v>550</v>
      </c>
      <c r="AD9" s="29">
        <v>0</v>
      </c>
      <c r="AE9" s="29">
        <v>0</v>
      </c>
      <c r="AF9" s="29">
        <v>1495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29">
        <v>0</v>
      </c>
      <c r="AQ9" s="29">
        <v>0</v>
      </c>
      <c r="AR9" s="29">
        <v>0</v>
      </c>
      <c r="AS9" s="29">
        <v>0</v>
      </c>
      <c r="AT9" s="29">
        <v>0</v>
      </c>
      <c r="AU9" s="29">
        <v>0</v>
      </c>
      <c r="AV9" s="29">
        <v>0</v>
      </c>
      <c r="AW9" s="29">
        <v>0</v>
      </c>
      <c r="AX9" s="29">
        <v>0</v>
      </c>
      <c r="AY9" s="29">
        <v>0</v>
      </c>
      <c r="AZ9" s="29">
        <v>0</v>
      </c>
      <c r="BA9" s="29">
        <v>0</v>
      </c>
      <c r="BB9" s="29">
        <v>0</v>
      </c>
      <c r="BC9" s="29">
        <v>0</v>
      </c>
      <c r="BD9" s="29">
        <v>0</v>
      </c>
      <c r="BE9" s="29">
        <v>0</v>
      </c>
      <c r="BF9" s="29">
        <v>0</v>
      </c>
      <c r="BG9" s="29">
        <v>0</v>
      </c>
      <c r="BH9" s="29">
        <v>0</v>
      </c>
      <c r="BI9" s="29">
        <v>0</v>
      </c>
      <c r="BJ9" s="29">
        <v>0</v>
      </c>
      <c r="BK9" s="29">
        <v>0</v>
      </c>
      <c r="BL9" s="29">
        <v>0</v>
      </c>
      <c r="BM9" s="29">
        <v>0</v>
      </c>
      <c r="BN9" s="29">
        <v>0</v>
      </c>
      <c r="BO9" s="29">
        <v>0</v>
      </c>
      <c r="BP9" s="29">
        <v>0</v>
      </c>
    </row>
    <row r="10" spans="1:68" x14ac:dyDescent="0.25">
      <c r="A10">
        <f t="shared" si="0"/>
        <v>9</v>
      </c>
      <c r="B10" s="29">
        <v>38101</v>
      </c>
      <c r="C10" s="29">
        <v>29804</v>
      </c>
      <c r="D10" s="29">
        <v>17237</v>
      </c>
      <c r="E10" s="29">
        <v>14035</v>
      </c>
      <c r="F10" s="29">
        <v>0</v>
      </c>
      <c r="G10" s="29">
        <v>9244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735</v>
      </c>
      <c r="V10" s="29">
        <v>0</v>
      </c>
      <c r="W10" s="29">
        <v>198</v>
      </c>
      <c r="X10" s="29">
        <v>153</v>
      </c>
      <c r="Y10" s="29">
        <v>0</v>
      </c>
      <c r="Z10" s="29">
        <v>0</v>
      </c>
      <c r="AA10" s="29">
        <v>0</v>
      </c>
      <c r="AB10" s="29">
        <v>100</v>
      </c>
      <c r="AC10" s="29">
        <v>86</v>
      </c>
      <c r="AD10" s="29">
        <v>0</v>
      </c>
      <c r="AE10" s="29">
        <v>0</v>
      </c>
      <c r="AF10" s="29">
        <v>0</v>
      </c>
      <c r="AG10" s="29">
        <v>0</v>
      </c>
      <c r="AH10" s="29">
        <v>393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2000</v>
      </c>
      <c r="AU10" s="29">
        <v>0</v>
      </c>
      <c r="AV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  <c r="BC10" s="29">
        <v>0</v>
      </c>
      <c r="BD10" s="29">
        <v>73</v>
      </c>
      <c r="BE10" s="29">
        <v>0</v>
      </c>
      <c r="BF10" s="29">
        <v>0</v>
      </c>
      <c r="BG10" s="29">
        <v>0</v>
      </c>
      <c r="BH10" s="29">
        <v>0</v>
      </c>
      <c r="BI10" s="29">
        <v>75</v>
      </c>
      <c r="BJ10" s="29">
        <v>0</v>
      </c>
      <c r="BK10" s="29">
        <v>0</v>
      </c>
      <c r="BL10" s="29">
        <v>0</v>
      </c>
      <c r="BM10" s="29">
        <v>0</v>
      </c>
      <c r="BN10" s="29">
        <v>0</v>
      </c>
      <c r="BO10" s="29">
        <v>0</v>
      </c>
      <c r="BP10" s="29">
        <v>0</v>
      </c>
    </row>
    <row r="11" spans="1:68" x14ac:dyDescent="0.25">
      <c r="A11">
        <f t="shared" si="0"/>
        <v>10</v>
      </c>
      <c r="B11" s="29">
        <v>18934</v>
      </c>
      <c r="C11" s="29">
        <v>17520</v>
      </c>
      <c r="D11" s="29">
        <v>9346</v>
      </c>
      <c r="E11" s="29">
        <v>3982</v>
      </c>
      <c r="F11" s="29">
        <v>0</v>
      </c>
      <c r="G11" s="29">
        <v>3732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19761</v>
      </c>
      <c r="U11" s="29">
        <v>212</v>
      </c>
      <c r="V11" s="29">
        <v>0</v>
      </c>
      <c r="W11" s="29">
        <v>0</v>
      </c>
      <c r="X11" s="29">
        <v>35</v>
      </c>
      <c r="Y11" s="29">
        <v>0</v>
      </c>
      <c r="Z11" s="29">
        <v>0</v>
      </c>
      <c r="AA11" s="29">
        <v>0</v>
      </c>
      <c r="AB11" s="29">
        <v>45</v>
      </c>
      <c r="AC11" s="29">
        <v>0</v>
      </c>
      <c r="AD11" s="29">
        <v>0</v>
      </c>
      <c r="AE11" s="29">
        <v>0</v>
      </c>
      <c r="AF11" s="29">
        <v>96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25</v>
      </c>
      <c r="BE11" s="29">
        <v>0</v>
      </c>
      <c r="BF11" s="29">
        <v>13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26</v>
      </c>
    </row>
    <row r="12" spans="1:68" x14ac:dyDescent="0.25">
      <c r="A12">
        <f t="shared" si="0"/>
        <v>11</v>
      </c>
      <c r="B12" s="29">
        <v>158326</v>
      </c>
      <c r="C12" s="29">
        <v>119909</v>
      </c>
      <c r="D12" s="29">
        <v>92353</v>
      </c>
      <c r="E12" s="29">
        <v>57875</v>
      </c>
      <c r="F12" s="29">
        <v>0</v>
      </c>
      <c r="G12" s="29">
        <v>47001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3618</v>
      </c>
      <c r="V12" s="29">
        <v>0</v>
      </c>
      <c r="W12" s="29">
        <v>861</v>
      </c>
      <c r="X12" s="29">
        <v>485</v>
      </c>
      <c r="Y12" s="29">
        <v>23196</v>
      </c>
      <c r="Z12" s="29">
        <v>0</v>
      </c>
      <c r="AA12" s="29">
        <v>0</v>
      </c>
      <c r="AB12" s="29">
        <v>331</v>
      </c>
      <c r="AC12" s="29">
        <v>414</v>
      </c>
      <c r="AD12" s="29">
        <v>0</v>
      </c>
      <c r="AE12" s="29">
        <v>0</v>
      </c>
      <c r="AF12" s="29">
        <v>0</v>
      </c>
      <c r="AG12" s="29">
        <v>0</v>
      </c>
      <c r="AH12" s="29">
        <v>1940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U12" s="29">
        <v>0</v>
      </c>
      <c r="AV12" s="29">
        <v>0</v>
      </c>
      <c r="AW12" s="29">
        <v>0</v>
      </c>
      <c r="AX12" s="29">
        <v>0</v>
      </c>
      <c r="AY12" s="29">
        <v>1068</v>
      </c>
      <c r="AZ12" s="29">
        <v>0</v>
      </c>
      <c r="BA12" s="29">
        <v>0</v>
      </c>
      <c r="BB12" s="29">
        <v>0</v>
      </c>
      <c r="BC12" s="29">
        <v>0</v>
      </c>
      <c r="BD12" s="29">
        <v>532</v>
      </c>
      <c r="BE12" s="29">
        <v>0</v>
      </c>
      <c r="BF12" s="29">
        <v>0</v>
      </c>
      <c r="BG12" s="29">
        <v>0</v>
      </c>
      <c r="BH12" s="29">
        <v>0</v>
      </c>
      <c r="BI12" s="29">
        <v>386</v>
      </c>
      <c r="BJ12" s="29">
        <v>0</v>
      </c>
      <c r="BK12" s="29">
        <v>0</v>
      </c>
      <c r="BL12" s="29">
        <v>0</v>
      </c>
      <c r="BM12" s="29">
        <v>0</v>
      </c>
      <c r="BN12" s="29">
        <v>0</v>
      </c>
      <c r="BO12" s="29">
        <v>0</v>
      </c>
      <c r="BP12" s="29">
        <v>0</v>
      </c>
    </row>
    <row r="13" spans="1:68" x14ac:dyDescent="0.25">
      <c r="A13">
        <f t="shared" si="0"/>
        <v>12</v>
      </c>
      <c r="B13" s="29">
        <v>186211</v>
      </c>
      <c r="C13" s="29">
        <v>129945</v>
      </c>
      <c r="D13" s="29">
        <v>88788</v>
      </c>
      <c r="E13" s="29">
        <v>89301</v>
      </c>
      <c r="F13" s="29">
        <v>0</v>
      </c>
      <c r="G13" s="29">
        <v>37374</v>
      </c>
      <c r="H13" s="29">
        <v>0</v>
      </c>
      <c r="I13" s="29">
        <v>0</v>
      </c>
      <c r="J13" s="29">
        <v>0</v>
      </c>
      <c r="K13" s="29">
        <v>0</v>
      </c>
      <c r="L13" s="29">
        <v>12732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4412</v>
      </c>
      <c r="V13" s="29">
        <v>0</v>
      </c>
      <c r="W13" s="29">
        <v>732</v>
      </c>
      <c r="X13" s="29">
        <v>487</v>
      </c>
      <c r="Y13" s="29">
        <v>0</v>
      </c>
      <c r="Z13" s="29">
        <v>0</v>
      </c>
      <c r="AA13" s="29">
        <v>0</v>
      </c>
      <c r="AB13" s="29">
        <v>626</v>
      </c>
      <c r="AC13" s="29">
        <v>843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 s="29">
        <v>0</v>
      </c>
      <c r="AM13" s="29">
        <v>366</v>
      </c>
      <c r="AN13" s="29">
        <v>0</v>
      </c>
      <c r="AO13" s="29">
        <v>0</v>
      </c>
      <c r="AP13" s="29">
        <v>0</v>
      </c>
      <c r="AQ13" s="29">
        <v>0</v>
      </c>
      <c r="AR13" s="29">
        <v>0</v>
      </c>
      <c r="AS13" s="29">
        <v>0</v>
      </c>
      <c r="AT13" s="29">
        <v>0</v>
      </c>
      <c r="AU13" s="29">
        <v>0</v>
      </c>
      <c r="AV13" s="29">
        <v>0</v>
      </c>
      <c r="AW13" s="29">
        <v>0</v>
      </c>
      <c r="AX13" s="29">
        <v>0</v>
      </c>
      <c r="AY13" s="29">
        <v>0</v>
      </c>
      <c r="AZ13" s="29">
        <v>0</v>
      </c>
      <c r="BA13" s="29">
        <v>0</v>
      </c>
      <c r="BB13" s="29">
        <v>887</v>
      </c>
      <c r="BC13" s="29">
        <v>0</v>
      </c>
      <c r="BD13" s="29">
        <v>0</v>
      </c>
      <c r="BE13" s="29">
        <v>0</v>
      </c>
      <c r="BF13" s="29">
        <v>0</v>
      </c>
      <c r="BG13" s="29">
        <v>0</v>
      </c>
      <c r="BH13" s="29">
        <v>0</v>
      </c>
      <c r="BI13" s="29">
        <v>0</v>
      </c>
      <c r="BJ13" s="29">
        <v>0</v>
      </c>
      <c r="BK13" s="29">
        <v>0</v>
      </c>
      <c r="BL13" s="29">
        <v>0</v>
      </c>
      <c r="BM13" s="29">
        <v>0</v>
      </c>
      <c r="BN13" s="29">
        <v>0</v>
      </c>
      <c r="BO13" s="29">
        <v>0</v>
      </c>
      <c r="BP13" s="29">
        <v>0</v>
      </c>
    </row>
    <row r="14" spans="1:68" x14ac:dyDescent="0.25">
      <c r="A14">
        <f t="shared" si="0"/>
        <v>13</v>
      </c>
      <c r="B14" s="29">
        <v>115567</v>
      </c>
      <c r="C14" s="29">
        <v>103722</v>
      </c>
      <c r="D14" s="29">
        <v>77520</v>
      </c>
      <c r="E14" s="29">
        <v>82225</v>
      </c>
      <c r="F14" s="29">
        <v>0</v>
      </c>
      <c r="G14" s="29">
        <v>33451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6207</v>
      </c>
      <c r="V14" s="29">
        <v>10652</v>
      </c>
      <c r="W14" s="29">
        <v>947</v>
      </c>
      <c r="X14" s="29">
        <v>573</v>
      </c>
      <c r="Y14" s="29">
        <v>0</v>
      </c>
      <c r="Z14" s="29">
        <v>18295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U14" s="29">
        <v>0</v>
      </c>
      <c r="AV14" s="29">
        <v>0</v>
      </c>
      <c r="AW14" s="29">
        <v>0</v>
      </c>
      <c r="AX14" s="29">
        <v>372</v>
      </c>
      <c r="AY14" s="29">
        <v>0</v>
      </c>
      <c r="AZ14" s="29">
        <v>0</v>
      </c>
      <c r="BA14" s="29">
        <v>0</v>
      </c>
      <c r="BB14" s="29">
        <v>0</v>
      </c>
      <c r="BC14" s="29">
        <v>0</v>
      </c>
      <c r="BD14" s="29">
        <v>0</v>
      </c>
      <c r="BE14" s="29">
        <v>0</v>
      </c>
      <c r="BF14" s="29">
        <v>0</v>
      </c>
      <c r="BG14" s="29">
        <v>0</v>
      </c>
      <c r="BH14" s="29">
        <v>0</v>
      </c>
      <c r="BI14" s="29">
        <v>0</v>
      </c>
      <c r="BJ14" s="29">
        <v>0</v>
      </c>
      <c r="BK14" s="29">
        <v>0</v>
      </c>
      <c r="BL14" s="29">
        <v>0</v>
      </c>
      <c r="BM14" s="29">
        <v>0</v>
      </c>
      <c r="BN14" s="29">
        <v>0</v>
      </c>
      <c r="BO14" s="29">
        <v>0</v>
      </c>
      <c r="BP14" s="29">
        <v>0</v>
      </c>
    </row>
    <row r="15" spans="1:68" x14ac:dyDescent="0.25">
      <c r="A15">
        <f t="shared" si="0"/>
        <v>14</v>
      </c>
      <c r="B15" s="29">
        <v>141078</v>
      </c>
      <c r="C15" s="29">
        <v>103375</v>
      </c>
      <c r="D15" s="29">
        <v>64515</v>
      </c>
      <c r="E15" s="29">
        <v>74648</v>
      </c>
      <c r="F15" s="29">
        <v>0</v>
      </c>
      <c r="G15" s="29">
        <v>28018</v>
      </c>
      <c r="H15" s="29">
        <v>0</v>
      </c>
      <c r="I15" s="29">
        <v>0</v>
      </c>
      <c r="J15" s="29">
        <v>0</v>
      </c>
      <c r="K15" s="29">
        <v>0</v>
      </c>
      <c r="L15" s="29">
        <v>8389</v>
      </c>
      <c r="M15" s="29">
        <v>0</v>
      </c>
      <c r="N15" s="29">
        <v>0</v>
      </c>
      <c r="O15" s="29">
        <v>48028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5796</v>
      </c>
      <c r="V15" s="29">
        <v>0</v>
      </c>
      <c r="W15" s="29">
        <v>505</v>
      </c>
      <c r="X15" s="29">
        <v>552</v>
      </c>
      <c r="Y15" s="29">
        <v>0</v>
      </c>
      <c r="Z15" s="29">
        <v>0</v>
      </c>
      <c r="AA15" s="29">
        <v>0</v>
      </c>
      <c r="AB15" s="29">
        <v>728</v>
      </c>
      <c r="AC15" s="29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1864</v>
      </c>
      <c r="AM15" s="29">
        <v>276</v>
      </c>
      <c r="AN15" s="29">
        <v>0</v>
      </c>
      <c r="AO15" s="29">
        <v>0</v>
      </c>
      <c r="AP15" s="29">
        <v>0</v>
      </c>
      <c r="AQ15" s="29">
        <v>0</v>
      </c>
      <c r="AR15" s="29">
        <v>1110</v>
      </c>
      <c r="AS15" s="29">
        <v>358</v>
      </c>
      <c r="AT15" s="29">
        <v>0</v>
      </c>
      <c r="AU15" s="29">
        <v>0</v>
      </c>
      <c r="AV15" s="29">
        <v>0</v>
      </c>
      <c r="AW15" s="29">
        <v>713</v>
      </c>
      <c r="AX15" s="29">
        <v>0</v>
      </c>
      <c r="AY15" s="29">
        <v>0</v>
      </c>
      <c r="AZ15" s="29">
        <v>0</v>
      </c>
      <c r="BA15" s="29">
        <v>0</v>
      </c>
      <c r="BB15" s="29">
        <v>0</v>
      </c>
      <c r="BC15" s="29">
        <v>0</v>
      </c>
      <c r="BD15" s="29">
        <v>0</v>
      </c>
      <c r="BE15" s="29">
        <v>0</v>
      </c>
      <c r="BF15" s="29">
        <v>0</v>
      </c>
      <c r="BG15" s="29">
        <v>0</v>
      </c>
      <c r="BH15" s="29">
        <v>0</v>
      </c>
      <c r="BI15" s="29">
        <v>0</v>
      </c>
      <c r="BJ15" s="29">
        <v>0</v>
      </c>
      <c r="BK15" s="29">
        <v>0</v>
      </c>
      <c r="BL15" s="29">
        <v>0</v>
      </c>
      <c r="BM15" s="29">
        <v>0</v>
      </c>
      <c r="BN15" s="29">
        <v>0</v>
      </c>
      <c r="BO15" s="29">
        <v>0</v>
      </c>
      <c r="BP15" s="29">
        <v>0</v>
      </c>
    </row>
    <row r="16" spans="1:68" x14ac:dyDescent="0.25">
      <c r="A16">
        <f t="shared" si="0"/>
        <v>15</v>
      </c>
      <c r="B16" s="29">
        <v>132518</v>
      </c>
      <c r="C16" s="29">
        <v>93434</v>
      </c>
      <c r="D16" s="29">
        <v>53491</v>
      </c>
      <c r="E16" s="29">
        <v>64613</v>
      </c>
      <c r="F16" s="29">
        <v>0</v>
      </c>
      <c r="G16" s="29">
        <v>22979</v>
      </c>
      <c r="H16" s="29">
        <v>0</v>
      </c>
      <c r="I16" s="29">
        <v>0</v>
      </c>
      <c r="J16" s="29">
        <v>0</v>
      </c>
      <c r="K16" s="29">
        <v>0</v>
      </c>
      <c r="L16" s="29">
        <v>6583</v>
      </c>
      <c r="M16" s="29">
        <v>0</v>
      </c>
      <c r="N16" s="29">
        <v>0</v>
      </c>
      <c r="O16" s="29">
        <v>76261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6150</v>
      </c>
      <c r="V16" s="29">
        <v>0</v>
      </c>
      <c r="W16" s="29">
        <v>489</v>
      </c>
      <c r="X16" s="29">
        <v>319</v>
      </c>
      <c r="Y16" s="29">
        <v>0</v>
      </c>
      <c r="Z16" s="29">
        <v>0</v>
      </c>
      <c r="AA16" s="29">
        <v>0</v>
      </c>
      <c r="AB16" s="29">
        <v>464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418</v>
      </c>
      <c r="AI16" s="29">
        <v>0</v>
      </c>
      <c r="AJ16" s="29">
        <v>0</v>
      </c>
      <c r="AK16" s="29">
        <v>0</v>
      </c>
      <c r="AL16" s="29">
        <v>1322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922</v>
      </c>
      <c r="AS16" s="29">
        <v>236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</row>
    <row r="17" spans="1:68" x14ac:dyDescent="0.25">
      <c r="A17">
        <f t="shared" si="0"/>
        <v>16</v>
      </c>
      <c r="B17" s="29">
        <v>76028</v>
      </c>
      <c r="C17" s="29">
        <v>84583</v>
      </c>
      <c r="D17" s="29">
        <v>48827</v>
      </c>
      <c r="E17" s="29">
        <v>28376</v>
      </c>
      <c r="F17" s="29">
        <v>0</v>
      </c>
      <c r="G17" s="29">
        <v>15609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68830</v>
      </c>
      <c r="T17" s="29">
        <v>0</v>
      </c>
      <c r="U17" s="29">
        <v>1856</v>
      </c>
      <c r="V17" s="29">
        <v>0</v>
      </c>
      <c r="W17" s="29">
        <v>232</v>
      </c>
      <c r="X17" s="29">
        <v>187</v>
      </c>
      <c r="Y17" s="29">
        <v>0</v>
      </c>
      <c r="Z17" s="29">
        <v>0</v>
      </c>
      <c r="AA17" s="29">
        <v>0</v>
      </c>
      <c r="AB17" s="29">
        <v>262</v>
      </c>
      <c r="AC17" s="29">
        <v>247</v>
      </c>
      <c r="AD17" s="29">
        <v>0</v>
      </c>
      <c r="AE17" s="29">
        <v>0</v>
      </c>
      <c r="AF17" s="29">
        <v>0</v>
      </c>
      <c r="AG17" s="29">
        <v>0</v>
      </c>
      <c r="AH17" s="29">
        <v>259</v>
      </c>
      <c r="AI17" s="29">
        <v>0</v>
      </c>
      <c r="AJ17" s="29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29">
        <v>0</v>
      </c>
      <c r="AX17" s="29">
        <v>126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I17" s="29">
        <v>0</v>
      </c>
      <c r="BJ17" s="29">
        <v>0</v>
      </c>
      <c r="BK17" s="29">
        <v>0</v>
      </c>
      <c r="BL17" s="29">
        <v>0</v>
      </c>
      <c r="BM17" s="29">
        <v>0</v>
      </c>
      <c r="BN17" s="29">
        <v>0</v>
      </c>
      <c r="BO17" s="29">
        <v>0</v>
      </c>
      <c r="BP17" s="29">
        <v>0</v>
      </c>
    </row>
    <row r="18" spans="1:68" x14ac:dyDescent="0.25">
      <c r="A18">
        <f t="shared" si="0"/>
        <v>17</v>
      </c>
      <c r="B18" s="29">
        <v>69848</v>
      </c>
      <c r="C18" s="29">
        <v>58835</v>
      </c>
      <c r="D18" s="29">
        <v>44306</v>
      </c>
      <c r="E18" s="29">
        <v>20771</v>
      </c>
      <c r="F18" s="29">
        <v>0</v>
      </c>
      <c r="G18" s="29">
        <v>15947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1651</v>
      </c>
      <c r="V18" s="29">
        <v>0</v>
      </c>
      <c r="W18" s="29">
        <v>222</v>
      </c>
      <c r="X18" s="29">
        <v>375</v>
      </c>
      <c r="Y18" s="29">
        <v>0</v>
      </c>
      <c r="Z18" s="29">
        <v>0</v>
      </c>
      <c r="AA18" s="29">
        <v>0</v>
      </c>
      <c r="AB18" s="29">
        <v>177</v>
      </c>
      <c r="AC18" s="29">
        <v>153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U18" s="29">
        <v>0</v>
      </c>
      <c r="AV18" s="29">
        <v>0</v>
      </c>
      <c r="AW18" s="29">
        <v>197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  <c r="BC18" s="29">
        <v>0</v>
      </c>
      <c r="BD18" s="29">
        <v>0</v>
      </c>
      <c r="BE18" s="29">
        <v>0</v>
      </c>
      <c r="BF18" s="29">
        <v>0</v>
      </c>
      <c r="BG18" s="29">
        <v>0</v>
      </c>
      <c r="BH18" s="29">
        <v>0</v>
      </c>
      <c r="BI18" s="29">
        <v>0</v>
      </c>
      <c r="BJ18" s="29">
        <v>0</v>
      </c>
      <c r="BK18" s="29">
        <v>0</v>
      </c>
      <c r="BL18" s="29">
        <v>0</v>
      </c>
      <c r="BM18" s="29">
        <v>0</v>
      </c>
      <c r="BN18" s="29">
        <v>0</v>
      </c>
      <c r="BO18" s="29">
        <v>0</v>
      </c>
      <c r="BP18" s="29">
        <v>0</v>
      </c>
    </row>
    <row r="19" spans="1:68" x14ac:dyDescent="0.25">
      <c r="A19">
        <f t="shared" si="0"/>
        <v>18</v>
      </c>
      <c r="B19" s="29">
        <v>92046</v>
      </c>
      <c r="C19" s="29">
        <v>74835</v>
      </c>
      <c r="D19" s="29">
        <v>56050</v>
      </c>
      <c r="E19" s="29">
        <v>22250</v>
      </c>
      <c r="F19" s="29">
        <v>0</v>
      </c>
      <c r="G19" s="29">
        <v>18337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1788</v>
      </c>
      <c r="V19" s="29">
        <v>0</v>
      </c>
      <c r="W19" s="29">
        <v>447</v>
      </c>
      <c r="X19" s="29">
        <v>484</v>
      </c>
      <c r="Y19" s="29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29">
        <v>0</v>
      </c>
      <c r="AN19" s="29">
        <v>0</v>
      </c>
      <c r="AO19" s="29">
        <v>0</v>
      </c>
      <c r="AP19" s="29">
        <v>0</v>
      </c>
      <c r="AQ19" s="29">
        <v>0</v>
      </c>
      <c r="AR19" s="29">
        <v>0</v>
      </c>
      <c r="AS19" s="29">
        <v>0</v>
      </c>
      <c r="AT19" s="29">
        <v>0</v>
      </c>
      <c r="AU19" s="29">
        <v>0</v>
      </c>
      <c r="AV19" s="29">
        <v>0</v>
      </c>
      <c r="AW19" s="29">
        <v>0</v>
      </c>
      <c r="AX19" s="29">
        <v>0</v>
      </c>
      <c r="AY19" s="29">
        <v>0</v>
      </c>
      <c r="AZ19" s="29">
        <v>0</v>
      </c>
      <c r="BA19" s="29">
        <v>0</v>
      </c>
      <c r="BB19" s="29">
        <v>0</v>
      </c>
      <c r="BC19" s="29">
        <v>0</v>
      </c>
      <c r="BD19" s="29">
        <v>0</v>
      </c>
      <c r="BE19" s="29">
        <v>0</v>
      </c>
      <c r="BF19" s="29">
        <v>0</v>
      </c>
      <c r="BG19" s="29">
        <v>0</v>
      </c>
      <c r="BH19" s="29">
        <v>0</v>
      </c>
      <c r="BI19" s="29">
        <v>0</v>
      </c>
      <c r="BJ19" s="29">
        <v>0</v>
      </c>
      <c r="BK19" s="29">
        <v>0</v>
      </c>
      <c r="BL19" s="29">
        <v>0</v>
      </c>
      <c r="BM19" s="29">
        <v>0</v>
      </c>
      <c r="BN19" s="29">
        <v>0</v>
      </c>
      <c r="BO19" s="29">
        <v>0</v>
      </c>
      <c r="BP19" s="29">
        <v>0</v>
      </c>
    </row>
    <row r="20" spans="1:68" x14ac:dyDescent="0.25">
      <c r="A20">
        <f t="shared" si="0"/>
        <v>19</v>
      </c>
      <c r="B20" s="29">
        <v>40670</v>
      </c>
      <c r="C20" s="29">
        <v>33721</v>
      </c>
      <c r="D20" s="29">
        <v>20108</v>
      </c>
      <c r="E20" s="29">
        <v>7529</v>
      </c>
      <c r="F20" s="29">
        <v>0</v>
      </c>
      <c r="G20" s="29">
        <v>5094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545</v>
      </c>
      <c r="V20" s="29">
        <v>0</v>
      </c>
      <c r="W20" s="29">
        <v>125</v>
      </c>
      <c r="X20" s="29">
        <v>129</v>
      </c>
      <c r="Y20" s="29">
        <v>0</v>
      </c>
      <c r="Z20" s="29">
        <v>0</v>
      </c>
      <c r="AA20" s="29">
        <v>0</v>
      </c>
      <c r="AB20" s="29">
        <v>83</v>
      </c>
      <c r="AC20" s="29">
        <v>66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U20" s="29">
        <v>0</v>
      </c>
      <c r="AV20" s="29">
        <v>0</v>
      </c>
      <c r="AW20" s="29">
        <v>0</v>
      </c>
      <c r="AX20" s="29">
        <v>47</v>
      </c>
      <c r="AY20" s="29">
        <v>0</v>
      </c>
      <c r="AZ20" s="29">
        <v>0</v>
      </c>
      <c r="BA20" s="29">
        <v>0</v>
      </c>
      <c r="BB20" s="29">
        <v>0</v>
      </c>
      <c r="BC20" s="29">
        <v>0</v>
      </c>
      <c r="BD20" s="29">
        <v>0</v>
      </c>
      <c r="BE20" s="29">
        <v>0</v>
      </c>
      <c r="BF20" s="29">
        <v>0</v>
      </c>
      <c r="BG20" s="29">
        <v>0</v>
      </c>
      <c r="BH20" s="29">
        <v>0</v>
      </c>
      <c r="BI20" s="29">
        <v>0</v>
      </c>
      <c r="BJ20" s="29">
        <v>0</v>
      </c>
      <c r="BK20" s="29">
        <v>0</v>
      </c>
      <c r="BL20" s="29">
        <v>0</v>
      </c>
      <c r="BM20" s="29">
        <v>0</v>
      </c>
      <c r="BN20" s="29">
        <v>0</v>
      </c>
      <c r="BO20" s="29">
        <v>0</v>
      </c>
      <c r="BP20" s="29">
        <v>0</v>
      </c>
    </row>
    <row r="21" spans="1:68" x14ac:dyDescent="0.25">
      <c r="A21">
        <f t="shared" si="0"/>
        <v>20</v>
      </c>
      <c r="B21" s="29">
        <v>41167</v>
      </c>
      <c r="C21" s="29">
        <v>30443</v>
      </c>
      <c r="D21" s="29">
        <v>31683</v>
      </c>
      <c r="E21" s="29">
        <v>14897</v>
      </c>
      <c r="F21" s="29">
        <v>0</v>
      </c>
      <c r="G21" s="29">
        <v>10169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1266</v>
      </c>
      <c r="V21" s="29">
        <v>0</v>
      </c>
      <c r="W21" s="29">
        <v>287</v>
      </c>
      <c r="X21" s="29">
        <v>284</v>
      </c>
      <c r="Y21" s="29">
        <v>0</v>
      </c>
      <c r="Z21" s="29">
        <v>0</v>
      </c>
      <c r="AA21" s="29">
        <v>0</v>
      </c>
      <c r="AB21" s="29">
        <v>87</v>
      </c>
      <c r="AC21" s="29">
        <v>106</v>
      </c>
      <c r="AD21" s="29">
        <v>0</v>
      </c>
      <c r="AE21" s="29">
        <v>0</v>
      </c>
      <c r="AF21" s="29">
        <v>195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29">
        <v>0</v>
      </c>
      <c r="AQ21" s="29">
        <v>0</v>
      </c>
      <c r="AR21" s="29">
        <v>0</v>
      </c>
      <c r="AS21" s="29">
        <v>0</v>
      </c>
      <c r="AT21" s="29">
        <v>0</v>
      </c>
      <c r="AU21" s="29">
        <v>0</v>
      </c>
      <c r="AV21" s="29">
        <v>0</v>
      </c>
      <c r="AW21" s="29">
        <v>234</v>
      </c>
      <c r="AX21" s="29">
        <v>0</v>
      </c>
      <c r="AY21" s="29">
        <v>0</v>
      </c>
      <c r="AZ21" s="29">
        <v>0</v>
      </c>
      <c r="BA21" s="29">
        <v>0</v>
      </c>
      <c r="BB21" s="29">
        <v>0</v>
      </c>
      <c r="BC21" s="29">
        <v>0</v>
      </c>
      <c r="BD21" s="29">
        <v>0</v>
      </c>
      <c r="BE21" s="29">
        <v>188</v>
      </c>
      <c r="BF21" s="29">
        <v>0</v>
      </c>
      <c r="BG21" s="29">
        <v>0</v>
      </c>
      <c r="BH21" s="29">
        <v>0</v>
      </c>
      <c r="BI21" s="29">
        <v>0</v>
      </c>
      <c r="BJ21" s="29">
        <v>0</v>
      </c>
      <c r="BK21" s="29">
        <v>0</v>
      </c>
      <c r="BL21" s="29">
        <v>0</v>
      </c>
      <c r="BM21" s="29">
        <v>0</v>
      </c>
      <c r="BN21" s="29">
        <v>0</v>
      </c>
      <c r="BO21" s="29">
        <v>0</v>
      </c>
      <c r="BP21" s="29">
        <v>0</v>
      </c>
    </row>
    <row r="22" spans="1:68" x14ac:dyDescent="0.25">
      <c r="A22">
        <f t="shared" si="0"/>
        <v>21</v>
      </c>
      <c r="B22" s="29">
        <v>116282</v>
      </c>
      <c r="C22" s="29">
        <v>94378</v>
      </c>
      <c r="D22" s="29">
        <v>86049</v>
      </c>
      <c r="E22" s="29">
        <v>34837</v>
      </c>
      <c r="F22" s="29">
        <v>0</v>
      </c>
      <c r="G22" s="29">
        <v>24871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2680</v>
      </c>
      <c r="V22" s="29">
        <v>0</v>
      </c>
      <c r="W22" s="29">
        <v>556</v>
      </c>
      <c r="X22" s="29">
        <v>661</v>
      </c>
      <c r="Y22" s="29">
        <v>0</v>
      </c>
      <c r="Z22" s="29">
        <v>0</v>
      </c>
      <c r="AA22" s="29">
        <v>0</v>
      </c>
      <c r="AB22" s="29">
        <v>282</v>
      </c>
      <c r="AC22" s="29">
        <v>217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U22" s="29">
        <v>0</v>
      </c>
      <c r="AV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  <c r="BC22" s="29">
        <v>0</v>
      </c>
      <c r="BD22" s="29">
        <v>0</v>
      </c>
      <c r="BE22" s="29">
        <v>0</v>
      </c>
      <c r="BF22" s="29">
        <v>0</v>
      </c>
      <c r="BG22" s="29">
        <v>0</v>
      </c>
      <c r="BH22" s="29">
        <v>0</v>
      </c>
      <c r="BI22" s="29">
        <v>0</v>
      </c>
      <c r="BJ22" s="29">
        <v>0</v>
      </c>
      <c r="BK22" s="29">
        <v>0</v>
      </c>
      <c r="BL22" s="29">
        <v>0</v>
      </c>
      <c r="BM22" s="29">
        <v>0</v>
      </c>
      <c r="BN22" s="29">
        <v>0</v>
      </c>
      <c r="BO22" s="29">
        <v>0</v>
      </c>
      <c r="BP22" s="29">
        <v>0</v>
      </c>
    </row>
    <row r="23" spans="1:68" x14ac:dyDescent="0.25">
      <c r="A23">
        <f t="shared" si="0"/>
        <v>22</v>
      </c>
      <c r="B23" s="29">
        <v>24474</v>
      </c>
      <c r="C23" s="29">
        <v>32527</v>
      </c>
      <c r="D23" s="29">
        <v>17313</v>
      </c>
      <c r="E23" s="29">
        <v>6059</v>
      </c>
      <c r="F23" s="29">
        <v>0</v>
      </c>
      <c r="G23" s="29">
        <v>6119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432</v>
      </c>
      <c r="V23" s="29">
        <v>0</v>
      </c>
      <c r="W23" s="29">
        <v>105</v>
      </c>
      <c r="X23" s="29">
        <v>102</v>
      </c>
      <c r="Y23" s="29">
        <v>0</v>
      </c>
      <c r="Z23" s="29">
        <v>0</v>
      </c>
      <c r="AA23" s="29">
        <v>0</v>
      </c>
      <c r="AB23" s="29">
        <v>0</v>
      </c>
      <c r="AC23" s="29">
        <v>101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I23" s="29">
        <v>0</v>
      </c>
      <c r="AJ23" s="29">
        <v>5416</v>
      </c>
      <c r="AK23" s="29">
        <v>0</v>
      </c>
      <c r="AL23" s="29">
        <v>0</v>
      </c>
      <c r="AM23" s="29">
        <v>0</v>
      </c>
      <c r="AN23" s="29">
        <v>0</v>
      </c>
      <c r="AO23" s="29">
        <v>0</v>
      </c>
      <c r="AP23" s="29">
        <v>0</v>
      </c>
      <c r="AQ23" s="29">
        <v>0</v>
      </c>
      <c r="AR23" s="29">
        <v>0</v>
      </c>
      <c r="AS23" s="29">
        <v>0</v>
      </c>
      <c r="AT23" s="29">
        <v>0</v>
      </c>
      <c r="AU23" s="29">
        <v>0</v>
      </c>
      <c r="AV23" s="29">
        <v>0</v>
      </c>
      <c r="AW23" s="29">
        <v>0</v>
      </c>
      <c r="AX23" s="29">
        <v>32</v>
      </c>
      <c r="AY23" s="29">
        <v>0</v>
      </c>
      <c r="AZ23" s="29">
        <v>0</v>
      </c>
      <c r="BA23" s="29">
        <v>0</v>
      </c>
      <c r="BB23" s="29">
        <v>0</v>
      </c>
      <c r="BC23" s="29">
        <v>0</v>
      </c>
      <c r="BD23" s="29">
        <v>0</v>
      </c>
      <c r="BE23" s="29">
        <v>61</v>
      </c>
      <c r="BF23" s="29">
        <v>0</v>
      </c>
      <c r="BG23" s="29">
        <v>0</v>
      </c>
      <c r="BH23" s="29">
        <v>0</v>
      </c>
      <c r="BI23" s="29">
        <v>0</v>
      </c>
      <c r="BJ23" s="29">
        <v>0</v>
      </c>
      <c r="BK23" s="29">
        <v>0</v>
      </c>
      <c r="BL23" s="29">
        <v>0</v>
      </c>
      <c r="BM23" s="29">
        <v>0</v>
      </c>
      <c r="BN23" s="29">
        <v>0</v>
      </c>
      <c r="BO23" s="29">
        <v>0</v>
      </c>
      <c r="BP23" s="29">
        <v>0</v>
      </c>
    </row>
    <row r="24" spans="1:68" x14ac:dyDescent="0.25">
      <c r="A24">
        <f t="shared" si="0"/>
        <v>23</v>
      </c>
      <c r="B24" s="29">
        <v>64182</v>
      </c>
      <c r="C24" s="29">
        <v>61228</v>
      </c>
      <c r="D24" s="29">
        <v>29579</v>
      </c>
      <c r="E24" s="29">
        <v>22058</v>
      </c>
      <c r="F24" s="29">
        <v>0</v>
      </c>
      <c r="G24" s="29">
        <v>16214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1415</v>
      </c>
      <c r="V24" s="29">
        <v>0</v>
      </c>
      <c r="W24" s="29">
        <v>645</v>
      </c>
      <c r="X24" s="29">
        <v>620</v>
      </c>
      <c r="Y24" s="29">
        <v>0</v>
      </c>
      <c r="Z24" s="29">
        <v>0</v>
      </c>
      <c r="AA24" s="29">
        <v>0</v>
      </c>
      <c r="AB24" s="29">
        <v>0</v>
      </c>
      <c r="AC24" s="29">
        <v>404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U24" s="29">
        <v>0</v>
      </c>
      <c r="AV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  <c r="BC24" s="29">
        <v>0</v>
      </c>
      <c r="BD24" s="29">
        <v>0</v>
      </c>
      <c r="BE24" s="29">
        <v>0</v>
      </c>
      <c r="BF24" s="29">
        <v>0</v>
      </c>
      <c r="BG24" s="29">
        <v>0</v>
      </c>
      <c r="BH24" s="29">
        <v>0</v>
      </c>
      <c r="BI24" s="29">
        <v>0</v>
      </c>
      <c r="BJ24" s="29">
        <v>0</v>
      </c>
      <c r="BK24" s="29">
        <v>0</v>
      </c>
      <c r="BL24" s="29">
        <v>0</v>
      </c>
      <c r="BM24" s="29">
        <v>0</v>
      </c>
      <c r="BN24" s="29">
        <v>0</v>
      </c>
      <c r="BO24" s="29">
        <v>0</v>
      </c>
      <c r="BP24" s="29">
        <v>0</v>
      </c>
    </row>
    <row r="25" spans="1:68" x14ac:dyDescent="0.25">
      <c r="A25">
        <f t="shared" si="0"/>
        <v>24</v>
      </c>
      <c r="B25" s="29">
        <v>87896</v>
      </c>
      <c r="C25" s="29">
        <v>74672</v>
      </c>
      <c r="D25" s="29">
        <v>40884</v>
      </c>
      <c r="E25" s="29">
        <v>27478</v>
      </c>
      <c r="F25" s="29">
        <v>0</v>
      </c>
      <c r="G25" s="29">
        <v>16731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1505</v>
      </c>
      <c r="V25" s="29">
        <v>0</v>
      </c>
      <c r="W25" s="29">
        <v>178</v>
      </c>
      <c r="X25" s="29">
        <v>317</v>
      </c>
      <c r="Y25" s="29">
        <v>0</v>
      </c>
      <c r="Z25" s="29">
        <v>0</v>
      </c>
      <c r="AA25" s="29">
        <v>0</v>
      </c>
      <c r="AB25" s="29">
        <v>0</v>
      </c>
      <c r="AC25" s="29">
        <v>379</v>
      </c>
      <c r="AD25" s="29">
        <v>0</v>
      </c>
      <c r="AE25" s="29">
        <v>9588</v>
      </c>
      <c r="AF25" s="29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29">
        <v>0</v>
      </c>
      <c r="AQ25" s="29">
        <v>0</v>
      </c>
      <c r="AR25" s="29">
        <v>0</v>
      </c>
      <c r="AS25" s="29">
        <v>0</v>
      </c>
      <c r="AT25" s="29">
        <v>0</v>
      </c>
      <c r="AU25" s="29">
        <v>0</v>
      </c>
      <c r="AV25" s="29">
        <v>0</v>
      </c>
      <c r="AW25" s="29">
        <v>0</v>
      </c>
      <c r="AX25" s="29">
        <v>0</v>
      </c>
      <c r="AY25" s="29">
        <v>0</v>
      </c>
      <c r="AZ25" s="29">
        <v>0</v>
      </c>
      <c r="BA25" s="29">
        <v>341</v>
      </c>
      <c r="BB25" s="29">
        <v>0</v>
      </c>
      <c r="BC25" s="29">
        <v>0</v>
      </c>
      <c r="BD25" s="29">
        <v>0</v>
      </c>
      <c r="BE25" s="29">
        <v>0</v>
      </c>
      <c r="BF25" s="29">
        <v>0</v>
      </c>
      <c r="BG25" s="29">
        <v>0</v>
      </c>
      <c r="BH25" s="29">
        <v>0</v>
      </c>
      <c r="BI25" s="29">
        <v>0</v>
      </c>
      <c r="BJ25" s="29">
        <v>0</v>
      </c>
      <c r="BK25" s="29">
        <v>0</v>
      </c>
      <c r="BL25" s="29">
        <v>0</v>
      </c>
      <c r="BM25" s="29">
        <v>0</v>
      </c>
      <c r="BN25" s="29">
        <v>0</v>
      </c>
      <c r="BO25" s="29">
        <v>0</v>
      </c>
      <c r="BP25" s="29">
        <v>0</v>
      </c>
    </row>
    <row r="26" spans="1:68" x14ac:dyDescent="0.25">
      <c r="A26">
        <f t="shared" si="0"/>
        <v>25</v>
      </c>
      <c r="B26" s="29">
        <v>31847</v>
      </c>
      <c r="C26" s="29">
        <v>34195</v>
      </c>
      <c r="D26" s="29">
        <v>13816</v>
      </c>
      <c r="E26" s="29">
        <v>7746</v>
      </c>
      <c r="F26" s="29">
        <v>0</v>
      </c>
      <c r="G26" s="29">
        <v>5937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582</v>
      </c>
      <c r="V26" s="29">
        <v>0</v>
      </c>
      <c r="W26" s="29">
        <v>256</v>
      </c>
      <c r="X26" s="29">
        <v>209</v>
      </c>
      <c r="Y26" s="29">
        <v>0</v>
      </c>
      <c r="Z26" s="29">
        <v>0</v>
      </c>
      <c r="AA26" s="29">
        <v>0</v>
      </c>
      <c r="AB26" s="29">
        <v>0</v>
      </c>
      <c r="AC26" s="29">
        <v>106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U26" s="29">
        <v>0</v>
      </c>
      <c r="AV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  <c r="BC26" s="29">
        <v>0</v>
      </c>
      <c r="BD26" s="29">
        <v>0</v>
      </c>
      <c r="BE26" s="29">
        <v>79</v>
      </c>
      <c r="BF26" s="29">
        <v>0</v>
      </c>
      <c r="BG26" s="29">
        <v>0</v>
      </c>
      <c r="BH26" s="29">
        <v>0</v>
      </c>
      <c r="BI26" s="29">
        <v>0</v>
      </c>
      <c r="BJ26" s="29">
        <v>0</v>
      </c>
      <c r="BK26" s="29">
        <v>0</v>
      </c>
      <c r="BL26" s="29">
        <v>0</v>
      </c>
      <c r="BM26" s="29">
        <v>0</v>
      </c>
      <c r="BN26" s="29">
        <v>0</v>
      </c>
      <c r="BO26" s="29">
        <v>0</v>
      </c>
      <c r="BP26" s="29">
        <v>0</v>
      </c>
    </row>
    <row r="27" spans="1:68" x14ac:dyDescent="0.25">
      <c r="A27">
        <f t="shared" si="0"/>
        <v>26</v>
      </c>
      <c r="B27" s="29">
        <v>57481</v>
      </c>
      <c r="C27" s="29">
        <v>67715</v>
      </c>
      <c r="D27" s="29">
        <v>34929</v>
      </c>
      <c r="E27" s="29">
        <v>13608</v>
      </c>
      <c r="F27" s="29">
        <v>0</v>
      </c>
      <c r="G27" s="29">
        <v>16886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964</v>
      </c>
      <c r="V27" s="29">
        <v>0</v>
      </c>
      <c r="W27" s="29">
        <v>306</v>
      </c>
      <c r="X27" s="29">
        <v>266</v>
      </c>
      <c r="Y27" s="29">
        <v>0</v>
      </c>
      <c r="Z27" s="29">
        <v>0</v>
      </c>
      <c r="AA27" s="29">
        <v>0</v>
      </c>
      <c r="AB27" s="29">
        <v>0</v>
      </c>
      <c r="AC27" s="29">
        <v>196</v>
      </c>
      <c r="AD27" s="29">
        <v>0</v>
      </c>
      <c r="AE27" s="29">
        <v>286</v>
      </c>
      <c r="AF27" s="29">
        <v>0</v>
      </c>
      <c r="AG27" s="29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29">
        <v>0</v>
      </c>
      <c r="AQ27" s="29">
        <v>0</v>
      </c>
      <c r="AR27" s="29">
        <v>0</v>
      </c>
      <c r="AS27" s="29">
        <v>229</v>
      </c>
      <c r="AT27" s="29">
        <v>0</v>
      </c>
      <c r="AU27" s="29">
        <v>0</v>
      </c>
      <c r="AV27" s="29">
        <v>0</v>
      </c>
      <c r="AW27" s="29">
        <v>0</v>
      </c>
      <c r="AX27" s="29">
        <v>0</v>
      </c>
      <c r="AY27" s="29">
        <v>0</v>
      </c>
      <c r="AZ27" s="29">
        <v>0</v>
      </c>
      <c r="BA27" s="29">
        <v>322</v>
      </c>
      <c r="BB27" s="29">
        <v>0</v>
      </c>
      <c r="BC27" s="29">
        <v>0</v>
      </c>
      <c r="BD27" s="29">
        <v>0</v>
      </c>
      <c r="BE27" s="29">
        <v>0</v>
      </c>
      <c r="BF27" s="29">
        <v>0</v>
      </c>
      <c r="BG27" s="29">
        <v>0</v>
      </c>
      <c r="BH27" s="29">
        <v>0</v>
      </c>
      <c r="BI27" s="29">
        <v>0</v>
      </c>
      <c r="BJ27" s="29">
        <v>0</v>
      </c>
      <c r="BK27" s="29">
        <v>0</v>
      </c>
      <c r="BL27" s="29">
        <v>0</v>
      </c>
      <c r="BM27" s="29">
        <v>0</v>
      </c>
      <c r="BN27" s="29">
        <v>0</v>
      </c>
      <c r="BO27" s="29">
        <v>0</v>
      </c>
      <c r="BP27" s="29">
        <v>0</v>
      </c>
    </row>
    <row r="28" spans="1:68" x14ac:dyDescent="0.25">
      <c r="A28">
        <f t="shared" si="0"/>
        <v>27</v>
      </c>
      <c r="B28" s="29">
        <v>25233</v>
      </c>
      <c r="C28" s="29">
        <v>28057</v>
      </c>
      <c r="D28" s="29">
        <v>14569</v>
      </c>
      <c r="E28" s="29">
        <v>7901</v>
      </c>
      <c r="F28" s="29">
        <v>0</v>
      </c>
      <c r="G28" s="29">
        <v>6861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462</v>
      </c>
      <c r="V28" s="29">
        <v>0</v>
      </c>
      <c r="W28" s="29">
        <v>191</v>
      </c>
      <c r="X28" s="29">
        <v>133</v>
      </c>
      <c r="Y28" s="29">
        <v>0</v>
      </c>
      <c r="Z28" s="29">
        <v>0</v>
      </c>
      <c r="AA28" s="29">
        <v>0</v>
      </c>
      <c r="AB28" s="29">
        <v>0</v>
      </c>
      <c r="AC28" s="29">
        <v>67</v>
      </c>
      <c r="AD28" s="29">
        <v>0</v>
      </c>
      <c r="AE28" s="29">
        <v>0</v>
      </c>
      <c r="AF28" s="29">
        <v>173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U28" s="29">
        <v>0</v>
      </c>
      <c r="AV28" s="29">
        <v>0</v>
      </c>
      <c r="AW28" s="29">
        <v>115</v>
      </c>
      <c r="AX28" s="29">
        <v>38</v>
      </c>
      <c r="AY28" s="29">
        <v>0</v>
      </c>
      <c r="AZ28" s="29">
        <v>0</v>
      </c>
      <c r="BA28" s="29">
        <v>0</v>
      </c>
      <c r="BB28" s="29">
        <v>0</v>
      </c>
      <c r="BC28" s="29">
        <v>0</v>
      </c>
      <c r="BD28" s="29">
        <v>0</v>
      </c>
      <c r="BE28" s="29">
        <v>0</v>
      </c>
      <c r="BF28" s="29">
        <v>0</v>
      </c>
      <c r="BG28" s="29">
        <v>0</v>
      </c>
      <c r="BH28" s="29">
        <v>0</v>
      </c>
      <c r="BI28" s="29">
        <v>0</v>
      </c>
      <c r="BJ28" s="29">
        <v>0</v>
      </c>
      <c r="BK28" s="29">
        <v>0</v>
      </c>
      <c r="BL28" s="29">
        <v>234</v>
      </c>
      <c r="BM28" s="29">
        <v>0</v>
      </c>
      <c r="BN28" s="29">
        <v>0</v>
      </c>
      <c r="BO28" s="29">
        <v>0</v>
      </c>
      <c r="BP28" s="29">
        <v>0</v>
      </c>
    </row>
    <row r="29" spans="1:68" x14ac:dyDescent="0.25">
      <c r="A29">
        <f t="shared" si="0"/>
        <v>28</v>
      </c>
      <c r="B29" s="29">
        <v>16043</v>
      </c>
      <c r="C29" s="29">
        <v>15247</v>
      </c>
      <c r="D29" s="29">
        <v>6264</v>
      </c>
      <c r="E29" s="29">
        <v>3517</v>
      </c>
      <c r="F29" s="29">
        <v>0</v>
      </c>
      <c r="G29" s="29">
        <v>2670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205</v>
      </c>
      <c r="V29" s="29">
        <v>0</v>
      </c>
      <c r="W29" s="29">
        <v>95</v>
      </c>
      <c r="X29" s="29">
        <v>95</v>
      </c>
      <c r="Y29" s="29">
        <v>0</v>
      </c>
      <c r="Z29" s="29">
        <v>0</v>
      </c>
      <c r="AA29" s="29">
        <v>0</v>
      </c>
      <c r="AB29" s="29">
        <v>0</v>
      </c>
      <c r="AC29" s="29">
        <v>87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29">
        <v>0</v>
      </c>
      <c r="AN29" s="29">
        <v>0</v>
      </c>
      <c r="AO29" s="29">
        <v>0</v>
      </c>
      <c r="AP29" s="29">
        <v>0</v>
      </c>
      <c r="AQ29" s="29">
        <v>0</v>
      </c>
      <c r="AR29" s="29">
        <v>0</v>
      </c>
      <c r="AS29" s="29">
        <v>0</v>
      </c>
      <c r="AT29" s="29">
        <v>0</v>
      </c>
      <c r="AU29" s="29">
        <v>1466</v>
      </c>
      <c r="AV29" s="29">
        <v>0</v>
      </c>
      <c r="AW29" s="29">
        <v>0</v>
      </c>
      <c r="AX29" s="29">
        <v>0</v>
      </c>
      <c r="AY29" s="29">
        <v>0</v>
      </c>
      <c r="AZ29" s="29">
        <v>0</v>
      </c>
      <c r="BA29" s="29">
        <v>0</v>
      </c>
      <c r="BB29" s="29">
        <v>0</v>
      </c>
      <c r="BC29" s="29">
        <v>0</v>
      </c>
      <c r="BD29" s="29">
        <v>0</v>
      </c>
      <c r="BE29" s="29">
        <v>0</v>
      </c>
      <c r="BF29" s="29">
        <v>0</v>
      </c>
      <c r="BG29" s="29">
        <v>0</v>
      </c>
      <c r="BH29" s="29">
        <v>0</v>
      </c>
      <c r="BI29" s="29">
        <v>0</v>
      </c>
      <c r="BJ29" s="29">
        <v>0</v>
      </c>
      <c r="BK29" s="29">
        <v>0</v>
      </c>
      <c r="BL29" s="29">
        <v>0</v>
      </c>
      <c r="BM29" s="29">
        <v>0</v>
      </c>
      <c r="BN29" s="29">
        <v>0</v>
      </c>
      <c r="BO29" s="29">
        <v>0</v>
      </c>
      <c r="BP29" s="29">
        <v>0</v>
      </c>
    </row>
    <row r="30" spans="1:68" x14ac:dyDescent="0.25">
      <c r="A30">
        <f t="shared" si="0"/>
        <v>29</v>
      </c>
      <c r="B30" s="29">
        <v>94384</v>
      </c>
      <c r="C30" s="29">
        <v>91857</v>
      </c>
      <c r="D30" s="29">
        <v>56353</v>
      </c>
      <c r="E30" s="29">
        <v>34313</v>
      </c>
      <c r="F30" s="29">
        <v>0</v>
      </c>
      <c r="G30" s="29">
        <v>26947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2088</v>
      </c>
      <c r="V30" s="29">
        <v>0</v>
      </c>
      <c r="W30" s="29">
        <v>594</v>
      </c>
      <c r="X30" s="29">
        <v>586</v>
      </c>
      <c r="Y30" s="29">
        <v>0</v>
      </c>
      <c r="Z30" s="29">
        <v>0</v>
      </c>
      <c r="AA30" s="29">
        <v>0</v>
      </c>
      <c r="AB30" s="29">
        <v>223</v>
      </c>
      <c r="AC30" s="29">
        <v>281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U30" s="29">
        <v>0</v>
      </c>
      <c r="AV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  <c r="BC30" s="29">
        <v>0</v>
      </c>
      <c r="BD30" s="29">
        <v>0</v>
      </c>
      <c r="BE30" s="29">
        <v>151</v>
      </c>
      <c r="BF30" s="29">
        <v>0</v>
      </c>
      <c r="BG30" s="29">
        <v>530</v>
      </c>
      <c r="BH30" s="29">
        <v>0</v>
      </c>
      <c r="BI30" s="29">
        <v>0</v>
      </c>
      <c r="BJ30" s="29">
        <v>0</v>
      </c>
      <c r="BK30" s="29">
        <v>0</v>
      </c>
      <c r="BL30" s="29">
        <v>0</v>
      </c>
      <c r="BM30" s="29">
        <v>0</v>
      </c>
      <c r="BN30" s="29">
        <v>0</v>
      </c>
      <c r="BO30" s="29">
        <v>0</v>
      </c>
      <c r="BP30" s="29">
        <v>0</v>
      </c>
    </row>
    <row r="31" spans="1:68" x14ac:dyDescent="0.25">
      <c r="A31">
        <f t="shared" si="0"/>
        <v>30</v>
      </c>
      <c r="B31" s="29">
        <v>32747</v>
      </c>
      <c r="C31" s="29">
        <v>33495</v>
      </c>
      <c r="D31" s="29">
        <v>17036</v>
      </c>
      <c r="E31" s="29">
        <v>7001</v>
      </c>
      <c r="F31" s="29">
        <v>0</v>
      </c>
      <c r="G31" s="29">
        <v>6835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432</v>
      </c>
      <c r="V31" s="29">
        <v>0</v>
      </c>
      <c r="W31" s="29">
        <v>129</v>
      </c>
      <c r="X31" s="29">
        <v>143</v>
      </c>
      <c r="Y31" s="29">
        <v>0</v>
      </c>
      <c r="Z31" s="29">
        <v>0</v>
      </c>
      <c r="AA31" s="29">
        <v>0</v>
      </c>
      <c r="AB31" s="29">
        <v>0</v>
      </c>
      <c r="AC31" s="29">
        <v>120</v>
      </c>
      <c r="AD31" s="29">
        <v>0</v>
      </c>
      <c r="AE31" s="29">
        <v>369</v>
      </c>
      <c r="AF31" s="29">
        <v>0</v>
      </c>
      <c r="AG31" s="29">
        <v>0</v>
      </c>
      <c r="AH31" s="29">
        <v>0</v>
      </c>
      <c r="AI31" s="29">
        <v>0</v>
      </c>
      <c r="AJ31" s="29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29">
        <v>0</v>
      </c>
      <c r="AQ31" s="29">
        <v>0</v>
      </c>
      <c r="AR31" s="29">
        <v>0</v>
      </c>
      <c r="AS31" s="29">
        <v>0</v>
      </c>
      <c r="AT31" s="29">
        <v>0</v>
      </c>
      <c r="AU31" s="29">
        <v>0</v>
      </c>
      <c r="AV31" s="29">
        <v>0</v>
      </c>
      <c r="AW31" s="29">
        <v>0</v>
      </c>
      <c r="AX31" s="29">
        <v>0</v>
      </c>
      <c r="AY31" s="29">
        <v>0</v>
      </c>
      <c r="AZ31" s="29">
        <v>0</v>
      </c>
      <c r="BA31" s="29">
        <v>278</v>
      </c>
      <c r="BB31" s="29">
        <v>0</v>
      </c>
      <c r="BC31" s="29">
        <v>0</v>
      </c>
      <c r="BD31" s="29">
        <v>0</v>
      </c>
      <c r="BE31" s="29">
        <v>0</v>
      </c>
      <c r="BF31" s="29">
        <v>0</v>
      </c>
      <c r="BG31" s="29">
        <v>0</v>
      </c>
      <c r="BH31" s="29">
        <v>0</v>
      </c>
      <c r="BI31" s="29">
        <v>0</v>
      </c>
      <c r="BJ31" s="29">
        <v>0</v>
      </c>
      <c r="BK31" s="29">
        <v>0</v>
      </c>
      <c r="BL31" s="29">
        <v>0</v>
      </c>
      <c r="BM31" s="29">
        <v>0</v>
      </c>
      <c r="BN31" s="29">
        <v>0</v>
      </c>
      <c r="BO31" s="29">
        <v>0</v>
      </c>
      <c r="BP31" s="29">
        <v>0</v>
      </c>
    </row>
    <row r="32" spans="1:68" x14ac:dyDescent="0.25">
      <c r="A32">
        <f t="shared" si="0"/>
        <v>31</v>
      </c>
      <c r="B32" s="29">
        <v>638319</v>
      </c>
      <c r="C32" s="29">
        <v>225645</v>
      </c>
      <c r="D32" s="29">
        <v>184715</v>
      </c>
      <c r="E32" s="29">
        <v>0</v>
      </c>
      <c r="F32" s="29">
        <v>618909</v>
      </c>
      <c r="G32" s="29">
        <v>174124</v>
      </c>
      <c r="H32" s="29">
        <v>343931</v>
      </c>
      <c r="I32" s="29">
        <v>452482</v>
      </c>
      <c r="J32" s="29">
        <v>0</v>
      </c>
      <c r="K32" s="29">
        <v>0</v>
      </c>
      <c r="L32" s="29">
        <v>0</v>
      </c>
      <c r="M32" s="29">
        <v>179041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34752</v>
      </c>
      <c r="V32" s="29">
        <v>41826</v>
      </c>
      <c r="W32" s="29">
        <v>4698</v>
      </c>
      <c r="X32" s="29">
        <v>1577</v>
      </c>
      <c r="Y32" s="29">
        <v>0</v>
      </c>
      <c r="Z32" s="29">
        <v>0</v>
      </c>
      <c r="AA32" s="29">
        <v>0</v>
      </c>
      <c r="AB32" s="29">
        <v>1509</v>
      </c>
      <c r="AC32" s="29">
        <v>1587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3005</v>
      </c>
      <c r="AO32" s="29">
        <v>0</v>
      </c>
      <c r="AP32" s="29">
        <v>0</v>
      </c>
      <c r="AQ32" s="29">
        <v>1178</v>
      </c>
      <c r="AR32" s="29">
        <v>0</v>
      </c>
      <c r="AS32" s="29">
        <v>0</v>
      </c>
      <c r="AT32" s="29">
        <v>0</v>
      </c>
      <c r="AU32" s="29">
        <v>0</v>
      </c>
      <c r="AV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  <c r="BC32" s="29">
        <v>0</v>
      </c>
      <c r="BD32" s="29">
        <v>0</v>
      </c>
      <c r="BE32" s="29">
        <v>0</v>
      </c>
      <c r="BF32" s="29">
        <v>0</v>
      </c>
      <c r="BG32" s="29">
        <v>0</v>
      </c>
      <c r="BH32" s="29">
        <v>0</v>
      </c>
      <c r="BI32" s="29">
        <v>0</v>
      </c>
      <c r="BJ32" s="29">
        <v>0</v>
      </c>
      <c r="BK32" s="29">
        <v>0</v>
      </c>
      <c r="BL32" s="29">
        <v>0</v>
      </c>
      <c r="BM32" s="29">
        <v>0</v>
      </c>
      <c r="BN32" s="29">
        <v>0</v>
      </c>
      <c r="BO32" s="29">
        <v>0</v>
      </c>
      <c r="BP32" s="29">
        <v>0</v>
      </c>
    </row>
    <row r="33" spans="1:68" x14ac:dyDescent="0.25">
      <c r="A33">
        <f t="shared" si="0"/>
        <v>32</v>
      </c>
      <c r="B33" s="29">
        <v>52723</v>
      </c>
      <c r="C33" s="29">
        <v>17449</v>
      </c>
      <c r="D33" s="29">
        <v>18489</v>
      </c>
      <c r="E33" s="29">
        <v>0</v>
      </c>
      <c r="F33" s="29">
        <v>91932</v>
      </c>
      <c r="G33" s="29">
        <v>13869</v>
      </c>
      <c r="H33" s="29">
        <v>88060</v>
      </c>
      <c r="I33" s="29">
        <v>33710</v>
      </c>
      <c r="J33" s="29">
        <v>0</v>
      </c>
      <c r="K33" s="29">
        <v>0</v>
      </c>
      <c r="L33" s="29">
        <v>0</v>
      </c>
      <c r="M33" s="29">
        <v>31703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3724</v>
      </c>
      <c r="V33" s="29">
        <v>0</v>
      </c>
      <c r="W33" s="29">
        <v>508</v>
      </c>
      <c r="X33" s="29">
        <v>339</v>
      </c>
      <c r="Y33" s="29">
        <v>0</v>
      </c>
      <c r="Z33" s="29">
        <v>0</v>
      </c>
      <c r="AA33" s="29">
        <v>0</v>
      </c>
      <c r="AB33" s="29">
        <v>327</v>
      </c>
      <c r="AC33" s="29">
        <v>316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0</v>
      </c>
      <c r="AM33" s="29">
        <v>0</v>
      </c>
      <c r="AN33" s="29">
        <v>0</v>
      </c>
      <c r="AO33" s="29">
        <v>0</v>
      </c>
      <c r="AP33" s="29">
        <v>0</v>
      </c>
      <c r="AQ33" s="29">
        <v>246</v>
      </c>
      <c r="AR33" s="29">
        <v>0</v>
      </c>
      <c r="AS33" s="29">
        <v>0</v>
      </c>
      <c r="AT33" s="29">
        <v>0</v>
      </c>
      <c r="AU33" s="29">
        <v>0</v>
      </c>
      <c r="AV33" s="29">
        <v>0</v>
      </c>
      <c r="AW33" s="29">
        <v>0</v>
      </c>
      <c r="AX33" s="29">
        <v>0</v>
      </c>
      <c r="AY33" s="29">
        <v>0</v>
      </c>
      <c r="AZ33" s="29">
        <v>0</v>
      </c>
      <c r="BA33" s="29">
        <v>0</v>
      </c>
      <c r="BB33" s="29">
        <v>0</v>
      </c>
      <c r="BC33" s="29">
        <v>0</v>
      </c>
      <c r="BD33" s="29">
        <v>0</v>
      </c>
      <c r="BE33" s="29">
        <v>0</v>
      </c>
      <c r="BF33" s="29">
        <v>0</v>
      </c>
      <c r="BG33" s="29">
        <v>0</v>
      </c>
      <c r="BH33" s="29">
        <v>0</v>
      </c>
      <c r="BI33" s="29">
        <v>0</v>
      </c>
      <c r="BJ33" s="29">
        <v>0</v>
      </c>
      <c r="BK33" s="29">
        <v>0</v>
      </c>
      <c r="BL33" s="29">
        <v>0</v>
      </c>
      <c r="BM33" s="29">
        <v>0</v>
      </c>
      <c r="BN33" s="29">
        <v>0</v>
      </c>
      <c r="BO33" s="29">
        <v>0</v>
      </c>
      <c r="BP33" s="29">
        <v>0</v>
      </c>
    </row>
    <row r="34" spans="1:68" x14ac:dyDescent="0.25">
      <c r="A34">
        <f t="shared" si="0"/>
        <v>33</v>
      </c>
      <c r="B34" s="29">
        <v>29983</v>
      </c>
      <c r="C34" s="29">
        <v>14697</v>
      </c>
      <c r="D34" s="29">
        <v>9312</v>
      </c>
      <c r="E34" s="29">
        <v>0</v>
      </c>
      <c r="F34" s="29">
        <v>65236</v>
      </c>
      <c r="G34" s="29">
        <v>7128</v>
      </c>
      <c r="H34" s="29">
        <v>46773</v>
      </c>
      <c r="I34" s="29">
        <v>16337</v>
      </c>
      <c r="J34" s="29">
        <v>0</v>
      </c>
      <c r="K34" s="29">
        <v>0</v>
      </c>
      <c r="L34" s="29">
        <v>0</v>
      </c>
      <c r="M34" s="29">
        <v>14098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1521</v>
      </c>
      <c r="V34" s="29">
        <v>0</v>
      </c>
      <c r="W34" s="29">
        <v>183</v>
      </c>
      <c r="X34" s="29">
        <v>169</v>
      </c>
      <c r="Y34" s="29">
        <v>0</v>
      </c>
      <c r="Z34" s="29">
        <v>0</v>
      </c>
      <c r="AA34" s="29">
        <v>0</v>
      </c>
      <c r="AB34" s="29">
        <v>129</v>
      </c>
      <c r="AC34" s="29">
        <v>126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124</v>
      </c>
      <c r="AR34" s="29">
        <v>0</v>
      </c>
      <c r="AS34" s="29">
        <v>0</v>
      </c>
      <c r="AT34" s="29">
        <v>0</v>
      </c>
      <c r="AU34" s="29">
        <v>0</v>
      </c>
      <c r="AV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  <c r="BC34" s="29">
        <v>0</v>
      </c>
      <c r="BD34" s="29">
        <v>0</v>
      </c>
      <c r="BE34" s="29">
        <v>0</v>
      </c>
      <c r="BF34" s="29">
        <v>0</v>
      </c>
      <c r="BG34" s="29">
        <v>0</v>
      </c>
      <c r="BH34" s="29">
        <v>0</v>
      </c>
      <c r="BI34" s="29">
        <v>0</v>
      </c>
      <c r="BJ34" s="29">
        <v>0</v>
      </c>
      <c r="BK34" s="29">
        <v>0</v>
      </c>
      <c r="BL34" s="29">
        <v>0</v>
      </c>
      <c r="BM34" s="29">
        <v>0</v>
      </c>
      <c r="BN34" s="29">
        <v>0</v>
      </c>
      <c r="BO34" s="29">
        <v>0</v>
      </c>
      <c r="BP34" s="29">
        <v>0</v>
      </c>
    </row>
    <row r="35" spans="1:68" x14ac:dyDescent="0.25">
      <c r="A35">
        <f t="shared" si="0"/>
        <v>34</v>
      </c>
      <c r="B35" s="29">
        <v>73641</v>
      </c>
      <c r="C35" s="29">
        <v>29923</v>
      </c>
      <c r="D35" s="29">
        <v>31124</v>
      </c>
      <c r="E35" s="29">
        <v>0</v>
      </c>
      <c r="F35" s="29">
        <v>98782</v>
      </c>
      <c r="G35" s="29">
        <v>22814</v>
      </c>
      <c r="H35" s="29">
        <v>51461</v>
      </c>
      <c r="I35" s="29">
        <v>46644</v>
      </c>
      <c r="J35" s="29">
        <v>0</v>
      </c>
      <c r="K35" s="29">
        <v>0</v>
      </c>
      <c r="L35" s="29">
        <v>0</v>
      </c>
      <c r="M35" s="29">
        <v>22129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4588</v>
      </c>
      <c r="V35" s="29">
        <v>0</v>
      </c>
      <c r="W35" s="29">
        <v>533</v>
      </c>
      <c r="X35" s="29">
        <v>351</v>
      </c>
      <c r="Y35" s="29">
        <v>0</v>
      </c>
      <c r="Z35" s="29">
        <v>0</v>
      </c>
      <c r="AA35" s="29">
        <v>0</v>
      </c>
      <c r="AB35" s="29">
        <v>180</v>
      </c>
      <c r="AC35" s="29">
        <v>191</v>
      </c>
      <c r="AD35" s="29">
        <v>0</v>
      </c>
      <c r="AE35" s="29">
        <v>0</v>
      </c>
      <c r="AF35" s="29">
        <v>0</v>
      </c>
      <c r="AG35" s="29">
        <v>0</v>
      </c>
      <c r="AH35" s="29">
        <v>0</v>
      </c>
      <c r="AI35" s="29">
        <v>0</v>
      </c>
      <c r="AJ35" s="29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29">
        <v>0</v>
      </c>
      <c r="AQ35" s="29">
        <v>343</v>
      </c>
      <c r="AR35" s="29">
        <v>0</v>
      </c>
      <c r="AS35" s="29">
        <v>0</v>
      </c>
      <c r="AT35" s="29">
        <v>0</v>
      </c>
      <c r="AU35" s="29">
        <v>0</v>
      </c>
      <c r="AV35" s="29">
        <v>0</v>
      </c>
      <c r="AW35" s="29">
        <v>0</v>
      </c>
      <c r="AX35" s="29">
        <v>0</v>
      </c>
      <c r="AY35" s="29">
        <v>0</v>
      </c>
      <c r="AZ35" s="29">
        <v>0</v>
      </c>
      <c r="BA35" s="29">
        <v>0</v>
      </c>
      <c r="BB35" s="29">
        <v>0</v>
      </c>
      <c r="BC35" s="29">
        <v>0</v>
      </c>
      <c r="BD35" s="29">
        <v>0</v>
      </c>
      <c r="BE35" s="29">
        <v>0</v>
      </c>
      <c r="BF35" s="29">
        <v>0</v>
      </c>
      <c r="BG35" s="29">
        <v>0</v>
      </c>
      <c r="BH35" s="29">
        <v>0</v>
      </c>
      <c r="BI35" s="29">
        <v>0</v>
      </c>
      <c r="BJ35" s="29">
        <v>0</v>
      </c>
      <c r="BK35" s="29">
        <v>0</v>
      </c>
      <c r="BL35" s="29">
        <v>0</v>
      </c>
      <c r="BM35" s="29">
        <v>0</v>
      </c>
      <c r="BN35" s="29">
        <v>0</v>
      </c>
      <c r="BO35" s="29">
        <v>0</v>
      </c>
      <c r="BP35" s="29">
        <v>0</v>
      </c>
    </row>
    <row r="36" spans="1:68" x14ac:dyDescent="0.25">
      <c r="A36">
        <f t="shared" si="0"/>
        <v>35</v>
      </c>
      <c r="B36" s="29">
        <v>142312</v>
      </c>
      <c r="C36" s="29">
        <v>92742</v>
      </c>
      <c r="D36" s="29">
        <v>64016</v>
      </c>
      <c r="E36" s="29">
        <v>33971</v>
      </c>
      <c r="F36" s="29">
        <v>0</v>
      </c>
      <c r="G36" s="29">
        <v>29520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2400</v>
      </c>
      <c r="V36" s="29">
        <v>0</v>
      </c>
      <c r="W36" s="29">
        <v>674</v>
      </c>
      <c r="X36" s="29">
        <v>925</v>
      </c>
      <c r="Y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  <c r="BC36" s="29">
        <v>0</v>
      </c>
      <c r="BD36" s="29">
        <v>0</v>
      </c>
      <c r="BE36" s="29">
        <v>0</v>
      </c>
      <c r="BF36" s="29">
        <v>0</v>
      </c>
      <c r="BG36" s="29">
        <v>0</v>
      </c>
      <c r="BH36" s="29">
        <v>0</v>
      </c>
      <c r="BI36" s="29">
        <v>0</v>
      </c>
      <c r="BJ36" s="29">
        <v>0</v>
      </c>
      <c r="BK36" s="29">
        <v>0</v>
      </c>
      <c r="BL36" s="29">
        <v>0</v>
      </c>
      <c r="BM36" s="29">
        <v>0</v>
      </c>
      <c r="BN36" s="29">
        <v>0</v>
      </c>
      <c r="BO36" s="29">
        <v>0</v>
      </c>
      <c r="BP36" s="29">
        <v>0</v>
      </c>
    </row>
    <row r="37" spans="1:68" x14ac:dyDescent="0.25">
      <c r="A37">
        <f t="shared" si="0"/>
        <v>36</v>
      </c>
      <c r="B37" s="29">
        <v>85135</v>
      </c>
      <c r="C37" s="29">
        <v>61527</v>
      </c>
      <c r="D37" s="29">
        <v>35807</v>
      </c>
      <c r="E37" s="29">
        <v>20101</v>
      </c>
      <c r="F37" s="29">
        <v>0</v>
      </c>
      <c r="G37" s="29">
        <v>15533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1276</v>
      </c>
      <c r="V37" s="29">
        <v>0</v>
      </c>
      <c r="W37" s="29">
        <v>342</v>
      </c>
      <c r="X37" s="29">
        <v>295</v>
      </c>
      <c r="Y37" s="2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AI37" s="29">
        <v>0</v>
      </c>
      <c r="AJ37" s="29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29">
        <v>0</v>
      </c>
      <c r="AQ37" s="29">
        <v>0</v>
      </c>
      <c r="AR37" s="29">
        <v>0</v>
      </c>
      <c r="AS37" s="29">
        <v>0</v>
      </c>
      <c r="AT37" s="29">
        <v>0</v>
      </c>
      <c r="AU37" s="29">
        <v>0</v>
      </c>
      <c r="AV37" s="29">
        <v>1347</v>
      </c>
      <c r="AW37" s="29">
        <v>0</v>
      </c>
      <c r="AX37" s="29">
        <v>0</v>
      </c>
      <c r="AY37" s="29">
        <v>0</v>
      </c>
      <c r="AZ37" s="29">
        <v>0</v>
      </c>
      <c r="BA37" s="29">
        <v>0</v>
      </c>
      <c r="BB37" s="29">
        <v>0</v>
      </c>
      <c r="BC37" s="29">
        <v>0</v>
      </c>
      <c r="BD37" s="29">
        <v>0</v>
      </c>
      <c r="BE37" s="29">
        <v>0</v>
      </c>
      <c r="BF37" s="29">
        <v>0</v>
      </c>
      <c r="BG37" s="29">
        <v>0</v>
      </c>
      <c r="BH37" s="29">
        <v>0</v>
      </c>
      <c r="BI37" s="29">
        <v>0</v>
      </c>
      <c r="BJ37" s="29">
        <v>0</v>
      </c>
      <c r="BK37" s="29">
        <v>0</v>
      </c>
      <c r="BL37" s="29">
        <v>0</v>
      </c>
      <c r="BM37" s="29">
        <v>0</v>
      </c>
      <c r="BN37" s="29">
        <v>0</v>
      </c>
      <c r="BO37" s="29">
        <v>0</v>
      </c>
      <c r="BP37" s="29">
        <v>0</v>
      </c>
    </row>
    <row r="38" spans="1:68" x14ac:dyDescent="0.25">
      <c r="A38">
        <f t="shared" si="0"/>
        <v>37</v>
      </c>
      <c r="B38" s="29">
        <v>184178</v>
      </c>
      <c r="C38" s="29">
        <v>187127</v>
      </c>
      <c r="D38" s="29">
        <v>50325</v>
      </c>
      <c r="E38" s="29">
        <v>0</v>
      </c>
      <c r="F38" s="29">
        <v>0</v>
      </c>
      <c r="G38" s="29">
        <v>28469</v>
      </c>
      <c r="H38" s="29">
        <v>0</v>
      </c>
      <c r="I38" s="29">
        <v>0</v>
      </c>
      <c r="J38" s="29">
        <v>0</v>
      </c>
      <c r="K38" s="29">
        <v>0</v>
      </c>
      <c r="L38" s="29">
        <v>12619</v>
      </c>
      <c r="M38" s="29">
        <v>0</v>
      </c>
      <c r="N38" s="29">
        <v>77069</v>
      </c>
      <c r="O38" s="29">
        <v>0</v>
      </c>
      <c r="P38" s="29">
        <v>0</v>
      </c>
      <c r="Q38" s="29">
        <v>0</v>
      </c>
      <c r="R38" s="29">
        <v>58135</v>
      </c>
      <c r="S38" s="29">
        <v>0</v>
      </c>
      <c r="T38" s="29">
        <v>0</v>
      </c>
      <c r="U38" s="29">
        <v>4572</v>
      </c>
      <c r="V38" s="29">
        <v>0</v>
      </c>
      <c r="W38" s="29">
        <v>925</v>
      </c>
      <c r="X38" s="29">
        <v>607</v>
      </c>
      <c r="Y38" s="29">
        <v>0</v>
      </c>
      <c r="Z38" s="29">
        <v>0</v>
      </c>
      <c r="AA38" s="29">
        <v>0</v>
      </c>
      <c r="AB38" s="29">
        <v>0</v>
      </c>
      <c r="AC38" s="29">
        <v>472</v>
      </c>
      <c r="AD38" s="29">
        <v>0</v>
      </c>
      <c r="AE38" s="29">
        <v>0</v>
      </c>
      <c r="AF38" s="29">
        <v>1689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</row>
    <row r="39" spans="1:68" x14ac:dyDescent="0.25">
      <c r="A39">
        <f t="shared" si="0"/>
        <v>38</v>
      </c>
      <c r="B39" s="29">
        <v>57537</v>
      </c>
      <c r="C39" s="29">
        <v>68530</v>
      </c>
      <c r="D39" s="29">
        <v>14652</v>
      </c>
      <c r="E39" s="29">
        <v>0</v>
      </c>
      <c r="F39" s="29">
        <v>0</v>
      </c>
      <c r="G39" s="29">
        <v>5811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16548</v>
      </c>
      <c r="O39" s="29">
        <v>0</v>
      </c>
      <c r="P39" s="29">
        <v>0</v>
      </c>
      <c r="Q39" s="29">
        <v>0</v>
      </c>
      <c r="R39" s="29">
        <v>12940</v>
      </c>
      <c r="S39" s="29">
        <v>0</v>
      </c>
      <c r="T39" s="29">
        <v>0</v>
      </c>
      <c r="U39" s="29">
        <v>1190</v>
      </c>
      <c r="V39" s="29">
        <v>0</v>
      </c>
      <c r="W39" s="29">
        <v>237</v>
      </c>
      <c r="X39" s="29">
        <v>221</v>
      </c>
      <c r="Y39" s="29">
        <v>0</v>
      </c>
      <c r="Z39" s="29">
        <v>0</v>
      </c>
      <c r="AA39" s="29">
        <v>0</v>
      </c>
      <c r="AB39" s="29">
        <v>0</v>
      </c>
      <c r="AC39" s="29">
        <v>135</v>
      </c>
      <c r="AD39" s="29">
        <v>0</v>
      </c>
      <c r="AE39" s="29">
        <v>0</v>
      </c>
      <c r="AF39" s="29">
        <v>178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29">
        <v>0</v>
      </c>
      <c r="AQ39" s="29">
        <v>0</v>
      </c>
      <c r="AR39" s="29">
        <v>0</v>
      </c>
      <c r="AS39" s="29">
        <v>0</v>
      </c>
      <c r="AT39" s="29">
        <v>0</v>
      </c>
      <c r="AU39" s="29">
        <v>0</v>
      </c>
      <c r="AV39" s="29">
        <v>0</v>
      </c>
      <c r="AW39" s="29">
        <v>0</v>
      </c>
      <c r="AX39" s="29">
        <v>0</v>
      </c>
      <c r="AY39" s="29">
        <v>0</v>
      </c>
      <c r="AZ39" s="29">
        <v>0</v>
      </c>
      <c r="BA39" s="29">
        <v>0</v>
      </c>
      <c r="BB39" s="29">
        <v>0</v>
      </c>
      <c r="BC39" s="29">
        <v>0</v>
      </c>
      <c r="BD39" s="29">
        <v>0</v>
      </c>
      <c r="BE39" s="29">
        <v>0</v>
      </c>
      <c r="BF39" s="29">
        <v>0</v>
      </c>
      <c r="BG39" s="29">
        <v>0</v>
      </c>
      <c r="BH39" s="29">
        <v>0</v>
      </c>
      <c r="BI39" s="29">
        <v>0</v>
      </c>
      <c r="BJ39" s="29">
        <v>0</v>
      </c>
      <c r="BK39" s="29">
        <v>0</v>
      </c>
      <c r="BL39" s="29">
        <v>0</v>
      </c>
      <c r="BM39" s="29">
        <v>0</v>
      </c>
      <c r="BN39" s="29">
        <v>0</v>
      </c>
      <c r="BO39" s="29">
        <v>72</v>
      </c>
      <c r="BP39" s="29">
        <v>0</v>
      </c>
    </row>
    <row r="40" spans="1:68" x14ac:dyDescent="0.25">
      <c r="A40">
        <f t="shared" si="0"/>
        <v>39</v>
      </c>
      <c r="B40" s="29">
        <v>56934</v>
      </c>
      <c r="C40" s="29">
        <v>67580</v>
      </c>
      <c r="D40" s="29">
        <v>13285</v>
      </c>
      <c r="E40" s="29">
        <v>0</v>
      </c>
      <c r="F40" s="29">
        <v>0</v>
      </c>
      <c r="G40" s="29">
        <v>6397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13573</v>
      </c>
      <c r="O40" s="29">
        <v>0</v>
      </c>
      <c r="P40" s="29">
        <v>0</v>
      </c>
      <c r="Q40" s="29">
        <v>0</v>
      </c>
      <c r="R40" s="29">
        <v>10256</v>
      </c>
      <c r="S40" s="29">
        <v>0</v>
      </c>
      <c r="T40" s="29">
        <v>0</v>
      </c>
      <c r="U40" s="29">
        <v>1094</v>
      </c>
      <c r="V40" s="29">
        <v>0</v>
      </c>
      <c r="W40" s="29">
        <v>221</v>
      </c>
      <c r="X40" s="29">
        <v>307</v>
      </c>
      <c r="Y40" s="29">
        <v>0</v>
      </c>
      <c r="Z40" s="29">
        <v>0</v>
      </c>
      <c r="AA40" s="29">
        <v>0</v>
      </c>
      <c r="AB40" s="29">
        <v>0</v>
      </c>
      <c r="AC40" s="29">
        <v>158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U40" s="29">
        <v>0</v>
      </c>
      <c r="AV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  <c r="BC40" s="29">
        <v>0</v>
      </c>
      <c r="BD40" s="29">
        <v>0</v>
      </c>
      <c r="BE40" s="29">
        <v>0</v>
      </c>
      <c r="BF40" s="29">
        <v>0</v>
      </c>
      <c r="BG40" s="29">
        <v>0</v>
      </c>
      <c r="BH40" s="29">
        <v>0</v>
      </c>
      <c r="BI40" s="29">
        <v>0</v>
      </c>
      <c r="BJ40" s="29">
        <v>0</v>
      </c>
      <c r="BK40" s="29">
        <v>0</v>
      </c>
      <c r="BL40" s="29">
        <v>0</v>
      </c>
      <c r="BM40" s="29">
        <v>0</v>
      </c>
      <c r="BN40" s="29">
        <v>0</v>
      </c>
      <c r="BO40" s="29">
        <v>0</v>
      </c>
      <c r="BP40" s="29">
        <v>0</v>
      </c>
    </row>
    <row r="41" spans="1:68" x14ac:dyDescent="0.25">
      <c r="A41">
        <f t="shared" si="0"/>
        <v>40</v>
      </c>
      <c r="B41" s="29">
        <v>166377</v>
      </c>
      <c r="C41" s="29">
        <v>151961</v>
      </c>
      <c r="D41" s="29">
        <v>38119</v>
      </c>
      <c r="E41" s="29">
        <v>0</v>
      </c>
      <c r="F41" s="29">
        <v>0</v>
      </c>
      <c r="G41" s="29">
        <v>23984</v>
      </c>
      <c r="H41" s="29">
        <v>0</v>
      </c>
      <c r="I41" s="29">
        <v>0</v>
      </c>
      <c r="J41" s="29">
        <v>0</v>
      </c>
      <c r="K41" s="29">
        <v>0</v>
      </c>
      <c r="L41" s="29">
        <v>10207</v>
      </c>
      <c r="M41" s="29">
        <v>0</v>
      </c>
      <c r="N41" s="29">
        <v>81041</v>
      </c>
      <c r="O41" s="29">
        <v>0</v>
      </c>
      <c r="P41" s="29">
        <v>0</v>
      </c>
      <c r="Q41" s="29">
        <v>0</v>
      </c>
      <c r="R41" s="29">
        <v>39125</v>
      </c>
      <c r="S41" s="29">
        <v>0</v>
      </c>
      <c r="T41" s="29">
        <v>0</v>
      </c>
      <c r="U41" s="29">
        <v>4619</v>
      </c>
      <c r="V41" s="29">
        <v>0</v>
      </c>
      <c r="W41" s="29">
        <v>790</v>
      </c>
      <c r="X41" s="29">
        <v>447</v>
      </c>
      <c r="Y41" s="29">
        <v>0</v>
      </c>
      <c r="Z41" s="29">
        <v>0</v>
      </c>
      <c r="AA41" s="29">
        <v>0</v>
      </c>
      <c r="AB41" s="29">
        <v>0</v>
      </c>
      <c r="AC41" s="29">
        <v>493</v>
      </c>
      <c r="AD41" s="29">
        <v>0</v>
      </c>
      <c r="AE41" s="29">
        <v>0</v>
      </c>
      <c r="AF41" s="29">
        <v>0</v>
      </c>
      <c r="AG41" s="29">
        <v>0</v>
      </c>
      <c r="AH41" s="29">
        <v>692</v>
      </c>
      <c r="AI41" s="29">
        <v>0</v>
      </c>
      <c r="AJ41" s="29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29">
        <v>0</v>
      </c>
      <c r="AQ41" s="29">
        <v>0</v>
      </c>
      <c r="AR41" s="29">
        <v>0</v>
      </c>
      <c r="AS41" s="29">
        <v>0</v>
      </c>
      <c r="AT41" s="29">
        <v>0</v>
      </c>
      <c r="AU41" s="29">
        <v>0</v>
      </c>
      <c r="AV41" s="29">
        <v>0</v>
      </c>
      <c r="AW41" s="29">
        <v>0</v>
      </c>
      <c r="AX41" s="29">
        <v>0</v>
      </c>
      <c r="AY41" s="29">
        <v>0</v>
      </c>
      <c r="AZ41" s="29">
        <v>0</v>
      </c>
      <c r="BA41" s="29">
        <v>0</v>
      </c>
      <c r="BB41" s="29">
        <v>0</v>
      </c>
      <c r="BC41" s="29">
        <v>0</v>
      </c>
      <c r="BD41" s="29">
        <v>0</v>
      </c>
      <c r="BE41" s="29">
        <v>0</v>
      </c>
      <c r="BF41" s="29">
        <v>0</v>
      </c>
      <c r="BG41" s="29">
        <v>0</v>
      </c>
      <c r="BH41" s="29">
        <v>0</v>
      </c>
      <c r="BI41" s="29">
        <v>0</v>
      </c>
      <c r="BJ41" s="29">
        <v>0</v>
      </c>
      <c r="BK41" s="29">
        <v>0</v>
      </c>
      <c r="BL41" s="29">
        <v>0</v>
      </c>
      <c r="BM41" s="29">
        <v>0</v>
      </c>
      <c r="BN41" s="29">
        <v>0</v>
      </c>
      <c r="BO41" s="29">
        <v>0</v>
      </c>
      <c r="BP41" s="29">
        <v>0</v>
      </c>
    </row>
    <row r="42" spans="1:68" x14ac:dyDescent="0.25">
      <c r="A42">
        <f t="shared" si="0"/>
        <v>41</v>
      </c>
      <c r="B42" s="29">
        <v>957401</v>
      </c>
      <c r="C42" s="29">
        <v>887474</v>
      </c>
      <c r="D42" s="29">
        <v>653476</v>
      </c>
      <c r="E42" s="29">
        <v>463629</v>
      </c>
      <c r="F42" s="29">
        <v>0</v>
      </c>
      <c r="G42" s="29">
        <v>323076</v>
      </c>
      <c r="H42" s="29">
        <v>0</v>
      </c>
      <c r="I42" s="29">
        <v>0</v>
      </c>
      <c r="J42" s="29">
        <v>0</v>
      </c>
      <c r="K42" s="29">
        <v>0</v>
      </c>
      <c r="L42" s="29">
        <v>201389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31983</v>
      </c>
      <c r="V42" s="29">
        <v>0</v>
      </c>
      <c r="W42" s="29">
        <v>5129</v>
      </c>
      <c r="X42" s="29">
        <v>4305</v>
      </c>
      <c r="Y42" s="29">
        <v>0</v>
      </c>
      <c r="Z42" s="29">
        <v>0</v>
      </c>
      <c r="AA42" s="29">
        <v>0</v>
      </c>
      <c r="AB42" s="29">
        <v>2099</v>
      </c>
      <c r="AC42" s="29">
        <v>1895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2508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U42" s="29">
        <v>0</v>
      </c>
      <c r="AV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  <c r="BC42" s="29">
        <v>0</v>
      </c>
      <c r="BD42" s="29">
        <v>0</v>
      </c>
      <c r="BE42" s="29">
        <v>0</v>
      </c>
      <c r="BF42" s="29">
        <v>0</v>
      </c>
      <c r="BG42" s="29">
        <v>0</v>
      </c>
      <c r="BH42" s="29">
        <v>0</v>
      </c>
      <c r="BI42" s="29">
        <v>0</v>
      </c>
      <c r="BJ42" s="29">
        <v>0</v>
      </c>
      <c r="BK42" s="29">
        <v>0</v>
      </c>
      <c r="BL42" s="29">
        <v>0</v>
      </c>
      <c r="BM42" s="29">
        <v>0</v>
      </c>
      <c r="BN42" s="29">
        <v>0</v>
      </c>
      <c r="BO42" s="29">
        <v>0</v>
      </c>
      <c r="BP42" s="29">
        <v>0</v>
      </c>
    </row>
    <row r="43" spans="1:68" x14ac:dyDescent="0.25">
      <c r="A43">
        <f t="shared" si="0"/>
        <v>42</v>
      </c>
      <c r="B43" s="29">
        <v>83734</v>
      </c>
      <c r="C43" s="29">
        <v>0</v>
      </c>
      <c r="D43" s="29">
        <v>19440</v>
      </c>
      <c r="E43" s="29">
        <v>55498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56548</v>
      </c>
      <c r="L43" s="29">
        <v>0</v>
      </c>
      <c r="M43" s="29">
        <v>0</v>
      </c>
      <c r="N43" s="29">
        <v>0</v>
      </c>
      <c r="O43" s="29">
        <v>0</v>
      </c>
      <c r="P43" s="29">
        <v>99078</v>
      </c>
      <c r="Q43" s="29">
        <v>0</v>
      </c>
      <c r="R43" s="29">
        <v>0</v>
      </c>
      <c r="S43" s="29">
        <v>0</v>
      </c>
      <c r="T43" s="29">
        <v>0</v>
      </c>
      <c r="U43" s="29">
        <v>2250</v>
      </c>
      <c r="V43" s="29">
        <v>0</v>
      </c>
      <c r="W43" s="29">
        <v>965</v>
      </c>
      <c r="X43" s="29">
        <v>928</v>
      </c>
      <c r="Y43" s="29">
        <v>0</v>
      </c>
      <c r="Z43" s="29">
        <v>0</v>
      </c>
      <c r="AA43" s="29">
        <v>0</v>
      </c>
      <c r="AB43" s="29">
        <v>0</v>
      </c>
      <c r="AC43" s="29">
        <v>381</v>
      </c>
      <c r="AD43" s="29">
        <v>12709</v>
      </c>
      <c r="AE43" s="29">
        <v>0</v>
      </c>
      <c r="AF43" s="29">
        <v>0</v>
      </c>
      <c r="AG43" s="29">
        <v>0</v>
      </c>
      <c r="AH43" s="29">
        <v>0</v>
      </c>
      <c r="AI43" s="29">
        <v>0</v>
      </c>
      <c r="AJ43" s="29">
        <v>0</v>
      </c>
      <c r="AK43" s="29">
        <v>0</v>
      </c>
      <c r="AL43" s="29">
        <v>0</v>
      </c>
      <c r="AM43" s="29">
        <v>0</v>
      </c>
      <c r="AN43" s="29">
        <v>0</v>
      </c>
      <c r="AO43" s="29">
        <v>0</v>
      </c>
      <c r="AP43" s="29">
        <v>0</v>
      </c>
      <c r="AQ43" s="29">
        <v>0</v>
      </c>
      <c r="AR43" s="29">
        <v>0</v>
      </c>
      <c r="AS43" s="29">
        <v>0</v>
      </c>
      <c r="AT43" s="29">
        <v>0</v>
      </c>
      <c r="AU43" s="29">
        <v>0</v>
      </c>
      <c r="AV43" s="29">
        <v>0</v>
      </c>
      <c r="AW43" s="29">
        <v>0</v>
      </c>
      <c r="AX43" s="29">
        <v>0</v>
      </c>
      <c r="AY43" s="29">
        <v>0</v>
      </c>
      <c r="AZ43" s="29">
        <v>0</v>
      </c>
      <c r="BA43" s="29">
        <v>0</v>
      </c>
      <c r="BB43" s="29">
        <v>0</v>
      </c>
      <c r="BC43" s="29">
        <v>0</v>
      </c>
      <c r="BD43" s="29">
        <v>0</v>
      </c>
      <c r="BE43" s="29">
        <v>0</v>
      </c>
      <c r="BF43" s="29">
        <v>0</v>
      </c>
      <c r="BG43" s="29">
        <v>0</v>
      </c>
      <c r="BH43" s="29">
        <v>0</v>
      </c>
      <c r="BI43" s="29">
        <v>0</v>
      </c>
      <c r="BJ43" s="29">
        <v>0</v>
      </c>
      <c r="BK43" s="29">
        <v>0</v>
      </c>
      <c r="BL43" s="29">
        <v>0</v>
      </c>
      <c r="BM43" s="29">
        <v>0</v>
      </c>
      <c r="BN43" s="29">
        <v>0</v>
      </c>
      <c r="BO43" s="29">
        <v>0</v>
      </c>
      <c r="BP43" s="29">
        <v>0</v>
      </c>
    </row>
    <row r="44" spans="1:68" x14ac:dyDescent="0.25">
      <c r="A44">
        <f t="shared" si="0"/>
        <v>43</v>
      </c>
      <c r="B44" s="29">
        <v>37488</v>
      </c>
      <c r="C44" s="29">
        <v>25506</v>
      </c>
      <c r="D44" s="29">
        <v>6421</v>
      </c>
      <c r="E44" s="29">
        <v>28186</v>
      </c>
      <c r="F44" s="29">
        <v>0</v>
      </c>
      <c r="G44" s="29">
        <v>2526</v>
      </c>
      <c r="H44" s="29">
        <v>0</v>
      </c>
      <c r="I44" s="29">
        <v>0</v>
      </c>
      <c r="J44" s="29">
        <v>40262</v>
      </c>
      <c r="K44" s="29">
        <v>27453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1152</v>
      </c>
      <c r="V44" s="29">
        <v>0</v>
      </c>
      <c r="W44" s="29">
        <v>409</v>
      </c>
      <c r="X44" s="29">
        <v>326</v>
      </c>
      <c r="Y44" s="29">
        <v>0</v>
      </c>
      <c r="Z44" s="29">
        <v>0</v>
      </c>
      <c r="AA44" s="29">
        <v>0</v>
      </c>
      <c r="AB44" s="29">
        <v>0</v>
      </c>
      <c r="AC44" s="29">
        <v>215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U44" s="29">
        <v>0</v>
      </c>
      <c r="AV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  <c r="BC44" s="29">
        <v>0</v>
      </c>
      <c r="BD44" s="29">
        <v>0</v>
      </c>
      <c r="BE44" s="29">
        <v>0</v>
      </c>
      <c r="BF44" s="29">
        <v>0</v>
      </c>
      <c r="BG44" s="29">
        <v>0</v>
      </c>
      <c r="BH44" s="29">
        <v>0</v>
      </c>
      <c r="BI44" s="29">
        <v>0</v>
      </c>
      <c r="BJ44" s="29">
        <v>0</v>
      </c>
      <c r="BK44" s="29">
        <v>0</v>
      </c>
      <c r="BL44" s="29">
        <v>0</v>
      </c>
      <c r="BM44" s="29">
        <v>0</v>
      </c>
      <c r="BN44" s="29">
        <v>0</v>
      </c>
      <c r="BO44" s="29">
        <v>0</v>
      </c>
      <c r="BP44" s="29">
        <v>0</v>
      </c>
    </row>
    <row r="45" spans="1:68" x14ac:dyDescent="0.25">
      <c r="A45">
        <f t="shared" si="0"/>
        <v>44</v>
      </c>
      <c r="B45" s="29">
        <v>69342</v>
      </c>
      <c r="C45" s="29">
        <v>23619</v>
      </c>
      <c r="D45" s="29">
        <v>7274</v>
      </c>
      <c r="E45" s="29">
        <v>57363</v>
      </c>
      <c r="F45" s="29">
        <v>0</v>
      </c>
      <c r="G45" s="29">
        <v>3824</v>
      </c>
      <c r="H45" s="29">
        <v>0</v>
      </c>
      <c r="I45" s="29">
        <v>0</v>
      </c>
      <c r="J45" s="29">
        <v>116761</v>
      </c>
      <c r="K45" s="29">
        <v>98951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2070</v>
      </c>
      <c r="V45" s="29">
        <v>0</v>
      </c>
      <c r="W45" s="29">
        <v>510</v>
      </c>
      <c r="X45" s="29">
        <v>401</v>
      </c>
      <c r="Y45" s="29">
        <v>0</v>
      </c>
      <c r="Z45" s="29">
        <v>0</v>
      </c>
      <c r="AA45" s="29">
        <v>0</v>
      </c>
      <c r="AB45" s="29">
        <v>0</v>
      </c>
      <c r="AC45" s="29">
        <v>276</v>
      </c>
      <c r="AD45" s="29">
        <v>0</v>
      </c>
      <c r="AE45" s="29">
        <v>0</v>
      </c>
      <c r="AF45" s="29">
        <v>0</v>
      </c>
      <c r="AG45" s="29">
        <v>0</v>
      </c>
      <c r="AH45" s="29">
        <v>570</v>
      </c>
      <c r="AI45" s="29">
        <v>0</v>
      </c>
      <c r="AJ45" s="29">
        <v>0</v>
      </c>
      <c r="AK45" s="29">
        <v>0</v>
      </c>
      <c r="AL45" s="29">
        <v>0</v>
      </c>
      <c r="AM45" s="29">
        <v>0</v>
      </c>
      <c r="AN45" s="29">
        <v>0</v>
      </c>
      <c r="AO45" s="29">
        <v>0</v>
      </c>
      <c r="AP45" s="29">
        <v>0</v>
      </c>
      <c r="AQ45" s="29">
        <v>0</v>
      </c>
      <c r="AR45" s="29">
        <v>0</v>
      </c>
      <c r="AS45" s="29">
        <v>0</v>
      </c>
      <c r="AT45" s="29">
        <v>0</v>
      </c>
      <c r="AU45" s="29">
        <v>0</v>
      </c>
      <c r="AV45" s="29">
        <v>0</v>
      </c>
      <c r="AW45" s="29">
        <v>0</v>
      </c>
      <c r="AX45" s="29">
        <v>0</v>
      </c>
      <c r="AY45" s="29">
        <v>0</v>
      </c>
      <c r="AZ45" s="29">
        <v>0</v>
      </c>
      <c r="BA45" s="29">
        <v>0</v>
      </c>
      <c r="BB45" s="29">
        <v>0</v>
      </c>
      <c r="BC45" s="29">
        <v>0</v>
      </c>
      <c r="BD45" s="29">
        <v>0</v>
      </c>
      <c r="BE45" s="29">
        <v>0</v>
      </c>
      <c r="BF45" s="29">
        <v>0</v>
      </c>
      <c r="BG45" s="29">
        <v>0</v>
      </c>
      <c r="BH45" s="29">
        <v>0</v>
      </c>
      <c r="BI45" s="29">
        <v>0</v>
      </c>
      <c r="BJ45" s="29">
        <v>0</v>
      </c>
      <c r="BK45" s="29">
        <v>0</v>
      </c>
      <c r="BL45" s="29">
        <v>0</v>
      </c>
      <c r="BM45" s="29">
        <v>0</v>
      </c>
      <c r="BN45" s="29">
        <v>0</v>
      </c>
      <c r="BO45" s="29">
        <v>0</v>
      </c>
      <c r="BP45" s="29">
        <v>0</v>
      </c>
    </row>
    <row r="46" spans="1:68" x14ac:dyDescent="0.25">
      <c r="A46">
        <f t="shared" si="0"/>
        <v>45</v>
      </c>
      <c r="B46" s="29">
        <v>120566</v>
      </c>
      <c r="C46" s="29">
        <v>55621</v>
      </c>
      <c r="D46" s="29">
        <v>15284</v>
      </c>
      <c r="E46" s="29">
        <v>97125</v>
      </c>
      <c r="F46" s="29">
        <v>0</v>
      </c>
      <c r="G46" s="29">
        <v>6929</v>
      </c>
      <c r="H46" s="29">
        <v>0</v>
      </c>
      <c r="I46" s="29">
        <v>0</v>
      </c>
      <c r="J46" s="29">
        <v>221979</v>
      </c>
      <c r="K46" s="29">
        <v>94669</v>
      </c>
      <c r="L46" s="29">
        <v>8542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3783</v>
      </c>
      <c r="V46" s="29">
        <v>0</v>
      </c>
      <c r="W46" s="29">
        <v>753</v>
      </c>
      <c r="X46" s="29">
        <v>494</v>
      </c>
      <c r="Y46" s="29">
        <v>0</v>
      </c>
      <c r="Z46" s="29">
        <v>0</v>
      </c>
      <c r="AA46" s="29">
        <v>0</v>
      </c>
      <c r="AB46" s="29">
        <v>0</v>
      </c>
      <c r="AC46" s="29">
        <v>491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U46" s="29">
        <v>0</v>
      </c>
      <c r="AV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  <c r="BC46" s="29">
        <v>0</v>
      </c>
      <c r="BD46" s="29">
        <v>0</v>
      </c>
      <c r="BE46" s="29">
        <v>0</v>
      </c>
      <c r="BF46" s="29">
        <v>0</v>
      </c>
      <c r="BG46" s="29">
        <v>0</v>
      </c>
      <c r="BH46" s="29">
        <v>0</v>
      </c>
      <c r="BI46" s="29">
        <v>0</v>
      </c>
      <c r="BJ46" s="29">
        <v>270</v>
      </c>
      <c r="BK46" s="29">
        <v>0</v>
      </c>
      <c r="BL46" s="29">
        <v>0</v>
      </c>
      <c r="BM46" s="29">
        <v>0</v>
      </c>
      <c r="BN46" s="29">
        <v>0</v>
      </c>
      <c r="BO46" s="29">
        <v>0</v>
      </c>
      <c r="BP46" s="29">
        <v>0</v>
      </c>
    </row>
    <row r="47" spans="1:68" x14ac:dyDescent="0.25">
      <c r="A47">
        <f t="shared" si="0"/>
        <v>46</v>
      </c>
      <c r="B47" s="29">
        <v>177154</v>
      </c>
      <c r="C47" s="29">
        <v>189500</v>
      </c>
      <c r="D47" s="29">
        <v>199829</v>
      </c>
      <c r="E47" s="29">
        <v>63461</v>
      </c>
      <c r="F47" s="29">
        <v>0</v>
      </c>
      <c r="G47" s="29">
        <v>53201</v>
      </c>
      <c r="H47" s="29">
        <v>0</v>
      </c>
      <c r="I47" s="29">
        <v>0</v>
      </c>
      <c r="J47" s="29">
        <v>0</v>
      </c>
      <c r="K47" s="29">
        <v>0</v>
      </c>
      <c r="L47" s="29">
        <v>13439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7005</v>
      </c>
      <c r="V47" s="29">
        <v>0</v>
      </c>
      <c r="W47" s="29">
        <v>881</v>
      </c>
      <c r="X47" s="29">
        <v>431</v>
      </c>
      <c r="Y47" s="29">
        <v>0</v>
      </c>
      <c r="Z47" s="29">
        <v>0</v>
      </c>
      <c r="AA47" s="29">
        <v>0</v>
      </c>
      <c r="AB47" s="29">
        <v>490</v>
      </c>
      <c r="AC47" s="29">
        <v>0</v>
      </c>
      <c r="AD47" s="29">
        <v>0</v>
      </c>
      <c r="AE47" s="29">
        <v>0</v>
      </c>
      <c r="AF47" s="29">
        <v>990</v>
      </c>
      <c r="AG47" s="29">
        <v>0</v>
      </c>
      <c r="AH47" s="29">
        <v>0</v>
      </c>
      <c r="AI47" s="29">
        <v>0</v>
      </c>
      <c r="AJ47" s="29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29">
        <v>2328</v>
      </c>
      <c r="AQ47" s="29">
        <v>434</v>
      </c>
      <c r="AR47" s="29">
        <v>0</v>
      </c>
      <c r="AS47" s="29">
        <v>317</v>
      </c>
      <c r="AT47" s="29">
        <v>0</v>
      </c>
      <c r="AU47" s="29">
        <v>0</v>
      </c>
      <c r="AV47" s="29">
        <v>0</v>
      </c>
      <c r="AW47" s="29">
        <v>0</v>
      </c>
      <c r="AX47" s="29">
        <v>0</v>
      </c>
      <c r="AY47" s="29">
        <v>0</v>
      </c>
      <c r="AZ47" s="29">
        <v>0</v>
      </c>
      <c r="BA47" s="29">
        <v>0</v>
      </c>
      <c r="BB47" s="29">
        <v>0</v>
      </c>
      <c r="BC47" s="29">
        <v>0</v>
      </c>
      <c r="BD47" s="29">
        <v>0</v>
      </c>
      <c r="BE47" s="29">
        <v>0</v>
      </c>
      <c r="BF47" s="29">
        <v>0</v>
      </c>
      <c r="BG47" s="29">
        <v>0</v>
      </c>
      <c r="BH47" s="29">
        <v>0</v>
      </c>
      <c r="BI47" s="29">
        <v>0</v>
      </c>
      <c r="BJ47" s="29">
        <v>0</v>
      </c>
      <c r="BK47" s="29">
        <v>0</v>
      </c>
      <c r="BL47" s="29">
        <v>0</v>
      </c>
      <c r="BM47" s="29">
        <v>214</v>
      </c>
      <c r="BN47" s="29">
        <v>0</v>
      </c>
      <c r="BO47" s="29">
        <v>0</v>
      </c>
      <c r="BP47" s="29">
        <v>0</v>
      </c>
    </row>
    <row r="48" spans="1:68" x14ac:dyDescent="0.25">
      <c r="A48">
        <f t="shared" si="0"/>
        <v>47</v>
      </c>
      <c r="B48" s="29">
        <v>57485</v>
      </c>
      <c r="C48" s="29">
        <v>56450</v>
      </c>
      <c r="D48" s="29">
        <v>18908</v>
      </c>
      <c r="E48" s="29">
        <v>16273</v>
      </c>
      <c r="F48" s="29">
        <v>0</v>
      </c>
      <c r="G48" s="29">
        <v>11673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1096</v>
      </c>
      <c r="V48" s="29">
        <v>0</v>
      </c>
      <c r="W48" s="29">
        <v>307</v>
      </c>
      <c r="X48" s="29">
        <v>297</v>
      </c>
      <c r="Y48" s="29">
        <v>0</v>
      </c>
      <c r="Z48" s="29">
        <v>0</v>
      </c>
      <c r="AA48" s="29">
        <v>0</v>
      </c>
      <c r="AB48" s="29">
        <v>0</v>
      </c>
      <c r="AC48" s="29">
        <v>263</v>
      </c>
      <c r="AD48" s="29">
        <v>0</v>
      </c>
      <c r="AE48" s="29">
        <v>0</v>
      </c>
      <c r="AF48" s="29">
        <v>0</v>
      </c>
      <c r="AG48" s="29">
        <v>0</v>
      </c>
      <c r="AH48" s="29">
        <v>425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U48" s="29">
        <v>0</v>
      </c>
      <c r="AV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  <c r="BC48" s="29">
        <v>0</v>
      </c>
      <c r="BD48" s="29">
        <v>0</v>
      </c>
      <c r="BE48" s="29">
        <v>0</v>
      </c>
      <c r="BF48" s="29">
        <v>0</v>
      </c>
      <c r="BG48" s="29">
        <v>0</v>
      </c>
      <c r="BH48" s="29">
        <v>0</v>
      </c>
      <c r="BI48" s="29">
        <v>0</v>
      </c>
      <c r="BJ48" s="29">
        <v>0</v>
      </c>
      <c r="BK48" s="29">
        <v>0</v>
      </c>
      <c r="BL48" s="29">
        <v>0</v>
      </c>
      <c r="BM48" s="29">
        <v>0</v>
      </c>
      <c r="BN48" s="29">
        <v>0</v>
      </c>
      <c r="BO48" s="29">
        <v>0</v>
      </c>
      <c r="BP48" s="29">
        <v>0</v>
      </c>
    </row>
    <row r="49" spans="1:68" x14ac:dyDescent="0.25">
      <c r="A49">
        <f t="shared" si="0"/>
        <v>48</v>
      </c>
      <c r="B49" s="29">
        <v>240202</v>
      </c>
      <c r="C49" s="29">
        <v>207310</v>
      </c>
      <c r="D49" s="29">
        <v>167395</v>
      </c>
      <c r="E49" s="29">
        <v>108533</v>
      </c>
      <c r="F49" s="29">
        <v>0</v>
      </c>
      <c r="G49" s="29">
        <v>69143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35612</v>
      </c>
      <c r="R49" s="29">
        <v>0</v>
      </c>
      <c r="S49" s="29">
        <v>0</v>
      </c>
      <c r="T49" s="29">
        <v>0</v>
      </c>
      <c r="U49" s="29">
        <v>9417</v>
      </c>
      <c r="V49" s="29">
        <v>0</v>
      </c>
      <c r="W49" s="29">
        <v>891</v>
      </c>
      <c r="X49" s="29">
        <v>948</v>
      </c>
      <c r="Y49" s="29">
        <v>0</v>
      </c>
      <c r="Z49" s="29">
        <v>0</v>
      </c>
      <c r="AA49" s="29">
        <v>0</v>
      </c>
      <c r="AB49" s="29">
        <v>911</v>
      </c>
      <c r="AC49" s="29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AI49" s="29">
        <v>1683</v>
      </c>
      <c r="AJ49" s="29">
        <v>0</v>
      </c>
      <c r="AK49" s="29">
        <v>2337</v>
      </c>
      <c r="AL49" s="29">
        <v>0</v>
      </c>
      <c r="AM49" s="29">
        <v>0</v>
      </c>
      <c r="AN49" s="29">
        <v>0</v>
      </c>
      <c r="AO49" s="29">
        <v>0</v>
      </c>
      <c r="AP49" s="29">
        <v>0</v>
      </c>
      <c r="AQ49" s="29">
        <v>0</v>
      </c>
      <c r="AR49" s="29">
        <v>0</v>
      </c>
      <c r="AS49" s="29">
        <v>0</v>
      </c>
      <c r="AT49" s="29">
        <v>0</v>
      </c>
      <c r="AU49" s="29">
        <v>0</v>
      </c>
      <c r="AV49" s="29">
        <v>0</v>
      </c>
      <c r="AW49" s="29">
        <v>0</v>
      </c>
      <c r="AX49" s="29">
        <v>556</v>
      </c>
      <c r="AY49" s="29">
        <v>0</v>
      </c>
      <c r="AZ49" s="29">
        <v>0</v>
      </c>
      <c r="BA49" s="29">
        <v>0</v>
      </c>
      <c r="BB49" s="29">
        <v>0</v>
      </c>
      <c r="BC49" s="29">
        <v>0</v>
      </c>
      <c r="BD49" s="29">
        <v>0</v>
      </c>
      <c r="BE49" s="29">
        <v>0</v>
      </c>
      <c r="BF49" s="29">
        <v>0</v>
      </c>
      <c r="BG49" s="29">
        <v>0</v>
      </c>
      <c r="BH49" s="29">
        <v>0</v>
      </c>
      <c r="BI49" s="29">
        <v>0</v>
      </c>
      <c r="BJ49" s="29">
        <v>0</v>
      </c>
      <c r="BK49" s="29">
        <v>0</v>
      </c>
      <c r="BL49" s="29">
        <v>0</v>
      </c>
      <c r="BM49" s="29">
        <v>0</v>
      </c>
      <c r="BN49" s="29">
        <v>0</v>
      </c>
      <c r="BO49" s="29">
        <v>0</v>
      </c>
      <c r="BP49" s="29">
        <v>0</v>
      </c>
    </row>
    <row r="50" spans="1:68" x14ac:dyDescent="0.25">
      <c r="A50">
        <f t="shared" si="0"/>
        <v>49</v>
      </c>
      <c r="B50" s="29">
        <v>84078</v>
      </c>
      <c r="C50" s="29">
        <v>70176</v>
      </c>
      <c r="D50" s="29">
        <v>54849</v>
      </c>
      <c r="E50" s="29">
        <v>39251</v>
      </c>
      <c r="F50" s="29">
        <v>0</v>
      </c>
      <c r="G50" s="29">
        <v>20302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18140</v>
      </c>
      <c r="R50" s="29">
        <v>0</v>
      </c>
      <c r="S50" s="29">
        <v>0</v>
      </c>
      <c r="T50" s="29">
        <v>0</v>
      </c>
      <c r="U50" s="29">
        <v>2483</v>
      </c>
      <c r="V50" s="29">
        <v>0</v>
      </c>
      <c r="W50" s="29">
        <v>257</v>
      </c>
      <c r="X50" s="29">
        <v>370</v>
      </c>
      <c r="Y50" s="29">
        <v>0</v>
      </c>
      <c r="Z50" s="29">
        <v>0</v>
      </c>
      <c r="AA50" s="29">
        <v>0</v>
      </c>
      <c r="AB50" s="29">
        <v>194</v>
      </c>
      <c r="AC50" s="29">
        <v>0</v>
      </c>
      <c r="AD50" s="29">
        <v>0</v>
      </c>
      <c r="AE50" s="29">
        <v>0</v>
      </c>
      <c r="AF50" s="29">
        <v>379</v>
      </c>
      <c r="AG50" s="29">
        <v>0</v>
      </c>
      <c r="AH50" s="29">
        <v>0</v>
      </c>
      <c r="AI50" s="29">
        <v>1106</v>
      </c>
      <c r="AJ50" s="29">
        <v>0</v>
      </c>
      <c r="AK50" s="29">
        <v>405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U50" s="29">
        <v>0</v>
      </c>
      <c r="AV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  <c r="BC50" s="29">
        <v>0</v>
      </c>
      <c r="BD50" s="29">
        <v>0</v>
      </c>
      <c r="BE50" s="29">
        <v>137</v>
      </c>
      <c r="BF50" s="29">
        <v>104</v>
      </c>
      <c r="BG50" s="29">
        <v>0</v>
      </c>
      <c r="BH50" s="29">
        <v>0</v>
      </c>
      <c r="BI50" s="29">
        <v>0</v>
      </c>
      <c r="BJ50" s="29">
        <v>0</v>
      </c>
      <c r="BK50" s="29">
        <v>0</v>
      </c>
      <c r="BL50" s="29">
        <v>0</v>
      </c>
      <c r="BM50" s="29">
        <v>0</v>
      </c>
      <c r="BN50" s="29">
        <v>0</v>
      </c>
      <c r="BO50" s="29">
        <v>0</v>
      </c>
      <c r="BP50" s="29">
        <v>0</v>
      </c>
    </row>
    <row r="51" spans="1:68" x14ac:dyDescent="0.25">
      <c r="A51">
        <f t="shared" si="0"/>
        <v>50</v>
      </c>
      <c r="B51" s="29">
        <v>375879</v>
      </c>
      <c r="C51" s="29">
        <v>306929</v>
      </c>
      <c r="D51" s="29">
        <v>245890</v>
      </c>
      <c r="E51" s="29">
        <v>191812</v>
      </c>
      <c r="F51" s="29">
        <v>0</v>
      </c>
      <c r="G51" s="29">
        <v>106820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122535</v>
      </c>
      <c r="R51" s="29">
        <v>0</v>
      </c>
      <c r="S51" s="29">
        <v>0</v>
      </c>
      <c r="T51" s="29">
        <v>0</v>
      </c>
      <c r="U51" s="29">
        <v>15395</v>
      </c>
      <c r="V51" s="29">
        <v>0</v>
      </c>
      <c r="W51" s="29">
        <v>1540</v>
      </c>
      <c r="X51" s="29">
        <v>1009</v>
      </c>
      <c r="Y51" s="29">
        <v>0</v>
      </c>
      <c r="Z51" s="29">
        <v>0</v>
      </c>
      <c r="AA51" s="29">
        <v>0</v>
      </c>
      <c r="AB51" s="29">
        <v>1142</v>
      </c>
      <c r="AC51" s="29">
        <v>0</v>
      </c>
      <c r="AD51" s="29">
        <v>0</v>
      </c>
      <c r="AE51" s="29">
        <v>0</v>
      </c>
      <c r="AF51" s="29">
        <v>0</v>
      </c>
      <c r="AG51" s="29">
        <v>0</v>
      </c>
      <c r="AH51" s="29">
        <v>0</v>
      </c>
      <c r="AI51" s="29">
        <v>3086</v>
      </c>
      <c r="AJ51" s="29">
        <v>0</v>
      </c>
      <c r="AK51" s="29">
        <v>2674</v>
      </c>
      <c r="AL51" s="29">
        <v>0</v>
      </c>
      <c r="AM51" s="29">
        <v>0</v>
      </c>
      <c r="AN51" s="29">
        <v>0</v>
      </c>
      <c r="AO51" s="29">
        <v>2339</v>
      </c>
      <c r="AP51" s="29">
        <v>0</v>
      </c>
      <c r="AQ51" s="29">
        <v>0</v>
      </c>
      <c r="AR51" s="29">
        <v>0</v>
      </c>
      <c r="AS51" s="29">
        <v>875</v>
      </c>
      <c r="AT51" s="29">
        <v>0</v>
      </c>
      <c r="AU51" s="29">
        <v>0</v>
      </c>
      <c r="AV51" s="29">
        <v>0</v>
      </c>
      <c r="AW51" s="29">
        <v>0</v>
      </c>
      <c r="AX51" s="29">
        <v>0</v>
      </c>
      <c r="AY51" s="29">
        <v>0</v>
      </c>
      <c r="AZ51" s="29">
        <v>1067</v>
      </c>
      <c r="BA51" s="29">
        <v>0</v>
      </c>
      <c r="BB51" s="29">
        <v>0</v>
      </c>
      <c r="BC51" s="29">
        <v>0</v>
      </c>
      <c r="BD51" s="29">
        <v>0</v>
      </c>
      <c r="BE51" s="29">
        <v>0</v>
      </c>
      <c r="BF51" s="29">
        <v>468</v>
      </c>
      <c r="BG51" s="29">
        <v>0</v>
      </c>
      <c r="BH51" s="29">
        <v>0</v>
      </c>
      <c r="BI51" s="29">
        <v>0</v>
      </c>
      <c r="BJ51" s="29">
        <v>0</v>
      </c>
      <c r="BK51" s="29">
        <v>0</v>
      </c>
      <c r="BL51" s="29">
        <v>0</v>
      </c>
      <c r="BM51" s="29">
        <v>0</v>
      </c>
      <c r="BN51" s="29">
        <v>0</v>
      </c>
      <c r="BO51" s="29">
        <v>0</v>
      </c>
      <c r="BP51" s="29">
        <v>0</v>
      </c>
    </row>
    <row r="52" spans="1:68" x14ac:dyDescent="0.25">
      <c r="A52">
        <f t="shared" si="0"/>
        <v>51</v>
      </c>
      <c r="B52" s="29">
        <v>10455</v>
      </c>
      <c r="C52" s="29">
        <v>7439</v>
      </c>
      <c r="D52" s="29">
        <v>11752</v>
      </c>
      <c r="E52" s="29">
        <v>1300</v>
      </c>
      <c r="F52" s="29">
        <v>0</v>
      </c>
      <c r="G52" s="29">
        <v>1138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125</v>
      </c>
      <c r="X52" s="29">
        <v>43</v>
      </c>
      <c r="Y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U52" s="29">
        <v>0</v>
      </c>
      <c r="AV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  <c r="BC52" s="29">
        <v>819</v>
      </c>
      <c r="BD52" s="29">
        <v>0</v>
      </c>
      <c r="BE52" s="29">
        <v>0</v>
      </c>
      <c r="BF52" s="29">
        <v>0</v>
      </c>
      <c r="BG52" s="29">
        <v>0</v>
      </c>
      <c r="BH52" s="29">
        <v>0</v>
      </c>
      <c r="BI52" s="29">
        <v>0</v>
      </c>
      <c r="BJ52" s="29">
        <v>0</v>
      </c>
      <c r="BK52" s="29">
        <v>0</v>
      </c>
      <c r="BL52" s="29">
        <v>0</v>
      </c>
      <c r="BM52" s="29">
        <v>0</v>
      </c>
      <c r="BN52" s="29">
        <v>0</v>
      </c>
      <c r="BO52" s="29">
        <v>0</v>
      </c>
      <c r="BP52" s="29">
        <v>0</v>
      </c>
    </row>
    <row r="53" spans="1:68" x14ac:dyDescent="0.25">
      <c r="A53">
        <f t="shared" si="0"/>
        <v>52</v>
      </c>
      <c r="B53" s="29">
        <v>5087</v>
      </c>
      <c r="C53" s="29">
        <v>9136</v>
      </c>
      <c r="D53" s="29">
        <v>5692</v>
      </c>
      <c r="E53" s="29">
        <v>809</v>
      </c>
      <c r="F53" s="29">
        <v>0</v>
      </c>
      <c r="G53" s="29">
        <v>917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19</v>
      </c>
      <c r="X53" s="29">
        <v>31</v>
      </c>
      <c r="Y53" s="2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29">
        <v>0</v>
      </c>
      <c r="AF53" s="29">
        <v>0</v>
      </c>
      <c r="AG53" s="29">
        <v>8955</v>
      </c>
      <c r="AH53" s="29">
        <v>0</v>
      </c>
      <c r="AI53" s="29">
        <v>0</v>
      </c>
      <c r="AJ53" s="29">
        <v>0</v>
      </c>
      <c r="AK53" s="29">
        <v>0</v>
      </c>
      <c r="AL53" s="29">
        <v>101</v>
      </c>
      <c r="AM53" s="29">
        <v>0</v>
      </c>
      <c r="AN53" s="29">
        <v>0</v>
      </c>
      <c r="AO53" s="29">
        <v>0</v>
      </c>
      <c r="AP53" s="29">
        <v>0</v>
      </c>
      <c r="AQ53" s="29">
        <v>0</v>
      </c>
      <c r="AR53" s="29">
        <v>0</v>
      </c>
      <c r="AS53" s="29">
        <v>0</v>
      </c>
      <c r="AT53" s="29">
        <v>0</v>
      </c>
      <c r="AU53" s="29">
        <v>0</v>
      </c>
      <c r="AV53" s="29">
        <v>0</v>
      </c>
      <c r="AW53" s="29">
        <v>0</v>
      </c>
      <c r="AX53" s="29">
        <v>0</v>
      </c>
      <c r="AY53" s="29">
        <v>0</v>
      </c>
      <c r="AZ53" s="29">
        <v>0</v>
      </c>
      <c r="BA53" s="29">
        <v>0</v>
      </c>
      <c r="BB53" s="29">
        <v>0</v>
      </c>
      <c r="BC53" s="29">
        <v>0</v>
      </c>
      <c r="BD53" s="29">
        <v>0</v>
      </c>
      <c r="BE53" s="29">
        <v>0</v>
      </c>
      <c r="BF53" s="29">
        <v>0</v>
      </c>
      <c r="BG53" s="29">
        <v>0</v>
      </c>
      <c r="BH53" s="29">
        <v>0</v>
      </c>
      <c r="BI53" s="29">
        <v>0</v>
      </c>
      <c r="BJ53" s="29">
        <v>0</v>
      </c>
      <c r="BK53" s="29">
        <v>0</v>
      </c>
      <c r="BL53" s="29">
        <v>0</v>
      </c>
      <c r="BM53" s="29">
        <v>0</v>
      </c>
      <c r="BN53" s="29">
        <v>0</v>
      </c>
      <c r="BO53" s="29">
        <v>0</v>
      </c>
      <c r="BP53" s="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</vt:lpstr>
      <vt:lpstr>Hoja2</vt:lpstr>
      <vt:lpstr>Hoja1</vt:lpstr>
      <vt:lpstr>Datos delta</vt:lpstr>
      <vt:lpstr>Datos Protegidos</vt:lpstr>
      <vt:lpstr>PARTIDOS</vt:lpstr>
      <vt:lpstr>INC_PARTIC</vt:lpstr>
      <vt:lpstr>Votos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pereira</dc:creator>
  <cp:lastModifiedBy>rafael pereira</cp:lastModifiedBy>
  <dcterms:created xsi:type="dcterms:W3CDTF">2023-10-04T08:04:29Z</dcterms:created>
  <dcterms:modified xsi:type="dcterms:W3CDTF">2023-11-27T08:43:58Z</dcterms:modified>
</cp:coreProperties>
</file>